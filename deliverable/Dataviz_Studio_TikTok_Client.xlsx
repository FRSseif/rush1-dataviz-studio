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7"/>
  <workbookPr defaultThemeVersion="124226"/>
  <xr:revisionPtr revIDLastSave="0" documentId="13_ncr:1_{717644E6-A5FD-044A-AD39-0CDBC5AF1B67}" xr6:coauthVersionLast="47" xr6:coauthVersionMax="47" xr10:uidLastSave="{00000000-0000-0000-0000-000000000000}"/>
  <workbookProtection workbookAlgorithmName="SHA-512" workbookHashValue="RO8q/jmlkh6PliBFE1jrBw1dFYnyemHiiS8D3GqXloww+osvq00ESaX2AaMrrElJRv9V/h/6RaDmz9Na8vZseg==" workbookSaltValue="VKYnWIF+CieMtVTnwZ1TEw==" workbookSpinCount="100000" lockStructure="1"/>
  <bookViews>
    <workbookView xWindow="6300" yWindow="8320" windowWidth="16100" windowHeight="9660" xr2:uid="{00000000-000D-0000-FFFF-FFFF00000000}"/>
  </bookViews>
  <sheets>
    <sheet name="Synthèse" sheetId="1" r:id="rId1"/>
    <sheet name="Facteurs" sheetId="2" r:id="rId2"/>
    <sheet name="Gros comptes" sheetId="3" r:id="rId3"/>
    <sheet name="Catégories &amp; TreeMap" sheetId="4" r:id="rId4"/>
    <sheet name="Méthode &amp; limites" sheetId="5" r:id="rId5"/>
    <sheet name="Données" sheetId="6" r:id="rId6"/>
  </sheets>
  <definedNames>
    <definedName name="_xlchart.v1.3" hidden="1">'Catégories &amp; TreeMap'!$B$43:$C$67</definedName>
    <definedName name="_xlchart.v1.4" hidden="1">'Catégories &amp; TreeMap'!$D$42</definedName>
    <definedName name="_xlchart.v1.5" hidden="1">'Catégories &amp; TreeMap'!$D$43:$D$67</definedName>
    <definedName name="_xlnm.Print_Titles" localSheetId="5">Données!$1:$1</definedName>
    <definedName name="_xlnm.Print_Area" localSheetId="4">'Méthode &amp; limites'!$A$1:$H$53</definedName>
    <definedName name="_xlnm.Print_Area" localSheetId="0">Synthèse!$A$1:$J$19</definedName>
  </definedNames>
  <calcPr calcId="191029"/>
  <pivotCaches>
    <pivotCache cacheId="7"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01" i="6" l="1"/>
  <c r="AJ301" i="6"/>
  <c r="AI301" i="6"/>
  <c r="AH301" i="6"/>
  <c r="AG301" i="6"/>
  <c r="AF301" i="6"/>
  <c r="AC301" i="6"/>
  <c r="AA301" i="6"/>
  <c r="U301" i="6"/>
  <c r="K301" i="6"/>
  <c r="J301" i="6"/>
  <c r="H301" i="6"/>
  <c r="F301" i="6"/>
  <c r="AK300" i="6"/>
  <c r="AJ300" i="6"/>
  <c r="AI300" i="6"/>
  <c r="AH300" i="6"/>
  <c r="AG300" i="6"/>
  <c r="AF300" i="6"/>
  <c r="AC300" i="6"/>
  <c r="AA300" i="6"/>
  <c r="U300" i="6"/>
  <c r="K300" i="6"/>
  <c r="J300" i="6"/>
  <c r="H300" i="6"/>
  <c r="F300" i="6"/>
  <c r="AK299" i="6"/>
  <c r="AJ299" i="6"/>
  <c r="AI299" i="6"/>
  <c r="AH299" i="6"/>
  <c r="AG299" i="6"/>
  <c r="AF299" i="6"/>
  <c r="AC299" i="6"/>
  <c r="AA299" i="6"/>
  <c r="U299" i="6"/>
  <c r="K299" i="6"/>
  <c r="J299" i="6"/>
  <c r="H299" i="6"/>
  <c r="F299" i="6"/>
  <c r="AK298" i="6"/>
  <c r="AJ298" i="6"/>
  <c r="AI298" i="6"/>
  <c r="AH298" i="6"/>
  <c r="AG298" i="6"/>
  <c r="AF298" i="6"/>
  <c r="AC298" i="6"/>
  <c r="AA298" i="6"/>
  <c r="U298" i="6"/>
  <c r="K298" i="6"/>
  <c r="J298" i="6"/>
  <c r="H298" i="6"/>
  <c r="F298" i="6"/>
  <c r="AK297" i="6"/>
  <c r="AJ297" i="6"/>
  <c r="AI297" i="6"/>
  <c r="AH297" i="6"/>
  <c r="AG297" i="6"/>
  <c r="AF297" i="6"/>
  <c r="AC297" i="6"/>
  <c r="AA297" i="6"/>
  <c r="U297" i="6"/>
  <c r="K297" i="6"/>
  <c r="J297" i="6"/>
  <c r="H297" i="6"/>
  <c r="F297" i="6"/>
  <c r="AK296" i="6"/>
  <c r="AJ296" i="6"/>
  <c r="AI296" i="6"/>
  <c r="AH296" i="6"/>
  <c r="AG296" i="6"/>
  <c r="AF296" i="6"/>
  <c r="AC296" i="6"/>
  <c r="AA296" i="6"/>
  <c r="U296" i="6"/>
  <c r="K296" i="6"/>
  <c r="J296" i="6"/>
  <c r="H296" i="6"/>
  <c r="F296" i="6"/>
  <c r="AK295" i="6"/>
  <c r="AJ295" i="6"/>
  <c r="AI295" i="6"/>
  <c r="AH295" i="6"/>
  <c r="AG295" i="6"/>
  <c r="AF295" i="6"/>
  <c r="AC295" i="6"/>
  <c r="AA295" i="6"/>
  <c r="U295" i="6"/>
  <c r="K295" i="6"/>
  <c r="J295" i="6"/>
  <c r="H295" i="6"/>
  <c r="F295" i="6"/>
  <c r="AK294" i="6"/>
  <c r="AJ294" i="6"/>
  <c r="AI294" i="6"/>
  <c r="AH294" i="6"/>
  <c r="AG294" i="6"/>
  <c r="AF294" i="6"/>
  <c r="AC294" i="6"/>
  <c r="AA294" i="6"/>
  <c r="U294" i="6"/>
  <c r="K294" i="6"/>
  <c r="J294" i="6"/>
  <c r="H294" i="6"/>
  <c r="F294" i="6"/>
  <c r="AK293" i="6"/>
  <c r="AJ293" i="6"/>
  <c r="AI293" i="6"/>
  <c r="AH293" i="6"/>
  <c r="AG293" i="6"/>
  <c r="AF293" i="6"/>
  <c r="AC293" i="6"/>
  <c r="AA293" i="6"/>
  <c r="U293" i="6"/>
  <c r="K293" i="6"/>
  <c r="J293" i="6"/>
  <c r="H293" i="6"/>
  <c r="F293" i="6"/>
  <c r="AK292" i="6"/>
  <c r="AJ292" i="6"/>
  <c r="AI292" i="6"/>
  <c r="AH292" i="6"/>
  <c r="AG292" i="6"/>
  <c r="AF292" i="6"/>
  <c r="AC292" i="6"/>
  <c r="AA292" i="6"/>
  <c r="U292" i="6"/>
  <c r="K292" i="6"/>
  <c r="J292" i="6"/>
  <c r="H292" i="6"/>
  <c r="F292" i="6"/>
  <c r="AK291" i="6"/>
  <c r="AJ291" i="6"/>
  <c r="AI291" i="6"/>
  <c r="AH291" i="6"/>
  <c r="AG291" i="6"/>
  <c r="AF291" i="6"/>
  <c r="AC291" i="6"/>
  <c r="AA291" i="6"/>
  <c r="U291" i="6"/>
  <c r="K291" i="6"/>
  <c r="J291" i="6"/>
  <c r="H291" i="6"/>
  <c r="F291" i="6"/>
  <c r="AK290" i="6"/>
  <c r="AJ290" i="6"/>
  <c r="AI290" i="6"/>
  <c r="AH290" i="6"/>
  <c r="AG290" i="6"/>
  <c r="AF290" i="6"/>
  <c r="AC290" i="6"/>
  <c r="AA290" i="6"/>
  <c r="U290" i="6"/>
  <c r="K290" i="6"/>
  <c r="J290" i="6"/>
  <c r="H290" i="6"/>
  <c r="F290" i="6"/>
  <c r="AK289" i="6"/>
  <c r="AJ289" i="6"/>
  <c r="AI289" i="6"/>
  <c r="AH289" i="6"/>
  <c r="AG289" i="6"/>
  <c r="AF289" i="6"/>
  <c r="AC289" i="6"/>
  <c r="AA289" i="6"/>
  <c r="U289" i="6"/>
  <c r="K289" i="6"/>
  <c r="J289" i="6"/>
  <c r="H289" i="6"/>
  <c r="F289" i="6"/>
  <c r="AK288" i="6"/>
  <c r="AJ288" i="6"/>
  <c r="AI288" i="6"/>
  <c r="AH288" i="6"/>
  <c r="AG288" i="6"/>
  <c r="AF288" i="6"/>
  <c r="AC288" i="6"/>
  <c r="AA288" i="6"/>
  <c r="U288" i="6"/>
  <c r="K288" i="6"/>
  <c r="J288" i="6"/>
  <c r="H288" i="6"/>
  <c r="F288" i="6"/>
  <c r="AK287" i="6"/>
  <c r="AJ287" i="6"/>
  <c r="AI287" i="6"/>
  <c r="AH287" i="6"/>
  <c r="AG287" i="6"/>
  <c r="AF287" i="6"/>
  <c r="AC287" i="6"/>
  <c r="AA287" i="6"/>
  <c r="U287" i="6"/>
  <c r="K287" i="6"/>
  <c r="J287" i="6"/>
  <c r="H287" i="6"/>
  <c r="F287" i="6"/>
  <c r="AK286" i="6"/>
  <c r="AJ286" i="6"/>
  <c r="AI286" i="6"/>
  <c r="AH286" i="6"/>
  <c r="AG286" i="6"/>
  <c r="AF286" i="6"/>
  <c r="AC286" i="6"/>
  <c r="AA286" i="6"/>
  <c r="U286" i="6"/>
  <c r="K286" i="6"/>
  <c r="J286" i="6"/>
  <c r="H286" i="6"/>
  <c r="F286" i="6"/>
  <c r="AK285" i="6"/>
  <c r="AJ285" i="6"/>
  <c r="AI285" i="6"/>
  <c r="AH285" i="6"/>
  <c r="AG285" i="6"/>
  <c r="AF285" i="6"/>
  <c r="AC285" i="6"/>
  <c r="AA285" i="6"/>
  <c r="U285" i="6"/>
  <c r="K285" i="6"/>
  <c r="J285" i="6"/>
  <c r="H285" i="6"/>
  <c r="F285" i="6"/>
  <c r="AK284" i="6"/>
  <c r="AJ284" i="6"/>
  <c r="AI284" i="6"/>
  <c r="AH284" i="6"/>
  <c r="AG284" i="6"/>
  <c r="AF284" i="6"/>
  <c r="AC284" i="6"/>
  <c r="AA284" i="6"/>
  <c r="U284" i="6"/>
  <c r="K284" i="6"/>
  <c r="J284" i="6"/>
  <c r="H284" i="6"/>
  <c r="F284" i="6"/>
  <c r="AK283" i="6"/>
  <c r="AJ283" i="6"/>
  <c r="AI283" i="6"/>
  <c r="AH283" i="6"/>
  <c r="AG283" i="6"/>
  <c r="AF283" i="6"/>
  <c r="AC283" i="6"/>
  <c r="AA283" i="6"/>
  <c r="U283" i="6"/>
  <c r="K283" i="6"/>
  <c r="J283" i="6"/>
  <c r="H283" i="6"/>
  <c r="F283" i="6"/>
  <c r="AK282" i="6"/>
  <c r="AJ282" i="6"/>
  <c r="AI282" i="6"/>
  <c r="AH282" i="6"/>
  <c r="AG282" i="6"/>
  <c r="AF282" i="6"/>
  <c r="AC282" i="6"/>
  <c r="AA282" i="6"/>
  <c r="U282" i="6"/>
  <c r="K282" i="6"/>
  <c r="J282" i="6"/>
  <c r="H282" i="6"/>
  <c r="F282" i="6"/>
  <c r="AK281" i="6"/>
  <c r="AJ281" i="6"/>
  <c r="AI281" i="6"/>
  <c r="AH281" i="6"/>
  <c r="AG281" i="6"/>
  <c r="AF281" i="6"/>
  <c r="AC281" i="6"/>
  <c r="AA281" i="6"/>
  <c r="U281" i="6"/>
  <c r="K281" i="6"/>
  <c r="J281" i="6"/>
  <c r="H281" i="6"/>
  <c r="F281" i="6"/>
  <c r="AK280" i="6"/>
  <c r="AJ280" i="6"/>
  <c r="AI280" i="6"/>
  <c r="AH280" i="6"/>
  <c r="AG280" i="6"/>
  <c r="AF280" i="6"/>
  <c r="AC280" i="6"/>
  <c r="AA280" i="6"/>
  <c r="U280" i="6"/>
  <c r="K280" i="6"/>
  <c r="J280" i="6"/>
  <c r="H280" i="6"/>
  <c r="F280" i="6"/>
  <c r="AK279" i="6"/>
  <c r="AJ279" i="6"/>
  <c r="AI279" i="6"/>
  <c r="AH279" i="6"/>
  <c r="AG279" i="6"/>
  <c r="AF279" i="6"/>
  <c r="AC279" i="6"/>
  <c r="AA279" i="6"/>
  <c r="U279" i="6"/>
  <c r="K279" i="6"/>
  <c r="J279" i="6"/>
  <c r="H279" i="6"/>
  <c r="F279" i="6"/>
  <c r="AK278" i="6"/>
  <c r="AJ278" i="6"/>
  <c r="AI278" i="6"/>
  <c r="AH278" i="6"/>
  <c r="AG278" i="6"/>
  <c r="AF278" i="6"/>
  <c r="AC278" i="6"/>
  <c r="AA278" i="6"/>
  <c r="U278" i="6"/>
  <c r="K278" i="6"/>
  <c r="J278" i="6"/>
  <c r="H278" i="6"/>
  <c r="F278" i="6"/>
  <c r="AK277" i="6"/>
  <c r="AJ277" i="6"/>
  <c r="AI277" i="6"/>
  <c r="AH277" i="6"/>
  <c r="AG277" i="6"/>
  <c r="AF277" i="6"/>
  <c r="AC277" i="6"/>
  <c r="AA277" i="6"/>
  <c r="U277" i="6"/>
  <c r="K277" i="6"/>
  <c r="J277" i="6"/>
  <c r="H277" i="6"/>
  <c r="F277" i="6"/>
  <c r="AK276" i="6"/>
  <c r="AJ276" i="6"/>
  <c r="AI276" i="6"/>
  <c r="AH276" i="6"/>
  <c r="AG276" i="6"/>
  <c r="AF276" i="6"/>
  <c r="AC276" i="6"/>
  <c r="AA276" i="6"/>
  <c r="U276" i="6"/>
  <c r="K276" i="6"/>
  <c r="J276" i="6"/>
  <c r="H276" i="6"/>
  <c r="F276" i="6"/>
  <c r="AK275" i="6"/>
  <c r="AJ275" i="6"/>
  <c r="AI275" i="6"/>
  <c r="AH275" i="6"/>
  <c r="AG275" i="6"/>
  <c r="AF275" i="6"/>
  <c r="AC275" i="6"/>
  <c r="AA275" i="6"/>
  <c r="U275" i="6"/>
  <c r="K275" i="6"/>
  <c r="J275" i="6"/>
  <c r="H275" i="6"/>
  <c r="F275" i="6"/>
  <c r="AK274" i="6"/>
  <c r="AJ274" i="6"/>
  <c r="AI274" i="6"/>
  <c r="AH274" i="6"/>
  <c r="AG274" i="6"/>
  <c r="AF274" i="6"/>
  <c r="AC274" i="6"/>
  <c r="AA274" i="6"/>
  <c r="U274" i="6"/>
  <c r="K274" i="6"/>
  <c r="J274" i="6"/>
  <c r="H274" i="6"/>
  <c r="F274" i="6"/>
  <c r="AK273" i="6"/>
  <c r="AJ273" i="6"/>
  <c r="AI273" i="6"/>
  <c r="AH273" i="6"/>
  <c r="AG273" i="6"/>
  <c r="AF273" i="6"/>
  <c r="AC273" i="6"/>
  <c r="AA273" i="6"/>
  <c r="U273" i="6"/>
  <c r="K273" i="6"/>
  <c r="J273" i="6"/>
  <c r="H273" i="6"/>
  <c r="F273" i="6"/>
  <c r="AK272" i="6"/>
  <c r="AJ272" i="6"/>
  <c r="AI272" i="6"/>
  <c r="AH272" i="6"/>
  <c r="AG272" i="6"/>
  <c r="AF272" i="6"/>
  <c r="AC272" i="6"/>
  <c r="AA272" i="6"/>
  <c r="U272" i="6"/>
  <c r="K272" i="6"/>
  <c r="J272" i="6"/>
  <c r="H272" i="6"/>
  <c r="F272" i="6"/>
  <c r="AK271" i="6"/>
  <c r="AJ271" i="6"/>
  <c r="AI271" i="6"/>
  <c r="AH271" i="6"/>
  <c r="AG271" i="6"/>
  <c r="AF271" i="6"/>
  <c r="AC271" i="6"/>
  <c r="AA271" i="6"/>
  <c r="U271" i="6"/>
  <c r="K271" i="6"/>
  <c r="J271" i="6"/>
  <c r="H271" i="6"/>
  <c r="F271" i="6"/>
  <c r="AK270" i="6"/>
  <c r="AJ270" i="6"/>
  <c r="AI270" i="6"/>
  <c r="AH270" i="6"/>
  <c r="AG270" i="6"/>
  <c r="AF270" i="6"/>
  <c r="AC270" i="6"/>
  <c r="AA270" i="6"/>
  <c r="U270" i="6"/>
  <c r="K270" i="6"/>
  <c r="J270" i="6"/>
  <c r="H270" i="6"/>
  <c r="F270" i="6"/>
  <c r="AK269" i="6"/>
  <c r="AJ269" i="6"/>
  <c r="AI269" i="6"/>
  <c r="AH269" i="6"/>
  <c r="AG269" i="6"/>
  <c r="AF269" i="6"/>
  <c r="AC269" i="6"/>
  <c r="AA269" i="6"/>
  <c r="U269" i="6"/>
  <c r="K269" i="6"/>
  <c r="J269" i="6"/>
  <c r="H269" i="6"/>
  <c r="F269" i="6"/>
  <c r="AK268" i="6"/>
  <c r="AJ268" i="6"/>
  <c r="AI268" i="6"/>
  <c r="AH268" i="6"/>
  <c r="AG268" i="6"/>
  <c r="AF268" i="6"/>
  <c r="AC268" i="6"/>
  <c r="AA268" i="6"/>
  <c r="U268" i="6"/>
  <c r="K268" i="6"/>
  <c r="J268" i="6"/>
  <c r="H268" i="6"/>
  <c r="F268" i="6"/>
  <c r="AK267" i="6"/>
  <c r="AJ267" i="6"/>
  <c r="AI267" i="6"/>
  <c r="AH267" i="6"/>
  <c r="AG267" i="6"/>
  <c r="AF267" i="6"/>
  <c r="AC267" i="6"/>
  <c r="AA267" i="6"/>
  <c r="U267" i="6"/>
  <c r="K267" i="6"/>
  <c r="J267" i="6"/>
  <c r="H267" i="6"/>
  <c r="F267" i="6"/>
  <c r="AK266" i="6"/>
  <c r="AJ266" i="6"/>
  <c r="AI266" i="6"/>
  <c r="AH266" i="6"/>
  <c r="AG266" i="6"/>
  <c r="AF266" i="6"/>
  <c r="AC266" i="6"/>
  <c r="AA266" i="6"/>
  <c r="U266" i="6"/>
  <c r="K266" i="6"/>
  <c r="J266" i="6"/>
  <c r="H266" i="6"/>
  <c r="F266" i="6"/>
  <c r="AK265" i="6"/>
  <c r="AJ265" i="6"/>
  <c r="AI265" i="6"/>
  <c r="AH265" i="6"/>
  <c r="AG265" i="6"/>
  <c r="AF265" i="6"/>
  <c r="AC265" i="6"/>
  <c r="AA265" i="6"/>
  <c r="U265" i="6"/>
  <c r="K265" i="6"/>
  <c r="J265" i="6"/>
  <c r="H265" i="6"/>
  <c r="F265" i="6"/>
  <c r="AK264" i="6"/>
  <c r="AJ264" i="6"/>
  <c r="AI264" i="6"/>
  <c r="AH264" i="6"/>
  <c r="AG264" i="6"/>
  <c r="AF264" i="6"/>
  <c r="AC264" i="6"/>
  <c r="AA264" i="6"/>
  <c r="U264" i="6"/>
  <c r="K264" i="6"/>
  <c r="J264" i="6"/>
  <c r="H264" i="6"/>
  <c r="F264" i="6"/>
  <c r="AK263" i="6"/>
  <c r="AJ263" i="6"/>
  <c r="AI263" i="6"/>
  <c r="AH263" i="6"/>
  <c r="AG263" i="6"/>
  <c r="AF263" i="6"/>
  <c r="AC263" i="6"/>
  <c r="AA263" i="6"/>
  <c r="U263" i="6"/>
  <c r="K263" i="6"/>
  <c r="J263" i="6"/>
  <c r="H263" i="6"/>
  <c r="F263" i="6"/>
  <c r="AK262" i="6"/>
  <c r="AJ262" i="6"/>
  <c r="AI262" i="6"/>
  <c r="AH262" i="6"/>
  <c r="AG262" i="6"/>
  <c r="AF262" i="6"/>
  <c r="AC262" i="6"/>
  <c r="AA262" i="6"/>
  <c r="U262" i="6"/>
  <c r="K262" i="6"/>
  <c r="J262" i="6"/>
  <c r="H262" i="6"/>
  <c r="F262" i="6"/>
  <c r="AK261" i="6"/>
  <c r="AJ261" i="6"/>
  <c r="AI261" i="6"/>
  <c r="AH261" i="6"/>
  <c r="AG261" i="6"/>
  <c r="AF261" i="6"/>
  <c r="AC261" i="6"/>
  <c r="AA261" i="6"/>
  <c r="U261" i="6"/>
  <c r="K261" i="6"/>
  <c r="J261" i="6"/>
  <c r="H261" i="6"/>
  <c r="F261" i="6"/>
  <c r="AK260" i="6"/>
  <c r="AJ260" i="6"/>
  <c r="AI260" i="6"/>
  <c r="AH260" i="6"/>
  <c r="AG260" i="6"/>
  <c r="AF260" i="6"/>
  <c r="AC260" i="6"/>
  <c r="AA260" i="6"/>
  <c r="U260" i="6"/>
  <c r="K260" i="6"/>
  <c r="J260" i="6"/>
  <c r="H260" i="6"/>
  <c r="F260" i="6"/>
  <c r="AK259" i="6"/>
  <c r="AJ259" i="6"/>
  <c r="AI259" i="6"/>
  <c r="AH259" i="6"/>
  <c r="AG259" i="6"/>
  <c r="AF259" i="6"/>
  <c r="AC259" i="6"/>
  <c r="AA259" i="6"/>
  <c r="U259" i="6"/>
  <c r="K259" i="6"/>
  <c r="J259" i="6"/>
  <c r="H259" i="6"/>
  <c r="F259" i="6"/>
  <c r="AK258" i="6"/>
  <c r="AJ258" i="6"/>
  <c r="AI258" i="6"/>
  <c r="AH258" i="6"/>
  <c r="AG258" i="6"/>
  <c r="AF258" i="6"/>
  <c r="AC258" i="6"/>
  <c r="AA258" i="6"/>
  <c r="U258" i="6"/>
  <c r="K258" i="6"/>
  <c r="J258" i="6"/>
  <c r="H258" i="6"/>
  <c r="F258" i="6"/>
  <c r="AK257" i="6"/>
  <c r="AJ257" i="6"/>
  <c r="AI257" i="6"/>
  <c r="AH257" i="6"/>
  <c r="AG257" i="6"/>
  <c r="AF257" i="6"/>
  <c r="AC257" i="6"/>
  <c r="AA257" i="6"/>
  <c r="U257" i="6"/>
  <c r="K257" i="6"/>
  <c r="J257" i="6"/>
  <c r="H257" i="6"/>
  <c r="F257" i="6"/>
  <c r="AK256" i="6"/>
  <c r="AJ256" i="6"/>
  <c r="AI256" i="6"/>
  <c r="AH256" i="6"/>
  <c r="AG256" i="6"/>
  <c r="AF256" i="6"/>
  <c r="AC256" i="6"/>
  <c r="AA256" i="6"/>
  <c r="U256" i="6"/>
  <c r="K256" i="6"/>
  <c r="J256" i="6"/>
  <c r="H256" i="6"/>
  <c r="F256" i="6"/>
  <c r="AK255" i="6"/>
  <c r="AJ255" i="6"/>
  <c r="AI255" i="6"/>
  <c r="AH255" i="6"/>
  <c r="AG255" i="6"/>
  <c r="AF255" i="6"/>
  <c r="AC255" i="6"/>
  <c r="AA255" i="6"/>
  <c r="U255" i="6"/>
  <c r="K255" i="6"/>
  <c r="J255" i="6"/>
  <c r="H255" i="6"/>
  <c r="F255" i="6"/>
  <c r="AK254" i="6"/>
  <c r="AJ254" i="6"/>
  <c r="AI254" i="6"/>
  <c r="AH254" i="6"/>
  <c r="AG254" i="6"/>
  <c r="AF254" i="6"/>
  <c r="AC254" i="6"/>
  <c r="AA254" i="6"/>
  <c r="U254" i="6"/>
  <c r="K254" i="6"/>
  <c r="J254" i="6"/>
  <c r="H254" i="6"/>
  <c r="F254" i="6"/>
  <c r="AK253" i="6"/>
  <c r="AJ253" i="6"/>
  <c r="AI253" i="6"/>
  <c r="AH253" i="6"/>
  <c r="AG253" i="6"/>
  <c r="AF253" i="6"/>
  <c r="AC253" i="6"/>
  <c r="AA253" i="6"/>
  <c r="U253" i="6"/>
  <c r="K253" i="6"/>
  <c r="J253" i="6"/>
  <c r="H253" i="6"/>
  <c r="F253" i="6"/>
  <c r="AK252" i="6"/>
  <c r="AJ252" i="6"/>
  <c r="AI252" i="6"/>
  <c r="AH252" i="6"/>
  <c r="AG252" i="6"/>
  <c r="AF252" i="6"/>
  <c r="AC252" i="6"/>
  <c r="AA252" i="6"/>
  <c r="U252" i="6"/>
  <c r="K252" i="6"/>
  <c r="J252" i="6"/>
  <c r="H252" i="6"/>
  <c r="F252" i="6"/>
  <c r="AK251" i="6"/>
  <c r="AJ251" i="6"/>
  <c r="AI251" i="6"/>
  <c r="AH251" i="6"/>
  <c r="AG251" i="6"/>
  <c r="AF251" i="6"/>
  <c r="AC251" i="6"/>
  <c r="AA251" i="6"/>
  <c r="U251" i="6"/>
  <c r="K251" i="6"/>
  <c r="J251" i="6"/>
  <c r="H251" i="6"/>
  <c r="F251" i="6"/>
  <c r="AK250" i="6"/>
  <c r="AJ250" i="6"/>
  <c r="AI250" i="6"/>
  <c r="AH250" i="6"/>
  <c r="AG250" i="6"/>
  <c r="AF250" i="6"/>
  <c r="AC250" i="6"/>
  <c r="AA250" i="6"/>
  <c r="U250" i="6"/>
  <c r="K250" i="6"/>
  <c r="J250" i="6"/>
  <c r="H250" i="6"/>
  <c r="F250" i="6"/>
  <c r="AK249" i="6"/>
  <c r="AJ249" i="6"/>
  <c r="AI249" i="6"/>
  <c r="AH249" i="6"/>
  <c r="AG249" i="6"/>
  <c r="AF249" i="6"/>
  <c r="AC249" i="6"/>
  <c r="AA249" i="6"/>
  <c r="U249" i="6"/>
  <c r="K249" i="6"/>
  <c r="J249" i="6"/>
  <c r="H249" i="6"/>
  <c r="F249" i="6"/>
  <c r="AK248" i="6"/>
  <c r="AJ248" i="6"/>
  <c r="AI248" i="6"/>
  <c r="AH248" i="6"/>
  <c r="AG248" i="6"/>
  <c r="AF248" i="6"/>
  <c r="AC248" i="6"/>
  <c r="AA248" i="6"/>
  <c r="U248" i="6"/>
  <c r="K248" i="6"/>
  <c r="J248" i="6"/>
  <c r="H248" i="6"/>
  <c r="F248" i="6"/>
  <c r="AK247" i="6"/>
  <c r="AJ247" i="6"/>
  <c r="AI247" i="6"/>
  <c r="AH247" i="6"/>
  <c r="AG247" i="6"/>
  <c r="AF247" i="6"/>
  <c r="AC247" i="6"/>
  <c r="AA247" i="6"/>
  <c r="U247" i="6"/>
  <c r="K247" i="6"/>
  <c r="J247" i="6"/>
  <c r="H247" i="6"/>
  <c r="F247" i="6"/>
  <c r="AK246" i="6"/>
  <c r="AJ246" i="6"/>
  <c r="AI246" i="6"/>
  <c r="AH246" i="6"/>
  <c r="AG246" i="6"/>
  <c r="AF246" i="6"/>
  <c r="AC246" i="6"/>
  <c r="AA246" i="6"/>
  <c r="U246" i="6"/>
  <c r="K246" i="6"/>
  <c r="J246" i="6"/>
  <c r="H246" i="6"/>
  <c r="F246" i="6"/>
  <c r="AK245" i="6"/>
  <c r="AJ245" i="6"/>
  <c r="AI245" i="6"/>
  <c r="AH245" i="6"/>
  <c r="AG245" i="6"/>
  <c r="AF245" i="6"/>
  <c r="AC245" i="6"/>
  <c r="AA245" i="6"/>
  <c r="U245" i="6"/>
  <c r="K245" i="6"/>
  <c r="J245" i="6"/>
  <c r="H245" i="6"/>
  <c r="F245" i="6"/>
  <c r="AK244" i="6"/>
  <c r="AJ244" i="6"/>
  <c r="AI244" i="6"/>
  <c r="AH244" i="6"/>
  <c r="AG244" i="6"/>
  <c r="AF244" i="6"/>
  <c r="AC244" i="6"/>
  <c r="AA244" i="6"/>
  <c r="U244" i="6"/>
  <c r="K244" i="6"/>
  <c r="J244" i="6"/>
  <c r="H244" i="6"/>
  <c r="F244" i="6"/>
  <c r="AK243" i="6"/>
  <c r="AJ243" i="6"/>
  <c r="AI243" i="6"/>
  <c r="AH243" i="6"/>
  <c r="AG243" i="6"/>
  <c r="AF243" i="6"/>
  <c r="AC243" i="6"/>
  <c r="AA243" i="6"/>
  <c r="U243" i="6"/>
  <c r="K243" i="6"/>
  <c r="J243" i="6"/>
  <c r="H243" i="6"/>
  <c r="F243" i="6"/>
  <c r="AK242" i="6"/>
  <c r="AJ242" i="6"/>
  <c r="AI242" i="6"/>
  <c r="AH242" i="6"/>
  <c r="AG242" i="6"/>
  <c r="AF242" i="6"/>
  <c r="AC242" i="6"/>
  <c r="AA242" i="6"/>
  <c r="U242" i="6"/>
  <c r="K242" i="6"/>
  <c r="J242" i="6"/>
  <c r="H242" i="6"/>
  <c r="F242" i="6"/>
  <c r="AK241" i="6"/>
  <c r="AJ241" i="6"/>
  <c r="AI241" i="6"/>
  <c r="AH241" i="6"/>
  <c r="AG241" i="6"/>
  <c r="AF241" i="6"/>
  <c r="AC241" i="6"/>
  <c r="AA241" i="6"/>
  <c r="U241" i="6"/>
  <c r="K241" i="6"/>
  <c r="J241" i="6"/>
  <c r="H241" i="6"/>
  <c r="F241" i="6"/>
  <c r="AK240" i="6"/>
  <c r="AJ240" i="6"/>
  <c r="AI240" i="6"/>
  <c r="AH240" i="6"/>
  <c r="AG240" i="6"/>
  <c r="AF240" i="6"/>
  <c r="AC240" i="6"/>
  <c r="AA240" i="6"/>
  <c r="U240" i="6"/>
  <c r="K240" i="6"/>
  <c r="J240" i="6"/>
  <c r="H240" i="6"/>
  <c r="F240" i="6"/>
  <c r="AK239" i="6"/>
  <c r="AJ239" i="6"/>
  <c r="AI239" i="6"/>
  <c r="AH239" i="6"/>
  <c r="AG239" i="6"/>
  <c r="AF239" i="6"/>
  <c r="AC239" i="6"/>
  <c r="AA239" i="6"/>
  <c r="U239" i="6"/>
  <c r="K239" i="6"/>
  <c r="J239" i="6"/>
  <c r="H239" i="6"/>
  <c r="F239" i="6"/>
  <c r="AK238" i="6"/>
  <c r="AJ238" i="6"/>
  <c r="AI238" i="6"/>
  <c r="AH238" i="6"/>
  <c r="AG238" i="6"/>
  <c r="AF238" i="6"/>
  <c r="AC238" i="6"/>
  <c r="AA238" i="6"/>
  <c r="U238" i="6"/>
  <c r="K238" i="6"/>
  <c r="J238" i="6"/>
  <c r="H238" i="6"/>
  <c r="F238" i="6"/>
  <c r="AK237" i="6"/>
  <c r="AJ237" i="6"/>
  <c r="AI237" i="6"/>
  <c r="AH237" i="6"/>
  <c r="AG237" i="6"/>
  <c r="AF237" i="6"/>
  <c r="AC237" i="6"/>
  <c r="AA237" i="6"/>
  <c r="U237" i="6"/>
  <c r="K237" i="6"/>
  <c r="J237" i="6"/>
  <c r="H237" i="6"/>
  <c r="F237" i="6"/>
  <c r="AK236" i="6"/>
  <c r="AJ236" i="6"/>
  <c r="AI236" i="6"/>
  <c r="AH236" i="6"/>
  <c r="AG236" i="6"/>
  <c r="AF236" i="6"/>
  <c r="AC236" i="6"/>
  <c r="AA236" i="6"/>
  <c r="U236" i="6"/>
  <c r="K236" i="6"/>
  <c r="J236" i="6"/>
  <c r="H236" i="6"/>
  <c r="F236" i="6"/>
  <c r="AK235" i="6"/>
  <c r="AJ235" i="6"/>
  <c r="AI235" i="6"/>
  <c r="AH235" i="6"/>
  <c r="AG235" i="6"/>
  <c r="AF235" i="6"/>
  <c r="AC235" i="6"/>
  <c r="AA235" i="6"/>
  <c r="U235" i="6"/>
  <c r="K235" i="6"/>
  <c r="J235" i="6"/>
  <c r="H235" i="6"/>
  <c r="F235" i="6"/>
  <c r="AK234" i="6"/>
  <c r="AJ234" i="6"/>
  <c r="AI234" i="6"/>
  <c r="AH234" i="6"/>
  <c r="AG234" i="6"/>
  <c r="AF234" i="6"/>
  <c r="AC234" i="6"/>
  <c r="AA234" i="6"/>
  <c r="U234" i="6"/>
  <c r="K234" i="6"/>
  <c r="J234" i="6"/>
  <c r="H234" i="6"/>
  <c r="F234" i="6"/>
  <c r="AK233" i="6"/>
  <c r="AJ233" i="6"/>
  <c r="AI233" i="6"/>
  <c r="AH233" i="6"/>
  <c r="AG233" i="6"/>
  <c r="AF233" i="6"/>
  <c r="AC233" i="6"/>
  <c r="AA233" i="6"/>
  <c r="U233" i="6"/>
  <c r="K233" i="6"/>
  <c r="J233" i="6"/>
  <c r="H233" i="6"/>
  <c r="F233" i="6"/>
  <c r="AK232" i="6"/>
  <c r="AJ232" i="6"/>
  <c r="AI232" i="6"/>
  <c r="AH232" i="6"/>
  <c r="AG232" i="6"/>
  <c r="AF232" i="6"/>
  <c r="AC232" i="6"/>
  <c r="AA232" i="6"/>
  <c r="U232" i="6"/>
  <c r="K232" i="6"/>
  <c r="J232" i="6"/>
  <c r="H232" i="6"/>
  <c r="F232" i="6"/>
  <c r="AK231" i="6"/>
  <c r="AJ231" i="6"/>
  <c r="AI231" i="6"/>
  <c r="AH231" i="6"/>
  <c r="AG231" i="6"/>
  <c r="AF231" i="6"/>
  <c r="AC231" i="6"/>
  <c r="AA231" i="6"/>
  <c r="U231" i="6"/>
  <c r="K231" i="6"/>
  <c r="J231" i="6"/>
  <c r="H231" i="6"/>
  <c r="F231" i="6"/>
  <c r="AK230" i="6"/>
  <c r="AJ230" i="6"/>
  <c r="AI230" i="6"/>
  <c r="AH230" i="6"/>
  <c r="AG230" i="6"/>
  <c r="AF230" i="6"/>
  <c r="AC230" i="6"/>
  <c r="AA230" i="6"/>
  <c r="U230" i="6"/>
  <c r="K230" i="6"/>
  <c r="J230" i="6"/>
  <c r="H230" i="6"/>
  <c r="F230" i="6"/>
  <c r="AK229" i="6"/>
  <c r="AJ229" i="6"/>
  <c r="AI229" i="6"/>
  <c r="AH229" i="6"/>
  <c r="AG229" i="6"/>
  <c r="AF229" i="6"/>
  <c r="AC229" i="6"/>
  <c r="AA229" i="6"/>
  <c r="U229" i="6"/>
  <c r="K229" i="6"/>
  <c r="J229" i="6"/>
  <c r="H229" i="6"/>
  <c r="F229" i="6"/>
  <c r="AK228" i="6"/>
  <c r="AJ228" i="6"/>
  <c r="AI228" i="6"/>
  <c r="AH228" i="6"/>
  <c r="AG228" i="6"/>
  <c r="AF228" i="6"/>
  <c r="AC228" i="6"/>
  <c r="AA228" i="6"/>
  <c r="U228" i="6"/>
  <c r="K228" i="6"/>
  <c r="J228" i="6"/>
  <c r="H228" i="6"/>
  <c r="F228" i="6"/>
  <c r="AK227" i="6"/>
  <c r="AJ227" i="6"/>
  <c r="AI227" i="6"/>
  <c r="AH227" i="6"/>
  <c r="AG227" i="6"/>
  <c r="AF227" i="6"/>
  <c r="AC227" i="6"/>
  <c r="AA227" i="6"/>
  <c r="U227" i="6"/>
  <c r="K227" i="6"/>
  <c r="J227" i="6"/>
  <c r="H227" i="6"/>
  <c r="F227" i="6"/>
  <c r="AK226" i="6"/>
  <c r="AJ226" i="6"/>
  <c r="AI226" i="6"/>
  <c r="AH226" i="6"/>
  <c r="AG226" i="6"/>
  <c r="AF226" i="6"/>
  <c r="AC226" i="6"/>
  <c r="AA226" i="6"/>
  <c r="U226" i="6"/>
  <c r="K226" i="6"/>
  <c r="J226" i="6"/>
  <c r="H226" i="6"/>
  <c r="F226" i="6"/>
  <c r="AK225" i="6"/>
  <c r="AJ225" i="6"/>
  <c r="AI225" i="6"/>
  <c r="AH225" i="6"/>
  <c r="AG225" i="6"/>
  <c r="AF225" i="6"/>
  <c r="AC225" i="6"/>
  <c r="AA225" i="6"/>
  <c r="U225" i="6"/>
  <c r="K225" i="6"/>
  <c r="J225" i="6"/>
  <c r="H225" i="6"/>
  <c r="F225" i="6"/>
  <c r="AK224" i="6"/>
  <c r="AJ224" i="6"/>
  <c r="AI224" i="6"/>
  <c r="AH224" i="6"/>
  <c r="AG224" i="6"/>
  <c r="AF224" i="6"/>
  <c r="AC224" i="6"/>
  <c r="AA224" i="6"/>
  <c r="U224" i="6"/>
  <c r="K224" i="6"/>
  <c r="J224" i="6"/>
  <c r="H224" i="6"/>
  <c r="F224" i="6"/>
  <c r="AK223" i="6"/>
  <c r="AJ223" i="6"/>
  <c r="AI223" i="6"/>
  <c r="AH223" i="6"/>
  <c r="AG223" i="6"/>
  <c r="AF223" i="6"/>
  <c r="AC223" i="6"/>
  <c r="AA223" i="6"/>
  <c r="U223" i="6"/>
  <c r="K223" i="6"/>
  <c r="J223" i="6"/>
  <c r="H223" i="6"/>
  <c r="F223" i="6"/>
  <c r="AK222" i="6"/>
  <c r="AJ222" i="6"/>
  <c r="AI222" i="6"/>
  <c r="AH222" i="6"/>
  <c r="AG222" i="6"/>
  <c r="AF222" i="6"/>
  <c r="AC222" i="6"/>
  <c r="AA222" i="6"/>
  <c r="U222" i="6"/>
  <c r="K222" i="6"/>
  <c r="J222" i="6"/>
  <c r="H222" i="6"/>
  <c r="F222" i="6"/>
  <c r="AK221" i="6"/>
  <c r="AJ221" i="6"/>
  <c r="AI221" i="6"/>
  <c r="AH221" i="6"/>
  <c r="AG221" i="6"/>
  <c r="AF221" i="6"/>
  <c r="AC221" i="6"/>
  <c r="AA221" i="6"/>
  <c r="U221" i="6"/>
  <c r="K221" i="6"/>
  <c r="J221" i="6"/>
  <c r="H221" i="6"/>
  <c r="F221" i="6"/>
  <c r="AK220" i="6"/>
  <c r="AJ220" i="6"/>
  <c r="AI220" i="6"/>
  <c r="AH220" i="6"/>
  <c r="AG220" i="6"/>
  <c r="AF220" i="6"/>
  <c r="AC220" i="6"/>
  <c r="AA220" i="6"/>
  <c r="U220" i="6"/>
  <c r="K220" i="6"/>
  <c r="J220" i="6"/>
  <c r="H220" i="6"/>
  <c r="F220" i="6"/>
  <c r="AK219" i="6"/>
  <c r="AJ219" i="6"/>
  <c r="AI219" i="6"/>
  <c r="AH219" i="6"/>
  <c r="AG219" i="6"/>
  <c r="AF219" i="6"/>
  <c r="AC219" i="6"/>
  <c r="AA219" i="6"/>
  <c r="U219" i="6"/>
  <c r="K219" i="6"/>
  <c r="J219" i="6"/>
  <c r="H219" i="6"/>
  <c r="F219" i="6"/>
  <c r="AK218" i="6"/>
  <c r="AJ218" i="6"/>
  <c r="AI218" i="6"/>
  <c r="AH218" i="6"/>
  <c r="AG218" i="6"/>
  <c r="AF218" i="6"/>
  <c r="AC218" i="6"/>
  <c r="AA218" i="6"/>
  <c r="U218" i="6"/>
  <c r="K218" i="6"/>
  <c r="J218" i="6"/>
  <c r="H218" i="6"/>
  <c r="F218" i="6"/>
  <c r="AK217" i="6"/>
  <c r="AJ217" i="6"/>
  <c r="AI217" i="6"/>
  <c r="AH217" i="6"/>
  <c r="AG217" i="6"/>
  <c r="AF217" i="6"/>
  <c r="AC217" i="6"/>
  <c r="AA217" i="6"/>
  <c r="U217" i="6"/>
  <c r="K217" i="6"/>
  <c r="J217" i="6"/>
  <c r="H217" i="6"/>
  <c r="F217" i="6"/>
  <c r="AK216" i="6"/>
  <c r="AJ216" i="6"/>
  <c r="AI216" i="6"/>
  <c r="AH216" i="6"/>
  <c r="AG216" i="6"/>
  <c r="AF216" i="6"/>
  <c r="AC216" i="6"/>
  <c r="AA216" i="6"/>
  <c r="U216" i="6"/>
  <c r="K216" i="6"/>
  <c r="J216" i="6"/>
  <c r="H216" i="6"/>
  <c r="F216" i="6"/>
  <c r="AK215" i="6"/>
  <c r="AJ215" i="6"/>
  <c r="AI215" i="6"/>
  <c r="AH215" i="6"/>
  <c r="AG215" i="6"/>
  <c r="AF215" i="6"/>
  <c r="AC215" i="6"/>
  <c r="AA215" i="6"/>
  <c r="U215" i="6"/>
  <c r="K215" i="6"/>
  <c r="J215" i="6"/>
  <c r="H215" i="6"/>
  <c r="F215" i="6"/>
  <c r="AK214" i="6"/>
  <c r="AJ214" i="6"/>
  <c r="AI214" i="6"/>
  <c r="AH214" i="6"/>
  <c r="AG214" i="6"/>
  <c r="AF214" i="6"/>
  <c r="AC214" i="6"/>
  <c r="AA214" i="6"/>
  <c r="U214" i="6"/>
  <c r="K214" i="6"/>
  <c r="J214" i="6"/>
  <c r="H214" i="6"/>
  <c r="F214" i="6"/>
  <c r="AK213" i="6"/>
  <c r="AJ213" i="6"/>
  <c r="AI213" i="6"/>
  <c r="AH213" i="6"/>
  <c r="AG213" i="6"/>
  <c r="AF213" i="6"/>
  <c r="AC213" i="6"/>
  <c r="AA213" i="6"/>
  <c r="U213" i="6"/>
  <c r="K213" i="6"/>
  <c r="J213" i="6"/>
  <c r="H213" i="6"/>
  <c r="F213" i="6"/>
  <c r="AK212" i="6"/>
  <c r="AJ212" i="6"/>
  <c r="AI212" i="6"/>
  <c r="AH212" i="6"/>
  <c r="AG212" i="6"/>
  <c r="AF212" i="6"/>
  <c r="AC212" i="6"/>
  <c r="AA212" i="6"/>
  <c r="U212" i="6"/>
  <c r="K212" i="6"/>
  <c r="J212" i="6"/>
  <c r="H212" i="6"/>
  <c r="F212" i="6"/>
  <c r="AK211" i="6"/>
  <c r="AJ211" i="6"/>
  <c r="AI211" i="6"/>
  <c r="AH211" i="6"/>
  <c r="AG211" i="6"/>
  <c r="AF211" i="6"/>
  <c r="AC211" i="6"/>
  <c r="AA211" i="6"/>
  <c r="U211" i="6"/>
  <c r="K211" i="6"/>
  <c r="J211" i="6"/>
  <c r="H211" i="6"/>
  <c r="F211" i="6"/>
  <c r="AK210" i="6"/>
  <c r="AJ210" i="6"/>
  <c r="AI210" i="6"/>
  <c r="AH210" i="6"/>
  <c r="AG210" i="6"/>
  <c r="AF210" i="6"/>
  <c r="AC210" i="6"/>
  <c r="AA210" i="6"/>
  <c r="U210" i="6"/>
  <c r="K210" i="6"/>
  <c r="J210" i="6"/>
  <c r="H210" i="6"/>
  <c r="F210" i="6"/>
  <c r="AK209" i="6"/>
  <c r="AJ209" i="6"/>
  <c r="AI209" i="6"/>
  <c r="AH209" i="6"/>
  <c r="AG209" i="6"/>
  <c r="AF209" i="6"/>
  <c r="AC209" i="6"/>
  <c r="AA209" i="6"/>
  <c r="U209" i="6"/>
  <c r="K209" i="6"/>
  <c r="J209" i="6"/>
  <c r="H209" i="6"/>
  <c r="F209" i="6"/>
  <c r="AK208" i="6"/>
  <c r="AJ208" i="6"/>
  <c r="AI208" i="6"/>
  <c r="AH208" i="6"/>
  <c r="AG208" i="6"/>
  <c r="AF208" i="6"/>
  <c r="AC208" i="6"/>
  <c r="AA208" i="6"/>
  <c r="U208" i="6"/>
  <c r="K208" i="6"/>
  <c r="J208" i="6"/>
  <c r="H208" i="6"/>
  <c r="F208" i="6"/>
  <c r="AK207" i="6"/>
  <c r="AJ207" i="6"/>
  <c r="AI207" i="6"/>
  <c r="AH207" i="6"/>
  <c r="AG207" i="6"/>
  <c r="AF207" i="6"/>
  <c r="AC207" i="6"/>
  <c r="AA207" i="6"/>
  <c r="U207" i="6"/>
  <c r="K207" i="6"/>
  <c r="J207" i="6"/>
  <c r="H207" i="6"/>
  <c r="F207" i="6"/>
  <c r="AK206" i="6"/>
  <c r="AJ206" i="6"/>
  <c r="AI206" i="6"/>
  <c r="AH206" i="6"/>
  <c r="AG206" i="6"/>
  <c r="AF206" i="6"/>
  <c r="AC206" i="6"/>
  <c r="AA206" i="6"/>
  <c r="U206" i="6"/>
  <c r="K206" i="6"/>
  <c r="J206" i="6"/>
  <c r="H206" i="6"/>
  <c r="F206" i="6"/>
  <c r="AK205" i="6"/>
  <c r="AJ205" i="6"/>
  <c r="AI205" i="6"/>
  <c r="AH205" i="6"/>
  <c r="AG205" i="6"/>
  <c r="AF205" i="6"/>
  <c r="AC205" i="6"/>
  <c r="AA205" i="6"/>
  <c r="U205" i="6"/>
  <c r="K205" i="6"/>
  <c r="J205" i="6"/>
  <c r="H205" i="6"/>
  <c r="F205" i="6"/>
  <c r="AK204" i="6"/>
  <c r="AJ204" i="6"/>
  <c r="AI204" i="6"/>
  <c r="AH204" i="6"/>
  <c r="AG204" i="6"/>
  <c r="AF204" i="6"/>
  <c r="AC204" i="6"/>
  <c r="AA204" i="6"/>
  <c r="U204" i="6"/>
  <c r="K204" i="6"/>
  <c r="J204" i="6"/>
  <c r="H204" i="6"/>
  <c r="F204" i="6"/>
  <c r="AK203" i="6"/>
  <c r="AJ203" i="6"/>
  <c r="AI203" i="6"/>
  <c r="AH203" i="6"/>
  <c r="AG203" i="6"/>
  <c r="AF203" i="6"/>
  <c r="AC203" i="6"/>
  <c r="AA203" i="6"/>
  <c r="U203" i="6"/>
  <c r="K203" i="6"/>
  <c r="J203" i="6"/>
  <c r="H203" i="6"/>
  <c r="F203" i="6"/>
  <c r="AK202" i="6"/>
  <c r="AJ202" i="6"/>
  <c r="AI202" i="6"/>
  <c r="AH202" i="6"/>
  <c r="AG202" i="6"/>
  <c r="AF202" i="6"/>
  <c r="AC202" i="6"/>
  <c r="AA202" i="6"/>
  <c r="U202" i="6"/>
  <c r="K202" i="6"/>
  <c r="J202" i="6"/>
  <c r="H202" i="6"/>
  <c r="F202" i="6"/>
  <c r="AK201" i="6"/>
  <c r="AJ201" i="6"/>
  <c r="AI201" i="6"/>
  <c r="AH201" i="6"/>
  <c r="AG201" i="6"/>
  <c r="AF201" i="6"/>
  <c r="AC201" i="6"/>
  <c r="AA201" i="6"/>
  <c r="U201" i="6"/>
  <c r="K201" i="6"/>
  <c r="J201" i="6"/>
  <c r="H201" i="6"/>
  <c r="F201" i="6"/>
  <c r="AK200" i="6"/>
  <c r="AJ200" i="6"/>
  <c r="AI200" i="6"/>
  <c r="AH200" i="6"/>
  <c r="AG200" i="6"/>
  <c r="AF200" i="6"/>
  <c r="AC200" i="6"/>
  <c r="AA200" i="6"/>
  <c r="U200" i="6"/>
  <c r="K200" i="6"/>
  <c r="J200" i="6"/>
  <c r="H200" i="6"/>
  <c r="F200" i="6"/>
  <c r="AK199" i="6"/>
  <c r="AJ199" i="6"/>
  <c r="AI199" i="6"/>
  <c r="AH199" i="6"/>
  <c r="AG199" i="6"/>
  <c r="AF199" i="6"/>
  <c r="AC199" i="6"/>
  <c r="AA199" i="6"/>
  <c r="U199" i="6"/>
  <c r="K199" i="6"/>
  <c r="J199" i="6"/>
  <c r="H199" i="6"/>
  <c r="F199" i="6"/>
  <c r="AK198" i="6"/>
  <c r="AJ198" i="6"/>
  <c r="AI198" i="6"/>
  <c r="AH198" i="6"/>
  <c r="AG198" i="6"/>
  <c r="AF198" i="6"/>
  <c r="AC198" i="6"/>
  <c r="AA198" i="6"/>
  <c r="U198" i="6"/>
  <c r="K198" i="6"/>
  <c r="J198" i="6"/>
  <c r="H198" i="6"/>
  <c r="F198" i="6"/>
  <c r="AK197" i="6"/>
  <c r="AJ197" i="6"/>
  <c r="AI197" i="6"/>
  <c r="AH197" i="6"/>
  <c r="AG197" i="6"/>
  <c r="AF197" i="6"/>
  <c r="AC197" i="6"/>
  <c r="AA197" i="6"/>
  <c r="U197" i="6"/>
  <c r="K197" i="6"/>
  <c r="J197" i="6"/>
  <c r="H197" i="6"/>
  <c r="F197" i="6"/>
  <c r="AK196" i="6"/>
  <c r="AJ196" i="6"/>
  <c r="AI196" i="6"/>
  <c r="AH196" i="6"/>
  <c r="AG196" i="6"/>
  <c r="AF196" i="6"/>
  <c r="AC196" i="6"/>
  <c r="AA196" i="6"/>
  <c r="U196" i="6"/>
  <c r="K196" i="6"/>
  <c r="J196" i="6"/>
  <c r="H196" i="6"/>
  <c r="F196" i="6"/>
  <c r="AK195" i="6"/>
  <c r="AJ195" i="6"/>
  <c r="AI195" i="6"/>
  <c r="AH195" i="6"/>
  <c r="AG195" i="6"/>
  <c r="AF195" i="6"/>
  <c r="AC195" i="6"/>
  <c r="AA195" i="6"/>
  <c r="U195" i="6"/>
  <c r="K195" i="6"/>
  <c r="J195" i="6"/>
  <c r="H195" i="6"/>
  <c r="F195" i="6"/>
  <c r="AK194" i="6"/>
  <c r="AJ194" i="6"/>
  <c r="AI194" i="6"/>
  <c r="AH194" i="6"/>
  <c r="AG194" i="6"/>
  <c r="AF194" i="6"/>
  <c r="AC194" i="6"/>
  <c r="AA194" i="6"/>
  <c r="U194" i="6"/>
  <c r="K194" i="6"/>
  <c r="J194" i="6"/>
  <c r="H194" i="6"/>
  <c r="F194" i="6"/>
  <c r="AK193" i="6"/>
  <c r="AJ193" i="6"/>
  <c r="AI193" i="6"/>
  <c r="AH193" i="6"/>
  <c r="AG193" i="6"/>
  <c r="AF193" i="6"/>
  <c r="AC193" i="6"/>
  <c r="AA193" i="6"/>
  <c r="U193" i="6"/>
  <c r="K193" i="6"/>
  <c r="J193" i="6"/>
  <c r="H193" i="6"/>
  <c r="F193" i="6"/>
  <c r="AK192" i="6"/>
  <c r="AJ192" i="6"/>
  <c r="AI192" i="6"/>
  <c r="AH192" i="6"/>
  <c r="AG192" i="6"/>
  <c r="AF192" i="6"/>
  <c r="AC192" i="6"/>
  <c r="AA192" i="6"/>
  <c r="U192" i="6"/>
  <c r="K192" i="6"/>
  <c r="J192" i="6"/>
  <c r="H192" i="6"/>
  <c r="F192" i="6"/>
  <c r="AK191" i="6"/>
  <c r="AJ191" i="6"/>
  <c r="AI191" i="6"/>
  <c r="AH191" i="6"/>
  <c r="AG191" i="6"/>
  <c r="AF191" i="6"/>
  <c r="AC191" i="6"/>
  <c r="AA191" i="6"/>
  <c r="U191" i="6"/>
  <c r="K191" i="6"/>
  <c r="J191" i="6"/>
  <c r="H191" i="6"/>
  <c r="F191" i="6"/>
  <c r="AK190" i="6"/>
  <c r="AJ190" i="6"/>
  <c r="AI190" i="6"/>
  <c r="AH190" i="6"/>
  <c r="AG190" i="6"/>
  <c r="AF190" i="6"/>
  <c r="AC190" i="6"/>
  <c r="AA190" i="6"/>
  <c r="U190" i="6"/>
  <c r="K190" i="6"/>
  <c r="J190" i="6"/>
  <c r="H190" i="6"/>
  <c r="F190" i="6"/>
  <c r="AK189" i="6"/>
  <c r="AJ189" i="6"/>
  <c r="AI189" i="6"/>
  <c r="AH189" i="6"/>
  <c r="AG189" i="6"/>
  <c r="AF189" i="6"/>
  <c r="AC189" i="6"/>
  <c r="AA189" i="6"/>
  <c r="U189" i="6"/>
  <c r="K189" i="6"/>
  <c r="J189" i="6"/>
  <c r="H189" i="6"/>
  <c r="F189" i="6"/>
  <c r="AK188" i="6"/>
  <c r="AJ188" i="6"/>
  <c r="AI188" i="6"/>
  <c r="AH188" i="6"/>
  <c r="AG188" i="6"/>
  <c r="AF188" i="6"/>
  <c r="AC188" i="6"/>
  <c r="AA188" i="6"/>
  <c r="U188" i="6"/>
  <c r="K188" i="6"/>
  <c r="J188" i="6"/>
  <c r="H188" i="6"/>
  <c r="F188" i="6"/>
  <c r="AK187" i="6"/>
  <c r="AJ187" i="6"/>
  <c r="AI187" i="6"/>
  <c r="AH187" i="6"/>
  <c r="AG187" i="6"/>
  <c r="AF187" i="6"/>
  <c r="AC187" i="6"/>
  <c r="AA187" i="6"/>
  <c r="U187" i="6"/>
  <c r="K187" i="6"/>
  <c r="J187" i="6"/>
  <c r="H187" i="6"/>
  <c r="F187" i="6"/>
  <c r="AK186" i="6"/>
  <c r="AJ186" i="6"/>
  <c r="AI186" i="6"/>
  <c r="AH186" i="6"/>
  <c r="AG186" i="6"/>
  <c r="AF186" i="6"/>
  <c r="AC186" i="6"/>
  <c r="AA186" i="6"/>
  <c r="U186" i="6"/>
  <c r="K186" i="6"/>
  <c r="J186" i="6"/>
  <c r="H186" i="6"/>
  <c r="F186" i="6"/>
  <c r="AK185" i="6"/>
  <c r="AJ185" i="6"/>
  <c r="AI185" i="6"/>
  <c r="AH185" i="6"/>
  <c r="AG185" i="6"/>
  <c r="AF185" i="6"/>
  <c r="AC185" i="6"/>
  <c r="AA185" i="6"/>
  <c r="U185" i="6"/>
  <c r="K185" i="6"/>
  <c r="J185" i="6"/>
  <c r="H185" i="6"/>
  <c r="F185" i="6"/>
  <c r="AK184" i="6"/>
  <c r="AJ184" i="6"/>
  <c r="AI184" i="6"/>
  <c r="AH184" i="6"/>
  <c r="AG184" i="6"/>
  <c r="AF184" i="6"/>
  <c r="AC184" i="6"/>
  <c r="AA184" i="6"/>
  <c r="U184" i="6"/>
  <c r="K184" i="6"/>
  <c r="J184" i="6"/>
  <c r="H184" i="6"/>
  <c r="F184" i="6"/>
  <c r="AK183" i="6"/>
  <c r="AJ183" i="6"/>
  <c r="AI183" i="6"/>
  <c r="AH183" i="6"/>
  <c r="AG183" i="6"/>
  <c r="AF183" i="6"/>
  <c r="AC183" i="6"/>
  <c r="AA183" i="6"/>
  <c r="U183" i="6"/>
  <c r="K183" i="6"/>
  <c r="J183" i="6"/>
  <c r="H183" i="6"/>
  <c r="F183" i="6"/>
  <c r="AK182" i="6"/>
  <c r="AJ182" i="6"/>
  <c r="AI182" i="6"/>
  <c r="AH182" i="6"/>
  <c r="AG182" i="6"/>
  <c r="AF182" i="6"/>
  <c r="AC182" i="6"/>
  <c r="AA182" i="6"/>
  <c r="U182" i="6"/>
  <c r="K182" i="6"/>
  <c r="J182" i="6"/>
  <c r="H182" i="6"/>
  <c r="F182" i="6"/>
  <c r="AK181" i="6"/>
  <c r="AJ181" i="6"/>
  <c r="AI181" i="6"/>
  <c r="AH181" i="6"/>
  <c r="AG181" i="6"/>
  <c r="AF181" i="6"/>
  <c r="AC181" i="6"/>
  <c r="AA181" i="6"/>
  <c r="U181" i="6"/>
  <c r="K181" i="6"/>
  <c r="J181" i="6"/>
  <c r="H181" i="6"/>
  <c r="F181" i="6"/>
  <c r="AK180" i="6"/>
  <c r="AJ180" i="6"/>
  <c r="AI180" i="6"/>
  <c r="AH180" i="6"/>
  <c r="AG180" i="6"/>
  <c r="AF180" i="6"/>
  <c r="AC180" i="6"/>
  <c r="AA180" i="6"/>
  <c r="U180" i="6"/>
  <c r="K180" i="6"/>
  <c r="J180" i="6"/>
  <c r="H180" i="6"/>
  <c r="F180" i="6"/>
  <c r="AK179" i="6"/>
  <c r="AJ179" i="6"/>
  <c r="AI179" i="6"/>
  <c r="AH179" i="6"/>
  <c r="AG179" i="6"/>
  <c r="AF179" i="6"/>
  <c r="AC179" i="6"/>
  <c r="AA179" i="6"/>
  <c r="U179" i="6"/>
  <c r="K179" i="6"/>
  <c r="J179" i="6"/>
  <c r="H179" i="6"/>
  <c r="F179" i="6"/>
  <c r="AK178" i="6"/>
  <c r="AJ178" i="6"/>
  <c r="AI178" i="6"/>
  <c r="AH178" i="6"/>
  <c r="AG178" i="6"/>
  <c r="AF178" i="6"/>
  <c r="AC178" i="6"/>
  <c r="AA178" i="6"/>
  <c r="U178" i="6"/>
  <c r="K178" i="6"/>
  <c r="J178" i="6"/>
  <c r="H178" i="6"/>
  <c r="F178" i="6"/>
  <c r="AK177" i="6"/>
  <c r="AJ177" i="6"/>
  <c r="AI177" i="6"/>
  <c r="AH177" i="6"/>
  <c r="AG177" i="6"/>
  <c r="AF177" i="6"/>
  <c r="AC177" i="6"/>
  <c r="AA177" i="6"/>
  <c r="U177" i="6"/>
  <c r="K177" i="6"/>
  <c r="J177" i="6"/>
  <c r="H177" i="6"/>
  <c r="F177" i="6"/>
  <c r="AK176" i="6"/>
  <c r="AJ176" i="6"/>
  <c r="AI176" i="6"/>
  <c r="AH176" i="6"/>
  <c r="AG176" i="6"/>
  <c r="AF176" i="6"/>
  <c r="AC176" i="6"/>
  <c r="AA176" i="6"/>
  <c r="U176" i="6"/>
  <c r="K176" i="6"/>
  <c r="J176" i="6"/>
  <c r="H176" i="6"/>
  <c r="F176" i="6"/>
  <c r="AK175" i="6"/>
  <c r="AJ175" i="6"/>
  <c r="AI175" i="6"/>
  <c r="AH175" i="6"/>
  <c r="AG175" i="6"/>
  <c r="AF175" i="6"/>
  <c r="AC175" i="6"/>
  <c r="AA175" i="6"/>
  <c r="U175" i="6"/>
  <c r="K175" i="6"/>
  <c r="J175" i="6"/>
  <c r="H175" i="6"/>
  <c r="F175" i="6"/>
  <c r="AK174" i="6"/>
  <c r="AJ174" i="6"/>
  <c r="AI174" i="6"/>
  <c r="AH174" i="6"/>
  <c r="AG174" i="6"/>
  <c r="AF174" i="6"/>
  <c r="AC174" i="6"/>
  <c r="AA174" i="6"/>
  <c r="U174" i="6"/>
  <c r="K174" i="6"/>
  <c r="J174" i="6"/>
  <c r="H174" i="6"/>
  <c r="F174" i="6"/>
  <c r="AK173" i="6"/>
  <c r="AJ173" i="6"/>
  <c r="AI173" i="6"/>
  <c r="AH173" i="6"/>
  <c r="AG173" i="6"/>
  <c r="AF173" i="6"/>
  <c r="AC173" i="6"/>
  <c r="AA173" i="6"/>
  <c r="U173" i="6"/>
  <c r="K173" i="6"/>
  <c r="J173" i="6"/>
  <c r="H173" i="6"/>
  <c r="F173" i="6"/>
  <c r="AK172" i="6"/>
  <c r="AJ172" i="6"/>
  <c r="AI172" i="6"/>
  <c r="AH172" i="6"/>
  <c r="AG172" i="6"/>
  <c r="AF172" i="6"/>
  <c r="AC172" i="6"/>
  <c r="AA172" i="6"/>
  <c r="U172" i="6"/>
  <c r="K172" i="6"/>
  <c r="J172" i="6"/>
  <c r="H172" i="6"/>
  <c r="F172" i="6"/>
  <c r="AK171" i="6"/>
  <c r="AJ171" i="6"/>
  <c r="AI171" i="6"/>
  <c r="AH171" i="6"/>
  <c r="AG171" i="6"/>
  <c r="AF171" i="6"/>
  <c r="AC171" i="6"/>
  <c r="AA171" i="6"/>
  <c r="U171" i="6"/>
  <c r="K171" i="6"/>
  <c r="J171" i="6"/>
  <c r="H171" i="6"/>
  <c r="F171" i="6"/>
  <c r="AK170" i="6"/>
  <c r="AJ170" i="6"/>
  <c r="AI170" i="6"/>
  <c r="AH170" i="6"/>
  <c r="AG170" i="6"/>
  <c r="AF170" i="6"/>
  <c r="AC170" i="6"/>
  <c r="AA170" i="6"/>
  <c r="U170" i="6"/>
  <c r="K170" i="6"/>
  <c r="J170" i="6"/>
  <c r="H170" i="6"/>
  <c r="F170" i="6"/>
  <c r="AK169" i="6"/>
  <c r="AJ169" i="6"/>
  <c r="AI169" i="6"/>
  <c r="AH169" i="6"/>
  <c r="AG169" i="6"/>
  <c r="AF169" i="6"/>
  <c r="AC169" i="6"/>
  <c r="AA169" i="6"/>
  <c r="U169" i="6"/>
  <c r="K169" i="6"/>
  <c r="J169" i="6"/>
  <c r="H169" i="6"/>
  <c r="F169" i="6"/>
  <c r="AK168" i="6"/>
  <c r="AJ168" i="6"/>
  <c r="AI168" i="6"/>
  <c r="AH168" i="6"/>
  <c r="AG168" i="6"/>
  <c r="AF168" i="6"/>
  <c r="AC168" i="6"/>
  <c r="AA168" i="6"/>
  <c r="U168" i="6"/>
  <c r="K168" i="6"/>
  <c r="J168" i="6"/>
  <c r="H168" i="6"/>
  <c r="F168" i="6"/>
  <c r="AK167" i="6"/>
  <c r="AJ167" i="6"/>
  <c r="AI167" i="6"/>
  <c r="AH167" i="6"/>
  <c r="AG167" i="6"/>
  <c r="AF167" i="6"/>
  <c r="AC167" i="6"/>
  <c r="AA167" i="6"/>
  <c r="U167" i="6"/>
  <c r="K167" i="6"/>
  <c r="J167" i="6"/>
  <c r="H167" i="6"/>
  <c r="F167" i="6"/>
  <c r="AK166" i="6"/>
  <c r="AJ166" i="6"/>
  <c r="AI166" i="6"/>
  <c r="AH166" i="6"/>
  <c r="AG166" i="6"/>
  <c r="AF166" i="6"/>
  <c r="AC166" i="6"/>
  <c r="AA166" i="6"/>
  <c r="U166" i="6"/>
  <c r="K166" i="6"/>
  <c r="J166" i="6"/>
  <c r="H166" i="6"/>
  <c r="F166" i="6"/>
  <c r="AK165" i="6"/>
  <c r="AJ165" i="6"/>
  <c r="AI165" i="6"/>
  <c r="AH165" i="6"/>
  <c r="AG165" i="6"/>
  <c r="AF165" i="6"/>
  <c r="AC165" i="6"/>
  <c r="AA165" i="6"/>
  <c r="U165" i="6"/>
  <c r="K165" i="6"/>
  <c r="J165" i="6"/>
  <c r="H165" i="6"/>
  <c r="F165" i="6"/>
  <c r="AK164" i="6"/>
  <c r="AJ164" i="6"/>
  <c r="AI164" i="6"/>
  <c r="AH164" i="6"/>
  <c r="AG164" i="6"/>
  <c r="AF164" i="6"/>
  <c r="AC164" i="6"/>
  <c r="AA164" i="6"/>
  <c r="U164" i="6"/>
  <c r="K164" i="6"/>
  <c r="J164" i="6"/>
  <c r="H164" i="6"/>
  <c r="F164" i="6"/>
  <c r="AK163" i="6"/>
  <c r="AJ163" i="6"/>
  <c r="AI163" i="6"/>
  <c r="AH163" i="6"/>
  <c r="AG163" i="6"/>
  <c r="AF163" i="6"/>
  <c r="AC163" i="6"/>
  <c r="AA163" i="6"/>
  <c r="U163" i="6"/>
  <c r="K163" i="6"/>
  <c r="J163" i="6"/>
  <c r="H163" i="6"/>
  <c r="F163" i="6"/>
  <c r="AK162" i="6"/>
  <c r="AJ162" i="6"/>
  <c r="AI162" i="6"/>
  <c r="AH162" i="6"/>
  <c r="AG162" i="6"/>
  <c r="AF162" i="6"/>
  <c r="AC162" i="6"/>
  <c r="AA162" i="6"/>
  <c r="U162" i="6"/>
  <c r="K162" i="6"/>
  <c r="J162" i="6"/>
  <c r="H162" i="6"/>
  <c r="F162" i="6"/>
  <c r="AK161" i="6"/>
  <c r="AJ161" i="6"/>
  <c r="AI161" i="6"/>
  <c r="AH161" i="6"/>
  <c r="AG161" i="6"/>
  <c r="AF161" i="6"/>
  <c r="AC161" i="6"/>
  <c r="AA161" i="6"/>
  <c r="U161" i="6"/>
  <c r="K161" i="6"/>
  <c r="J161" i="6"/>
  <c r="H161" i="6"/>
  <c r="F161" i="6"/>
  <c r="AK160" i="6"/>
  <c r="AJ160" i="6"/>
  <c r="AI160" i="6"/>
  <c r="AH160" i="6"/>
  <c r="AG160" i="6"/>
  <c r="AF160" i="6"/>
  <c r="AC160" i="6"/>
  <c r="AA160" i="6"/>
  <c r="U160" i="6"/>
  <c r="K160" i="6"/>
  <c r="J160" i="6"/>
  <c r="H160" i="6"/>
  <c r="F160" i="6"/>
  <c r="AK159" i="6"/>
  <c r="AJ159" i="6"/>
  <c r="AI159" i="6"/>
  <c r="AH159" i="6"/>
  <c r="AG159" i="6"/>
  <c r="AF159" i="6"/>
  <c r="AC159" i="6"/>
  <c r="AA159" i="6"/>
  <c r="U159" i="6"/>
  <c r="K159" i="6"/>
  <c r="J159" i="6"/>
  <c r="H159" i="6"/>
  <c r="F159" i="6"/>
  <c r="AK158" i="6"/>
  <c r="AJ158" i="6"/>
  <c r="AI158" i="6"/>
  <c r="AH158" i="6"/>
  <c r="AG158" i="6"/>
  <c r="AF158" i="6"/>
  <c r="AC158" i="6"/>
  <c r="AA158" i="6"/>
  <c r="U158" i="6"/>
  <c r="K158" i="6"/>
  <c r="J158" i="6"/>
  <c r="H158" i="6"/>
  <c r="F158" i="6"/>
  <c r="AK157" i="6"/>
  <c r="AJ157" i="6"/>
  <c r="AI157" i="6"/>
  <c r="AH157" i="6"/>
  <c r="AG157" i="6"/>
  <c r="AF157" i="6"/>
  <c r="AC157" i="6"/>
  <c r="AA157" i="6"/>
  <c r="U157" i="6"/>
  <c r="K157" i="6"/>
  <c r="J157" i="6"/>
  <c r="H157" i="6"/>
  <c r="F157" i="6"/>
  <c r="AK156" i="6"/>
  <c r="AJ156" i="6"/>
  <c r="AI156" i="6"/>
  <c r="AH156" i="6"/>
  <c r="AG156" i="6"/>
  <c r="AF156" i="6"/>
  <c r="AC156" i="6"/>
  <c r="AA156" i="6"/>
  <c r="U156" i="6"/>
  <c r="K156" i="6"/>
  <c r="J156" i="6"/>
  <c r="H156" i="6"/>
  <c r="F156" i="6"/>
  <c r="AK155" i="6"/>
  <c r="AJ155" i="6"/>
  <c r="AI155" i="6"/>
  <c r="AH155" i="6"/>
  <c r="AG155" i="6"/>
  <c r="AF155" i="6"/>
  <c r="AC155" i="6"/>
  <c r="AA155" i="6"/>
  <c r="U155" i="6"/>
  <c r="K155" i="6"/>
  <c r="J155" i="6"/>
  <c r="H155" i="6"/>
  <c r="F155" i="6"/>
  <c r="AK154" i="6"/>
  <c r="AJ154" i="6"/>
  <c r="AI154" i="6"/>
  <c r="AH154" i="6"/>
  <c r="AG154" i="6"/>
  <c r="AF154" i="6"/>
  <c r="AC154" i="6"/>
  <c r="AA154" i="6"/>
  <c r="U154" i="6"/>
  <c r="K154" i="6"/>
  <c r="J154" i="6"/>
  <c r="H154" i="6"/>
  <c r="F154" i="6"/>
  <c r="AK153" i="6"/>
  <c r="AJ153" i="6"/>
  <c r="AI153" i="6"/>
  <c r="AH153" i="6"/>
  <c r="AG153" i="6"/>
  <c r="AF153" i="6"/>
  <c r="AC153" i="6"/>
  <c r="AA153" i="6"/>
  <c r="U153" i="6"/>
  <c r="K153" i="6"/>
  <c r="J153" i="6"/>
  <c r="H153" i="6"/>
  <c r="F153" i="6"/>
  <c r="AK152" i="6"/>
  <c r="AJ152" i="6"/>
  <c r="AI152" i="6"/>
  <c r="AH152" i="6"/>
  <c r="AG152" i="6"/>
  <c r="AF152" i="6"/>
  <c r="AC152" i="6"/>
  <c r="AA152" i="6"/>
  <c r="U152" i="6"/>
  <c r="K152" i="6"/>
  <c r="J152" i="6"/>
  <c r="H152" i="6"/>
  <c r="F152" i="6"/>
  <c r="AK151" i="6"/>
  <c r="AJ151" i="6"/>
  <c r="AI151" i="6"/>
  <c r="AH151" i="6"/>
  <c r="AG151" i="6"/>
  <c r="AF151" i="6"/>
  <c r="AC151" i="6"/>
  <c r="AA151" i="6"/>
  <c r="U151" i="6"/>
  <c r="K151" i="6"/>
  <c r="J151" i="6"/>
  <c r="H151" i="6"/>
  <c r="F151" i="6"/>
  <c r="AK150" i="6"/>
  <c r="AJ150" i="6"/>
  <c r="AI150" i="6"/>
  <c r="AH150" i="6"/>
  <c r="AG150" i="6"/>
  <c r="AF150" i="6"/>
  <c r="AC150" i="6"/>
  <c r="AA150" i="6"/>
  <c r="U150" i="6"/>
  <c r="K150" i="6"/>
  <c r="J150" i="6"/>
  <c r="H150" i="6"/>
  <c r="F150" i="6"/>
  <c r="AK149" i="6"/>
  <c r="AJ149" i="6"/>
  <c r="AI149" i="6"/>
  <c r="AH149" i="6"/>
  <c r="AG149" i="6"/>
  <c r="AF149" i="6"/>
  <c r="AC149" i="6"/>
  <c r="AA149" i="6"/>
  <c r="U149" i="6"/>
  <c r="K149" i="6"/>
  <c r="J149" i="6"/>
  <c r="H149" i="6"/>
  <c r="F149" i="6"/>
  <c r="AK148" i="6"/>
  <c r="AJ148" i="6"/>
  <c r="AI148" i="6"/>
  <c r="AH148" i="6"/>
  <c r="AG148" i="6"/>
  <c r="AF148" i="6"/>
  <c r="AC148" i="6"/>
  <c r="AA148" i="6"/>
  <c r="U148" i="6"/>
  <c r="K148" i="6"/>
  <c r="J148" i="6"/>
  <c r="H148" i="6"/>
  <c r="F148" i="6"/>
  <c r="AK147" i="6"/>
  <c r="AJ147" i="6"/>
  <c r="AI147" i="6"/>
  <c r="AH147" i="6"/>
  <c r="AG147" i="6"/>
  <c r="AF147" i="6"/>
  <c r="AC147" i="6"/>
  <c r="AA147" i="6"/>
  <c r="U147" i="6"/>
  <c r="K147" i="6"/>
  <c r="J147" i="6"/>
  <c r="H147" i="6"/>
  <c r="F147" i="6"/>
  <c r="AK146" i="6"/>
  <c r="AJ146" i="6"/>
  <c r="AI146" i="6"/>
  <c r="AH146" i="6"/>
  <c r="AG146" i="6"/>
  <c r="AF146" i="6"/>
  <c r="AC146" i="6"/>
  <c r="AA146" i="6"/>
  <c r="U146" i="6"/>
  <c r="K146" i="6"/>
  <c r="J146" i="6"/>
  <c r="H146" i="6"/>
  <c r="F146" i="6"/>
  <c r="AK145" i="6"/>
  <c r="AJ145" i="6"/>
  <c r="AI145" i="6"/>
  <c r="AH145" i="6"/>
  <c r="AG145" i="6"/>
  <c r="AF145" i="6"/>
  <c r="AC145" i="6"/>
  <c r="AA145" i="6"/>
  <c r="U145" i="6"/>
  <c r="K145" i="6"/>
  <c r="J145" i="6"/>
  <c r="H145" i="6"/>
  <c r="F145" i="6"/>
  <c r="AK144" i="6"/>
  <c r="AJ144" i="6"/>
  <c r="AI144" i="6"/>
  <c r="AH144" i="6"/>
  <c r="AG144" i="6"/>
  <c r="AF144" i="6"/>
  <c r="AC144" i="6"/>
  <c r="AA144" i="6"/>
  <c r="U144" i="6"/>
  <c r="K144" i="6"/>
  <c r="J144" i="6"/>
  <c r="H144" i="6"/>
  <c r="F144" i="6"/>
  <c r="AK143" i="6"/>
  <c r="AJ143" i="6"/>
  <c r="AI143" i="6"/>
  <c r="AH143" i="6"/>
  <c r="AG143" i="6"/>
  <c r="AF143" i="6"/>
  <c r="AC143" i="6"/>
  <c r="AA143" i="6"/>
  <c r="U143" i="6"/>
  <c r="K143" i="6"/>
  <c r="J143" i="6"/>
  <c r="H143" i="6"/>
  <c r="F143" i="6"/>
  <c r="AK142" i="6"/>
  <c r="AJ142" i="6"/>
  <c r="AI142" i="6"/>
  <c r="AH142" i="6"/>
  <c r="AG142" i="6"/>
  <c r="AF142" i="6"/>
  <c r="AC142" i="6"/>
  <c r="AA142" i="6"/>
  <c r="U142" i="6"/>
  <c r="K142" i="6"/>
  <c r="J142" i="6"/>
  <c r="H142" i="6"/>
  <c r="F142" i="6"/>
  <c r="AK141" i="6"/>
  <c r="AJ141" i="6"/>
  <c r="AI141" i="6"/>
  <c r="AH141" i="6"/>
  <c r="AG141" i="6"/>
  <c r="AF141" i="6"/>
  <c r="AC141" i="6"/>
  <c r="AA141" i="6"/>
  <c r="U141" i="6"/>
  <c r="K141" i="6"/>
  <c r="J141" i="6"/>
  <c r="H141" i="6"/>
  <c r="F141" i="6"/>
  <c r="AK140" i="6"/>
  <c r="AJ140" i="6"/>
  <c r="AI140" i="6"/>
  <c r="AH140" i="6"/>
  <c r="AG140" i="6"/>
  <c r="AF140" i="6"/>
  <c r="AC140" i="6"/>
  <c r="AA140" i="6"/>
  <c r="U140" i="6"/>
  <c r="K140" i="6"/>
  <c r="J140" i="6"/>
  <c r="H140" i="6"/>
  <c r="F140" i="6"/>
  <c r="AK139" i="6"/>
  <c r="AJ139" i="6"/>
  <c r="AI139" i="6"/>
  <c r="AH139" i="6"/>
  <c r="AG139" i="6"/>
  <c r="AF139" i="6"/>
  <c r="AC139" i="6"/>
  <c r="AA139" i="6"/>
  <c r="U139" i="6"/>
  <c r="K139" i="6"/>
  <c r="J139" i="6"/>
  <c r="H139" i="6"/>
  <c r="F139" i="6"/>
  <c r="AK138" i="6"/>
  <c r="AJ138" i="6"/>
  <c r="AI138" i="6"/>
  <c r="AH138" i="6"/>
  <c r="AG138" i="6"/>
  <c r="AF138" i="6"/>
  <c r="AC138" i="6"/>
  <c r="AA138" i="6"/>
  <c r="U138" i="6"/>
  <c r="K138" i="6"/>
  <c r="J138" i="6"/>
  <c r="H138" i="6"/>
  <c r="F138" i="6"/>
  <c r="AK137" i="6"/>
  <c r="AJ137" i="6"/>
  <c r="AI137" i="6"/>
  <c r="AH137" i="6"/>
  <c r="AG137" i="6"/>
  <c r="AF137" i="6"/>
  <c r="AC137" i="6"/>
  <c r="AA137" i="6"/>
  <c r="U137" i="6"/>
  <c r="K137" i="6"/>
  <c r="J137" i="6"/>
  <c r="H137" i="6"/>
  <c r="F137" i="6"/>
  <c r="AK136" i="6"/>
  <c r="AJ136" i="6"/>
  <c r="AI136" i="6"/>
  <c r="AH136" i="6"/>
  <c r="AG136" i="6"/>
  <c r="AF136" i="6"/>
  <c r="AC136" i="6"/>
  <c r="AA136" i="6"/>
  <c r="U136" i="6"/>
  <c r="K136" i="6"/>
  <c r="J136" i="6"/>
  <c r="H136" i="6"/>
  <c r="F136" i="6"/>
  <c r="AK135" i="6"/>
  <c r="AJ135" i="6"/>
  <c r="AI135" i="6"/>
  <c r="AH135" i="6"/>
  <c r="AG135" i="6"/>
  <c r="AF135" i="6"/>
  <c r="AC135" i="6"/>
  <c r="AA135" i="6"/>
  <c r="U135" i="6"/>
  <c r="K135" i="6"/>
  <c r="J135" i="6"/>
  <c r="H135" i="6"/>
  <c r="F135" i="6"/>
  <c r="AK134" i="6"/>
  <c r="AJ134" i="6"/>
  <c r="AI134" i="6"/>
  <c r="AH134" i="6"/>
  <c r="AG134" i="6"/>
  <c r="AF134" i="6"/>
  <c r="AC134" i="6"/>
  <c r="AA134" i="6"/>
  <c r="U134" i="6"/>
  <c r="K134" i="6"/>
  <c r="J134" i="6"/>
  <c r="H134" i="6"/>
  <c r="F134" i="6"/>
  <c r="AK133" i="6"/>
  <c r="AJ133" i="6"/>
  <c r="AI133" i="6"/>
  <c r="AH133" i="6"/>
  <c r="AG133" i="6"/>
  <c r="AF133" i="6"/>
  <c r="AC133" i="6"/>
  <c r="AA133" i="6"/>
  <c r="U133" i="6"/>
  <c r="K133" i="6"/>
  <c r="J133" i="6"/>
  <c r="H133" i="6"/>
  <c r="F133" i="6"/>
  <c r="AK132" i="6"/>
  <c r="AJ132" i="6"/>
  <c r="AI132" i="6"/>
  <c r="AH132" i="6"/>
  <c r="AG132" i="6"/>
  <c r="AF132" i="6"/>
  <c r="AC132" i="6"/>
  <c r="AA132" i="6"/>
  <c r="U132" i="6"/>
  <c r="K132" i="6"/>
  <c r="J132" i="6"/>
  <c r="H132" i="6"/>
  <c r="F132" i="6"/>
  <c r="AK131" i="6"/>
  <c r="AJ131" i="6"/>
  <c r="AI131" i="6"/>
  <c r="AH131" i="6"/>
  <c r="AG131" i="6"/>
  <c r="AF131" i="6"/>
  <c r="AC131" i="6"/>
  <c r="AA131" i="6"/>
  <c r="U131" i="6"/>
  <c r="K131" i="6"/>
  <c r="J131" i="6"/>
  <c r="H131" i="6"/>
  <c r="F131" i="6"/>
  <c r="AK130" i="6"/>
  <c r="AJ130" i="6"/>
  <c r="AI130" i="6"/>
  <c r="AH130" i="6"/>
  <c r="AG130" i="6"/>
  <c r="AF130" i="6"/>
  <c r="AC130" i="6"/>
  <c r="AA130" i="6"/>
  <c r="U130" i="6"/>
  <c r="K130" i="6"/>
  <c r="J130" i="6"/>
  <c r="H130" i="6"/>
  <c r="F130" i="6"/>
  <c r="AK129" i="6"/>
  <c r="AJ129" i="6"/>
  <c r="AI129" i="6"/>
  <c r="AH129" i="6"/>
  <c r="AG129" i="6"/>
  <c r="AF129" i="6"/>
  <c r="AC129" i="6"/>
  <c r="AA129" i="6"/>
  <c r="U129" i="6"/>
  <c r="K129" i="6"/>
  <c r="J129" i="6"/>
  <c r="H129" i="6"/>
  <c r="F129" i="6"/>
  <c r="AK128" i="6"/>
  <c r="AJ128" i="6"/>
  <c r="AI128" i="6"/>
  <c r="AH128" i="6"/>
  <c r="AG128" i="6"/>
  <c r="AF128" i="6"/>
  <c r="AC128" i="6"/>
  <c r="AA128" i="6"/>
  <c r="U128" i="6"/>
  <c r="K128" i="6"/>
  <c r="J128" i="6"/>
  <c r="H128" i="6"/>
  <c r="F128" i="6"/>
  <c r="AK127" i="6"/>
  <c r="AJ127" i="6"/>
  <c r="AI127" i="6"/>
  <c r="AH127" i="6"/>
  <c r="AG127" i="6"/>
  <c r="AF127" i="6"/>
  <c r="AC127" i="6"/>
  <c r="AA127" i="6"/>
  <c r="U127" i="6"/>
  <c r="K127" i="6"/>
  <c r="J127" i="6"/>
  <c r="H127" i="6"/>
  <c r="F127" i="6"/>
  <c r="AK126" i="6"/>
  <c r="AJ126" i="6"/>
  <c r="AI126" i="6"/>
  <c r="AH126" i="6"/>
  <c r="AG126" i="6"/>
  <c r="AF126" i="6"/>
  <c r="AC126" i="6"/>
  <c r="AA126" i="6"/>
  <c r="U126" i="6"/>
  <c r="K126" i="6"/>
  <c r="J126" i="6"/>
  <c r="H126" i="6"/>
  <c r="F126" i="6"/>
  <c r="AK125" i="6"/>
  <c r="AJ125" i="6"/>
  <c r="AI125" i="6"/>
  <c r="AH125" i="6"/>
  <c r="AG125" i="6"/>
  <c r="AF125" i="6"/>
  <c r="AC125" i="6"/>
  <c r="AA125" i="6"/>
  <c r="U125" i="6"/>
  <c r="K125" i="6"/>
  <c r="J125" i="6"/>
  <c r="H125" i="6"/>
  <c r="F125" i="6"/>
  <c r="AK124" i="6"/>
  <c r="AJ124" i="6"/>
  <c r="AI124" i="6"/>
  <c r="AH124" i="6"/>
  <c r="AG124" i="6"/>
  <c r="AF124" i="6"/>
  <c r="AC124" i="6"/>
  <c r="AA124" i="6"/>
  <c r="U124" i="6"/>
  <c r="K124" i="6"/>
  <c r="J124" i="6"/>
  <c r="H124" i="6"/>
  <c r="F124" i="6"/>
  <c r="AK123" i="6"/>
  <c r="AJ123" i="6"/>
  <c r="AI123" i="6"/>
  <c r="AH123" i="6"/>
  <c r="AG123" i="6"/>
  <c r="AF123" i="6"/>
  <c r="AC123" i="6"/>
  <c r="AA123" i="6"/>
  <c r="U123" i="6"/>
  <c r="K123" i="6"/>
  <c r="J123" i="6"/>
  <c r="H123" i="6"/>
  <c r="F123" i="6"/>
  <c r="AK122" i="6"/>
  <c r="AJ122" i="6"/>
  <c r="AI122" i="6"/>
  <c r="AH122" i="6"/>
  <c r="AG122" i="6"/>
  <c r="AF122" i="6"/>
  <c r="AC122" i="6"/>
  <c r="AA122" i="6"/>
  <c r="U122" i="6"/>
  <c r="K122" i="6"/>
  <c r="J122" i="6"/>
  <c r="H122" i="6"/>
  <c r="F122" i="6"/>
  <c r="AK121" i="6"/>
  <c r="AJ121" i="6"/>
  <c r="AI121" i="6"/>
  <c r="AH121" i="6"/>
  <c r="AG121" i="6"/>
  <c r="AF121" i="6"/>
  <c r="AC121" i="6"/>
  <c r="AA121" i="6"/>
  <c r="U121" i="6"/>
  <c r="K121" i="6"/>
  <c r="J121" i="6"/>
  <c r="H121" i="6"/>
  <c r="F121" i="6"/>
  <c r="AK120" i="6"/>
  <c r="AJ120" i="6"/>
  <c r="AI120" i="6"/>
  <c r="AH120" i="6"/>
  <c r="AG120" i="6"/>
  <c r="AF120" i="6"/>
  <c r="AC120" i="6"/>
  <c r="AA120" i="6"/>
  <c r="U120" i="6"/>
  <c r="K120" i="6"/>
  <c r="J120" i="6"/>
  <c r="H120" i="6"/>
  <c r="F120" i="6"/>
  <c r="AK119" i="6"/>
  <c r="AJ119" i="6"/>
  <c r="AI119" i="6"/>
  <c r="AH119" i="6"/>
  <c r="AG119" i="6"/>
  <c r="AF119" i="6"/>
  <c r="AC119" i="6"/>
  <c r="AA119" i="6"/>
  <c r="U119" i="6"/>
  <c r="K119" i="6"/>
  <c r="J119" i="6"/>
  <c r="H119" i="6"/>
  <c r="F119" i="6"/>
  <c r="AK118" i="6"/>
  <c r="AJ118" i="6"/>
  <c r="AI118" i="6"/>
  <c r="AH118" i="6"/>
  <c r="AG118" i="6"/>
  <c r="AF118" i="6"/>
  <c r="AC118" i="6"/>
  <c r="AA118" i="6"/>
  <c r="U118" i="6"/>
  <c r="K118" i="6"/>
  <c r="J118" i="6"/>
  <c r="H118" i="6"/>
  <c r="F118" i="6"/>
  <c r="AK117" i="6"/>
  <c r="AJ117" i="6"/>
  <c r="AI117" i="6"/>
  <c r="AH117" i="6"/>
  <c r="AG117" i="6"/>
  <c r="AF117" i="6"/>
  <c r="AC117" i="6"/>
  <c r="AA117" i="6"/>
  <c r="U117" i="6"/>
  <c r="K117" i="6"/>
  <c r="J117" i="6"/>
  <c r="H117" i="6"/>
  <c r="F117" i="6"/>
  <c r="AK116" i="6"/>
  <c r="AJ116" i="6"/>
  <c r="AI116" i="6"/>
  <c r="AH116" i="6"/>
  <c r="AG116" i="6"/>
  <c r="AF116" i="6"/>
  <c r="AC116" i="6"/>
  <c r="AA116" i="6"/>
  <c r="U116" i="6"/>
  <c r="K116" i="6"/>
  <c r="J116" i="6"/>
  <c r="H116" i="6"/>
  <c r="F116" i="6"/>
  <c r="AK115" i="6"/>
  <c r="AJ115" i="6"/>
  <c r="AI115" i="6"/>
  <c r="AH115" i="6"/>
  <c r="AG115" i="6"/>
  <c r="AF115" i="6"/>
  <c r="AC115" i="6"/>
  <c r="AA115" i="6"/>
  <c r="U115" i="6"/>
  <c r="K115" i="6"/>
  <c r="J115" i="6"/>
  <c r="H115" i="6"/>
  <c r="F115" i="6"/>
  <c r="AK114" i="6"/>
  <c r="AJ114" i="6"/>
  <c r="AI114" i="6"/>
  <c r="AH114" i="6"/>
  <c r="AG114" i="6"/>
  <c r="AF114" i="6"/>
  <c r="AC114" i="6"/>
  <c r="AA114" i="6"/>
  <c r="U114" i="6"/>
  <c r="K114" i="6"/>
  <c r="J114" i="6"/>
  <c r="H114" i="6"/>
  <c r="F114" i="6"/>
  <c r="AK113" i="6"/>
  <c r="AJ113" i="6"/>
  <c r="AI113" i="6"/>
  <c r="AH113" i="6"/>
  <c r="AG113" i="6"/>
  <c r="AF113" i="6"/>
  <c r="AC113" i="6"/>
  <c r="AA113" i="6"/>
  <c r="U113" i="6"/>
  <c r="K113" i="6"/>
  <c r="J113" i="6"/>
  <c r="H113" i="6"/>
  <c r="F113" i="6"/>
  <c r="AK112" i="6"/>
  <c r="AJ112" i="6"/>
  <c r="AI112" i="6"/>
  <c r="AH112" i="6"/>
  <c r="AG112" i="6"/>
  <c r="AF112" i="6"/>
  <c r="AC112" i="6"/>
  <c r="AA112" i="6"/>
  <c r="U112" i="6"/>
  <c r="K112" i="6"/>
  <c r="J112" i="6"/>
  <c r="H112" i="6"/>
  <c r="F112" i="6"/>
  <c r="AK111" i="6"/>
  <c r="AJ111" i="6"/>
  <c r="AI111" i="6"/>
  <c r="AH111" i="6"/>
  <c r="AG111" i="6"/>
  <c r="AF111" i="6"/>
  <c r="AC111" i="6"/>
  <c r="AA111" i="6"/>
  <c r="U111" i="6"/>
  <c r="K111" i="6"/>
  <c r="J111" i="6"/>
  <c r="H111" i="6"/>
  <c r="F111" i="6"/>
  <c r="AK110" i="6"/>
  <c r="AJ110" i="6"/>
  <c r="AI110" i="6"/>
  <c r="AH110" i="6"/>
  <c r="AG110" i="6"/>
  <c r="AF110" i="6"/>
  <c r="AC110" i="6"/>
  <c r="AA110" i="6"/>
  <c r="U110" i="6"/>
  <c r="K110" i="6"/>
  <c r="J110" i="6"/>
  <c r="H110" i="6"/>
  <c r="F110" i="6"/>
  <c r="AK109" i="6"/>
  <c r="AJ109" i="6"/>
  <c r="AI109" i="6"/>
  <c r="AH109" i="6"/>
  <c r="AG109" i="6"/>
  <c r="AF109" i="6"/>
  <c r="AC109" i="6"/>
  <c r="AA109" i="6"/>
  <c r="U109" i="6"/>
  <c r="K109" i="6"/>
  <c r="J109" i="6"/>
  <c r="H109" i="6"/>
  <c r="F109" i="6"/>
  <c r="AK108" i="6"/>
  <c r="AJ108" i="6"/>
  <c r="AI108" i="6"/>
  <c r="AH108" i="6"/>
  <c r="AG108" i="6"/>
  <c r="AF108" i="6"/>
  <c r="AC108" i="6"/>
  <c r="AA108" i="6"/>
  <c r="U108" i="6"/>
  <c r="K108" i="6"/>
  <c r="J108" i="6"/>
  <c r="H108" i="6"/>
  <c r="F108" i="6"/>
  <c r="AK107" i="6"/>
  <c r="AJ107" i="6"/>
  <c r="AI107" i="6"/>
  <c r="AH107" i="6"/>
  <c r="AG107" i="6"/>
  <c r="AF107" i="6"/>
  <c r="AC107" i="6"/>
  <c r="AA107" i="6"/>
  <c r="U107" i="6"/>
  <c r="K107" i="6"/>
  <c r="J107" i="6"/>
  <c r="H107" i="6"/>
  <c r="F107" i="6"/>
  <c r="AK106" i="6"/>
  <c r="AJ106" i="6"/>
  <c r="AI106" i="6"/>
  <c r="AH106" i="6"/>
  <c r="AG106" i="6"/>
  <c r="AF106" i="6"/>
  <c r="AC106" i="6"/>
  <c r="AA106" i="6"/>
  <c r="U106" i="6"/>
  <c r="K106" i="6"/>
  <c r="J106" i="6"/>
  <c r="H106" i="6"/>
  <c r="F106" i="6"/>
  <c r="AK105" i="6"/>
  <c r="AJ105" i="6"/>
  <c r="AI105" i="6"/>
  <c r="AH105" i="6"/>
  <c r="AG105" i="6"/>
  <c r="AF105" i="6"/>
  <c r="AC105" i="6"/>
  <c r="AA105" i="6"/>
  <c r="U105" i="6"/>
  <c r="K105" i="6"/>
  <c r="J105" i="6"/>
  <c r="H105" i="6"/>
  <c r="F105" i="6"/>
  <c r="AK104" i="6"/>
  <c r="AJ104" i="6"/>
  <c r="AI104" i="6"/>
  <c r="AH104" i="6"/>
  <c r="AG104" i="6"/>
  <c r="AF104" i="6"/>
  <c r="AC104" i="6"/>
  <c r="AA104" i="6"/>
  <c r="U104" i="6"/>
  <c r="K104" i="6"/>
  <c r="J104" i="6"/>
  <c r="H104" i="6"/>
  <c r="F104" i="6"/>
  <c r="AK103" i="6"/>
  <c r="AJ103" i="6"/>
  <c r="AI103" i="6"/>
  <c r="AH103" i="6"/>
  <c r="AG103" i="6"/>
  <c r="AF103" i="6"/>
  <c r="AC103" i="6"/>
  <c r="AA103" i="6"/>
  <c r="U103" i="6"/>
  <c r="K103" i="6"/>
  <c r="J103" i="6"/>
  <c r="H103" i="6"/>
  <c r="F103" i="6"/>
  <c r="AK102" i="6"/>
  <c r="AJ102" i="6"/>
  <c r="AI102" i="6"/>
  <c r="AH102" i="6"/>
  <c r="AG102" i="6"/>
  <c r="AF102" i="6"/>
  <c r="AC102" i="6"/>
  <c r="AA102" i="6"/>
  <c r="U102" i="6"/>
  <c r="K102" i="6"/>
  <c r="J102" i="6"/>
  <c r="H102" i="6"/>
  <c r="F102" i="6"/>
  <c r="AK101" i="6"/>
  <c r="AJ101" i="6"/>
  <c r="AI101" i="6"/>
  <c r="AH101" i="6"/>
  <c r="AG101" i="6"/>
  <c r="AF101" i="6"/>
  <c r="AC101" i="6"/>
  <c r="AA101" i="6"/>
  <c r="U101" i="6"/>
  <c r="K101" i="6"/>
  <c r="J101" i="6"/>
  <c r="H101" i="6"/>
  <c r="F101" i="6"/>
  <c r="AK100" i="6"/>
  <c r="AJ100" i="6"/>
  <c r="AI100" i="6"/>
  <c r="AH100" i="6"/>
  <c r="AG100" i="6"/>
  <c r="AF100" i="6"/>
  <c r="AC100" i="6"/>
  <c r="AA100" i="6"/>
  <c r="U100" i="6"/>
  <c r="K100" i="6"/>
  <c r="J100" i="6"/>
  <c r="H100" i="6"/>
  <c r="F100" i="6"/>
  <c r="AK99" i="6"/>
  <c r="AJ99" i="6"/>
  <c r="AI99" i="6"/>
  <c r="AH99" i="6"/>
  <c r="AG99" i="6"/>
  <c r="AF99" i="6"/>
  <c r="AC99" i="6"/>
  <c r="AA99" i="6"/>
  <c r="U99" i="6"/>
  <c r="K99" i="6"/>
  <c r="J99" i="6"/>
  <c r="H99" i="6"/>
  <c r="F99" i="6"/>
  <c r="AK98" i="6"/>
  <c r="AJ98" i="6"/>
  <c r="AI98" i="6"/>
  <c r="AH98" i="6"/>
  <c r="AG98" i="6"/>
  <c r="AF98" i="6"/>
  <c r="AC98" i="6"/>
  <c r="AA98" i="6"/>
  <c r="U98" i="6"/>
  <c r="K98" i="6"/>
  <c r="J98" i="6"/>
  <c r="H98" i="6"/>
  <c r="F98" i="6"/>
  <c r="AK97" i="6"/>
  <c r="AJ97" i="6"/>
  <c r="AI97" i="6"/>
  <c r="AH97" i="6"/>
  <c r="AG97" i="6"/>
  <c r="AF97" i="6"/>
  <c r="AC97" i="6"/>
  <c r="AA97" i="6"/>
  <c r="U97" i="6"/>
  <c r="K97" i="6"/>
  <c r="J97" i="6"/>
  <c r="H97" i="6"/>
  <c r="F97" i="6"/>
  <c r="AK96" i="6"/>
  <c r="AJ96" i="6"/>
  <c r="AI96" i="6"/>
  <c r="AH96" i="6"/>
  <c r="AG96" i="6"/>
  <c r="AF96" i="6"/>
  <c r="AC96" i="6"/>
  <c r="AA96" i="6"/>
  <c r="U96" i="6"/>
  <c r="K96" i="6"/>
  <c r="J96" i="6"/>
  <c r="H96" i="6"/>
  <c r="F96" i="6"/>
  <c r="AK95" i="6"/>
  <c r="AJ95" i="6"/>
  <c r="AI95" i="6"/>
  <c r="AH95" i="6"/>
  <c r="AG95" i="6"/>
  <c r="AF95" i="6"/>
  <c r="AC95" i="6"/>
  <c r="AA95" i="6"/>
  <c r="U95" i="6"/>
  <c r="K95" i="6"/>
  <c r="J95" i="6"/>
  <c r="H95" i="6"/>
  <c r="F95" i="6"/>
  <c r="AK94" i="6"/>
  <c r="AJ94" i="6"/>
  <c r="AI94" i="6"/>
  <c r="AH94" i="6"/>
  <c r="AG94" i="6"/>
  <c r="AF94" i="6"/>
  <c r="AC94" i="6"/>
  <c r="AA94" i="6"/>
  <c r="U94" i="6"/>
  <c r="K94" i="6"/>
  <c r="J94" i="6"/>
  <c r="H94" i="6"/>
  <c r="F94" i="6"/>
  <c r="AK93" i="6"/>
  <c r="AJ93" i="6"/>
  <c r="AI93" i="6"/>
  <c r="AH93" i="6"/>
  <c r="AG93" i="6"/>
  <c r="AF93" i="6"/>
  <c r="AC93" i="6"/>
  <c r="AA93" i="6"/>
  <c r="U93" i="6"/>
  <c r="K93" i="6"/>
  <c r="J93" i="6"/>
  <c r="H93" i="6"/>
  <c r="F93" i="6"/>
  <c r="AK92" i="6"/>
  <c r="AJ92" i="6"/>
  <c r="AI92" i="6"/>
  <c r="AH92" i="6"/>
  <c r="AG92" i="6"/>
  <c r="AF92" i="6"/>
  <c r="AC92" i="6"/>
  <c r="AA92" i="6"/>
  <c r="U92" i="6"/>
  <c r="K92" i="6"/>
  <c r="J92" i="6"/>
  <c r="H92" i="6"/>
  <c r="F92" i="6"/>
  <c r="AK91" i="6"/>
  <c r="AJ91" i="6"/>
  <c r="AI91" i="6"/>
  <c r="AH91" i="6"/>
  <c r="AG91" i="6"/>
  <c r="AF91" i="6"/>
  <c r="AC91" i="6"/>
  <c r="AA91" i="6"/>
  <c r="U91" i="6"/>
  <c r="K91" i="6"/>
  <c r="J91" i="6"/>
  <c r="H91" i="6"/>
  <c r="F91" i="6"/>
  <c r="AK90" i="6"/>
  <c r="AJ90" i="6"/>
  <c r="AI90" i="6"/>
  <c r="AH90" i="6"/>
  <c r="AG90" i="6"/>
  <c r="AF90" i="6"/>
  <c r="AC90" i="6"/>
  <c r="AA90" i="6"/>
  <c r="U90" i="6"/>
  <c r="K90" i="6"/>
  <c r="J90" i="6"/>
  <c r="H90" i="6"/>
  <c r="F90" i="6"/>
  <c r="AK89" i="6"/>
  <c r="AJ89" i="6"/>
  <c r="AI89" i="6"/>
  <c r="AH89" i="6"/>
  <c r="AG89" i="6"/>
  <c r="AF89" i="6"/>
  <c r="AC89" i="6"/>
  <c r="AA89" i="6"/>
  <c r="U89" i="6"/>
  <c r="K89" i="6"/>
  <c r="J89" i="6"/>
  <c r="H89" i="6"/>
  <c r="F89" i="6"/>
  <c r="AK88" i="6"/>
  <c r="AJ88" i="6"/>
  <c r="AI88" i="6"/>
  <c r="AH88" i="6"/>
  <c r="AG88" i="6"/>
  <c r="AF88" i="6"/>
  <c r="AC88" i="6"/>
  <c r="AA88" i="6"/>
  <c r="U88" i="6"/>
  <c r="K88" i="6"/>
  <c r="J88" i="6"/>
  <c r="H88" i="6"/>
  <c r="F88" i="6"/>
  <c r="AK87" i="6"/>
  <c r="AJ87" i="6"/>
  <c r="AI87" i="6"/>
  <c r="AH87" i="6"/>
  <c r="AG87" i="6"/>
  <c r="AF87" i="6"/>
  <c r="AC87" i="6"/>
  <c r="AA87" i="6"/>
  <c r="U87" i="6"/>
  <c r="K87" i="6"/>
  <c r="J87" i="6"/>
  <c r="H87" i="6"/>
  <c r="F87" i="6"/>
  <c r="AK86" i="6"/>
  <c r="AJ86" i="6"/>
  <c r="AI86" i="6"/>
  <c r="AH86" i="6"/>
  <c r="AG86" i="6"/>
  <c r="AF86" i="6"/>
  <c r="AC86" i="6"/>
  <c r="AA86" i="6"/>
  <c r="U86" i="6"/>
  <c r="K86" i="6"/>
  <c r="J86" i="6"/>
  <c r="H86" i="6"/>
  <c r="F86" i="6"/>
  <c r="AK85" i="6"/>
  <c r="AJ85" i="6"/>
  <c r="AI85" i="6"/>
  <c r="AH85" i="6"/>
  <c r="AG85" i="6"/>
  <c r="AF85" i="6"/>
  <c r="AC85" i="6"/>
  <c r="AA85" i="6"/>
  <c r="U85" i="6"/>
  <c r="K85" i="6"/>
  <c r="J85" i="6"/>
  <c r="H85" i="6"/>
  <c r="F85" i="6"/>
  <c r="AK84" i="6"/>
  <c r="AJ84" i="6"/>
  <c r="AI84" i="6"/>
  <c r="AH84" i="6"/>
  <c r="AG84" i="6"/>
  <c r="AF84" i="6"/>
  <c r="AC84" i="6"/>
  <c r="AA84" i="6"/>
  <c r="U84" i="6"/>
  <c r="K84" i="6"/>
  <c r="J84" i="6"/>
  <c r="H84" i="6"/>
  <c r="F84" i="6"/>
  <c r="AK83" i="6"/>
  <c r="AJ83" i="6"/>
  <c r="AI83" i="6"/>
  <c r="AH83" i="6"/>
  <c r="AG83" i="6"/>
  <c r="AF83" i="6"/>
  <c r="AC83" i="6"/>
  <c r="AA83" i="6"/>
  <c r="U83" i="6"/>
  <c r="K83" i="6"/>
  <c r="J83" i="6"/>
  <c r="H83" i="6"/>
  <c r="F83" i="6"/>
  <c r="AK82" i="6"/>
  <c r="AJ82" i="6"/>
  <c r="AI82" i="6"/>
  <c r="AH82" i="6"/>
  <c r="AG82" i="6"/>
  <c r="AF82" i="6"/>
  <c r="AC82" i="6"/>
  <c r="AA82" i="6"/>
  <c r="U82" i="6"/>
  <c r="K82" i="6"/>
  <c r="J82" i="6"/>
  <c r="H82" i="6"/>
  <c r="F82" i="6"/>
  <c r="AK81" i="6"/>
  <c r="AJ81" i="6"/>
  <c r="AI81" i="6"/>
  <c r="AH81" i="6"/>
  <c r="AG81" i="6"/>
  <c r="AF81" i="6"/>
  <c r="AC81" i="6"/>
  <c r="AA81" i="6"/>
  <c r="U81" i="6"/>
  <c r="K81" i="6"/>
  <c r="J81" i="6"/>
  <c r="H81" i="6"/>
  <c r="F81" i="6"/>
  <c r="AK80" i="6"/>
  <c r="AJ80" i="6"/>
  <c r="AI80" i="6"/>
  <c r="AH80" i="6"/>
  <c r="AG80" i="6"/>
  <c r="AF80" i="6"/>
  <c r="AC80" i="6"/>
  <c r="AA80" i="6"/>
  <c r="U80" i="6"/>
  <c r="K80" i="6"/>
  <c r="J80" i="6"/>
  <c r="H80" i="6"/>
  <c r="F80" i="6"/>
  <c r="AK79" i="6"/>
  <c r="AJ79" i="6"/>
  <c r="AI79" i="6"/>
  <c r="AH79" i="6"/>
  <c r="AG79" i="6"/>
  <c r="AF79" i="6"/>
  <c r="AC79" i="6"/>
  <c r="AA79" i="6"/>
  <c r="U79" i="6"/>
  <c r="K79" i="6"/>
  <c r="J79" i="6"/>
  <c r="H79" i="6"/>
  <c r="F79" i="6"/>
  <c r="AK78" i="6"/>
  <c r="AJ78" i="6"/>
  <c r="AI78" i="6"/>
  <c r="AH78" i="6"/>
  <c r="AG78" i="6"/>
  <c r="AF78" i="6"/>
  <c r="AC78" i="6"/>
  <c r="AA78" i="6"/>
  <c r="U78" i="6"/>
  <c r="K78" i="6"/>
  <c r="J78" i="6"/>
  <c r="H78" i="6"/>
  <c r="F78" i="6"/>
  <c r="AK77" i="6"/>
  <c r="AJ77" i="6"/>
  <c r="AI77" i="6"/>
  <c r="AH77" i="6"/>
  <c r="AG77" i="6"/>
  <c r="AF77" i="6"/>
  <c r="AC77" i="6"/>
  <c r="AA77" i="6"/>
  <c r="U77" i="6"/>
  <c r="K77" i="6"/>
  <c r="J77" i="6"/>
  <c r="H77" i="6"/>
  <c r="F77" i="6"/>
  <c r="AK76" i="6"/>
  <c r="AJ76" i="6"/>
  <c r="AI76" i="6"/>
  <c r="AH76" i="6"/>
  <c r="AG76" i="6"/>
  <c r="AF76" i="6"/>
  <c r="AC76" i="6"/>
  <c r="AA76" i="6"/>
  <c r="U76" i="6"/>
  <c r="K76" i="6"/>
  <c r="J76" i="6"/>
  <c r="H76" i="6"/>
  <c r="F76" i="6"/>
  <c r="AK75" i="6"/>
  <c r="AJ75" i="6"/>
  <c r="AI75" i="6"/>
  <c r="AH75" i="6"/>
  <c r="AG75" i="6"/>
  <c r="AF75" i="6"/>
  <c r="AC75" i="6"/>
  <c r="AA75" i="6"/>
  <c r="U75" i="6"/>
  <c r="K75" i="6"/>
  <c r="J75" i="6"/>
  <c r="H75" i="6"/>
  <c r="F75" i="6"/>
  <c r="AK74" i="6"/>
  <c r="AJ74" i="6"/>
  <c r="AI74" i="6"/>
  <c r="AH74" i="6"/>
  <c r="AG74" i="6"/>
  <c r="AF74" i="6"/>
  <c r="AC74" i="6"/>
  <c r="AA74" i="6"/>
  <c r="U74" i="6"/>
  <c r="K74" i="6"/>
  <c r="J74" i="6"/>
  <c r="H74" i="6"/>
  <c r="F74" i="6"/>
  <c r="AK73" i="6"/>
  <c r="AJ73" i="6"/>
  <c r="AI73" i="6"/>
  <c r="AH73" i="6"/>
  <c r="AG73" i="6"/>
  <c r="AF73" i="6"/>
  <c r="AC73" i="6"/>
  <c r="AA73" i="6"/>
  <c r="U73" i="6"/>
  <c r="K73" i="6"/>
  <c r="J73" i="6"/>
  <c r="H73" i="6"/>
  <c r="F73" i="6"/>
  <c r="AK72" i="6"/>
  <c r="AJ72" i="6"/>
  <c r="AI72" i="6"/>
  <c r="AH72" i="6"/>
  <c r="AG72" i="6"/>
  <c r="AF72" i="6"/>
  <c r="AC72" i="6"/>
  <c r="AA72" i="6"/>
  <c r="U72" i="6"/>
  <c r="K72" i="6"/>
  <c r="J72" i="6"/>
  <c r="H72" i="6"/>
  <c r="F72" i="6"/>
  <c r="AK71" i="6"/>
  <c r="AJ71" i="6"/>
  <c r="AI71" i="6"/>
  <c r="AH71" i="6"/>
  <c r="AG71" i="6"/>
  <c r="AF71" i="6"/>
  <c r="AC71" i="6"/>
  <c r="AA71" i="6"/>
  <c r="U71" i="6"/>
  <c r="K71" i="6"/>
  <c r="J71" i="6"/>
  <c r="H71" i="6"/>
  <c r="F71" i="6"/>
  <c r="AK70" i="6"/>
  <c r="AJ70" i="6"/>
  <c r="AI70" i="6"/>
  <c r="AH70" i="6"/>
  <c r="AG70" i="6"/>
  <c r="AF70" i="6"/>
  <c r="AC70" i="6"/>
  <c r="AA70" i="6"/>
  <c r="U70" i="6"/>
  <c r="K70" i="6"/>
  <c r="J70" i="6"/>
  <c r="H70" i="6"/>
  <c r="F70" i="6"/>
  <c r="AK69" i="6"/>
  <c r="AJ69" i="6"/>
  <c r="AI69" i="6"/>
  <c r="AH69" i="6"/>
  <c r="AG69" i="6"/>
  <c r="AF69" i="6"/>
  <c r="AC69" i="6"/>
  <c r="AA69" i="6"/>
  <c r="U69" i="6"/>
  <c r="K69" i="6"/>
  <c r="J69" i="6"/>
  <c r="H69" i="6"/>
  <c r="F69" i="6"/>
  <c r="AK68" i="6"/>
  <c r="AJ68" i="6"/>
  <c r="AI68" i="6"/>
  <c r="AH68" i="6"/>
  <c r="AG68" i="6"/>
  <c r="AF68" i="6"/>
  <c r="AC68" i="6"/>
  <c r="AA68" i="6"/>
  <c r="U68" i="6"/>
  <c r="K68" i="6"/>
  <c r="J68" i="6"/>
  <c r="H68" i="6"/>
  <c r="F68" i="6"/>
  <c r="AK67" i="6"/>
  <c r="AJ67" i="6"/>
  <c r="AI67" i="6"/>
  <c r="AH67" i="6"/>
  <c r="AG67" i="6"/>
  <c r="AF67" i="6"/>
  <c r="AC67" i="6"/>
  <c r="AA67" i="6"/>
  <c r="U67" i="6"/>
  <c r="K67" i="6"/>
  <c r="J67" i="6"/>
  <c r="H67" i="6"/>
  <c r="F67" i="6"/>
  <c r="AK66" i="6"/>
  <c r="AJ66" i="6"/>
  <c r="AI66" i="6"/>
  <c r="AH66" i="6"/>
  <c r="AG66" i="6"/>
  <c r="AF66" i="6"/>
  <c r="AC66" i="6"/>
  <c r="AA66" i="6"/>
  <c r="U66" i="6"/>
  <c r="K66" i="6"/>
  <c r="J66" i="6"/>
  <c r="H66" i="6"/>
  <c r="F66" i="6"/>
  <c r="AK65" i="6"/>
  <c r="AJ65" i="6"/>
  <c r="AI65" i="6"/>
  <c r="AH65" i="6"/>
  <c r="AG65" i="6"/>
  <c r="AF65" i="6"/>
  <c r="AC65" i="6"/>
  <c r="AA65" i="6"/>
  <c r="U65" i="6"/>
  <c r="K65" i="6"/>
  <c r="J65" i="6"/>
  <c r="H65" i="6"/>
  <c r="F65" i="6"/>
  <c r="AK64" i="6"/>
  <c r="AJ64" i="6"/>
  <c r="AI64" i="6"/>
  <c r="AH64" i="6"/>
  <c r="AG64" i="6"/>
  <c r="AF64" i="6"/>
  <c r="AC64" i="6"/>
  <c r="AA64" i="6"/>
  <c r="U64" i="6"/>
  <c r="K64" i="6"/>
  <c r="J64" i="6"/>
  <c r="H64" i="6"/>
  <c r="F64" i="6"/>
  <c r="AK63" i="6"/>
  <c r="AJ63" i="6"/>
  <c r="AI63" i="6"/>
  <c r="AH63" i="6"/>
  <c r="AG63" i="6"/>
  <c r="AF63" i="6"/>
  <c r="AC63" i="6"/>
  <c r="AA63" i="6"/>
  <c r="U63" i="6"/>
  <c r="K63" i="6"/>
  <c r="J63" i="6"/>
  <c r="H63" i="6"/>
  <c r="F63" i="6"/>
  <c r="AK62" i="6"/>
  <c r="AJ62" i="6"/>
  <c r="AI62" i="6"/>
  <c r="AH62" i="6"/>
  <c r="AG62" i="6"/>
  <c r="AF62" i="6"/>
  <c r="AC62" i="6"/>
  <c r="AA62" i="6"/>
  <c r="U62" i="6"/>
  <c r="K62" i="6"/>
  <c r="J62" i="6"/>
  <c r="H62" i="6"/>
  <c r="F62" i="6"/>
  <c r="AK61" i="6"/>
  <c r="AJ61" i="6"/>
  <c r="AI61" i="6"/>
  <c r="AH61" i="6"/>
  <c r="AG61" i="6"/>
  <c r="AF61" i="6"/>
  <c r="AC61" i="6"/>
  <c r="AA61" i="6"/>
  <c r="U61" i="6"/>
  <c r="K61" i="6"/>
  <c r="J61" i="6"/>
  <c r="H61" i="6"/>
  <c r="F61" i="6"/>
  <c r="AK60" i="6"/>
  <c r="AJ60" i="6"/>
  <c r="AI60" i="6"/>
  <c r="AH60" i="6"/>
  <c r="AG60" i="6"/>
  <c r="AF60" i="6"/>
  <c r="AC60" i="6"/>
  <c r="AA60" i="6"/>
  <c r="U60" i="6"/>
  <c r="K60" i="6"/>
  <c r="J60" i="6"/>
  <c r="H60" i="6"/>
  <c r="F60" i="6"/>
  <c r="AK59" i="6"/>
  <c r="AJ59" i="6"/>
  <c r="AI59" i="6"/>
  <c r="AH59" i="6"/>
  <c r="AG59" i="6"/>
  <c r="AF59" i="6"/>
  <c r="AC59" i="6"/>
  <c r="AA59" i="6"/>
  <c r="U59" i="6"/>
  <c r="K59" i="6"/>
  <c r="J59" i="6"/>
  <c r="H59" i="6"/>
  <c r="F59" i="6"/>
  <c r="AK58" i="6"/>
  <c r="AJ58" i="6"/>
  <c r="AI58" i="6"/>
  <c r="AH58" i="6"/>
  <c r="AG58" i="6"/>
  <c r="AF58" i="6"/>
  <c r="AC58" i="6"/>
  <c r="AA58" i="6"/>
  <c r="U58" i="6"/>
  <c r="K58" i="6"/>
  <c r="J58" i="6"/>
  <c r="H58" i="6"/>
  <c r="F58" i="6"/>
  <c r="AK57" i="6"/>
  <c r="AJ57" i="6"/>
  <c r="AI57" i="6"/>
  <c r="AH57" i="6"/>
  <c r="AG57" i="6"/>
  <c r="AF57" i="6"/>
  <c r="AC57" i="6"/>
  <c r="AA57" i="6"/>
  <c r="U57" i="6"/>
  <c r="K57" i="6"/>
  <c r="J57" i="6"/>
  <c r="H57" i="6"/>
  <c r="F57" i="6"/>
  <c r="AK56" i="6"/>
  <c r="AJ56" i="6"/>
  <c r="AI56" i="6"/>
  <c r="AH56" i="6"/>
  <c r="AG56" i="6"/>
  <c r="AF56" i="6"/>
  <c r="AC56" i="6"/>
  <c r="AA56" i="6"/>
  <c r="U56" i="6"/>
  <c r="K56" i="6"/>
  <c r="J56" i="6"/>
  <c r="H56" i="6"/>
  <c r="F56" i="6"/>
  <c r="AK55" i="6"/>
  <c r="AJ55" i="6"/>
  <c r="AI55" i="6"/>
  <c r="AH55" i="6"/>
  <c r="AG55" i="6"/>
  <c r="AF55" i="6"/>
  <c r="AC55" i="6"/>
  <c r="AA55" i="6"/>
  <c r="U55" i="6"/>
  <c r="K55" i="6"/>
  <c r="J55" i="6"/>
  <c r="H55" i="6"/>
  <c r="F55" i="6"/>
  <c r="AK54" i="6"/>
  <c r="AJ54" i="6"/>
  <c r="AI54" i="6"/>
  <c r="AH54" i="6"/>
  <c r="AG54" i="6"/>
  <c r="AF54" i="6"/>
  <c r="AC54" i="6"/>
  <c r="AA54" i="6"/>
  <c r="U54" i="6"/>
  <c r="K54" i="6"/>
  <c r="J54" i="6"/>
  <c r="H54" i="6"/>
  <c r="F54" i="6"/>
  <c r="AK53" i="6"/>
  <c r="AJ53" i="6"/>
  <c r="AI53" i="6"/>
  <c r="AH53" i="6"/>
  <c r="AG53" i="6"/>
  <c r="AF53" i="6"/>
  <c r="AC53" i="6"/>
  <c r="AA53" i="6"/>
  <c r="U53" i="6"/>
  <c r="K53" i="6"/>
  <c r="J53" i="6"/>
  <c r="H53" i="6"/>
  <c r="F53" i="6"/>
  <c r="AK52" i="6"/>
  <c r="AJ52" i="6"/>
  <c r="AI52" i="6"/>
  <c r="AH52" i="6"/>
  <c r="AG52" i="6"/>
  <c r="AF52" i="6"/>
  <c r="AC52" i="6"/>
  <c r="AA52" i="6"/>
  <c r="U52" i="6"/>
  <c r="K52" i="6"/>
  <c r="J52" i="6"/>
  <c r="H52" i="6"/>
  <c r="F52" i="6"/>
  <c r="AK51" i="6"/>
  <c r="AJ51" i="6"/>
  <c r="AI51" i="6"/>
  <c r="AH51" i="6"/>
  <c r="AG51" i="6"/>
  <c r="AF51" i="6"/>
  <c r="AC51" i="6"/>
  <c r="AA51" i="6"/>
  <c r="U51" i="6"/>
  <c r="K51" i="6"/>
  <c r="J51" i="6"/>
  <c r="H51" i="6"/>
  <c r="F51" i="6"/>
  <c r="AK50" i="6"/>
  <c r="AJ50" i="6"/>
  <c r="AI50" i="6"/>
  <c r="AH50" i="6"/>
  <c r="AG50" i="6"/>
  <c r="AF50" i="6"/>
  <c r="AC50" i="6"/>
  <c r="AA50" i="6"/>
  <c r="U50" i="6"/>
  <c r="K50" i="6"/>
  <c r="J50" i="6"/>
  <c r="H50" i="6"/>
  <c r="F50" i="6"/>
  <c r="AK49" i="6"/>
  <c r="AJ49" i="6"/>
  <c r="AI49" i="6"/>
  <c r="AH49" i="6"/>
  <c r="AG49" i="6"/>
  <c r="AF49" i="6"/>
  <c r="AC49" i="6"/>
  <c r="AA49" i="6"/>
  <c r="U49" i="6"/>
  <c r="K49" i="6"/>
  <c r="J49" i="6"/>
  <c r="H49" i="6"/>
  <c r="F49" i="6"/>
  <c r="AK48" i="6"/>
  <c r="AJ48" i="6"/>
  <c r="AI48" i="6"/>
  <c r="AH48" i="6"/>
  <c r="AG48" i="6"/>
  <c r="AF48" i="6"/>
  <c r="AC48" i="6"/>
  <c r="AA48" i="6"/>
  <c r="U48" i="6"/>
  <c r="K48" i="6"/>
  <c r="J48" i="6"/>
  <c r="H48" i="6"/>
  <c r="F48" i="6"/>
  <c r="AK47" i="6"/>
  <c r="AJ47" i="6"/>
  <c r="AI47" i="6"/>
  <c r="AH47" i="6"/>
  <c r="AG47" i="6"/>
  <c r="AF47" i="6"/>
  <c r="AC47" i="6"/>
  <c r="AA47" i="6"/>
  <c r="U47" i="6"/>
  <c r="K47" i="6"/>
  <c r="J47" i="6"/>
  <c r="H47" i="6"/>
  <c r="F47" i="6"/>
  <c r="AK46" i="6"/>
  <c r="AJ46" i="6"/>
  <c r="AI46" i="6"/>
  <c r="AH46" i="6"/>
  <c r="AG46" i="6"/>
  <c r="AF46" i="6"/>
  <c r="AC46" i="6"/>
  <c r="AA46" i="6"/>
  <c r="U46" i="6"/>
  <c r="K46" i="6"/>
  <c r="J46" i="6"/>
  <c r="H46" i="6"/>
  <c r="F46" i="6"/>
  <c r="AK45" i="6"/>
  <c r="AJ45" i="6"/>
  <c r="AI45" i="6"/>
  <c r="AH45" i="6"/>
  <c r="AG45" i="6"/>
  <c r="AF45" i="6"/>
  <c r="AC45" i="6"/>
  <c r="AA45" i="6"/>
  <c r="U45" i="6"/>
  <c r="K45" i="6"/>
  <c r="J45" i="6"/>
  <c r="H45" i="6"/>
  <c r="F45" i="6"/>
  <c r="AK44" i="6"/>
  <c r="AJ44" i="6"/>
  <c r="AI44" i="6"/>
  <c r="AH44" i="6"/>
  <c r="AG44" i="6"/>
  <c r="AF44" i="6"/>
  <c r="AC44" i="6"/>
  <c r="AA44" i="6"/>
  <c r="U44" i="6"/>
  <c r="K44" i="6"/>
  <c r="J44" i="6"/>
  <c r="H44" i="6"/>
  <c r="F44" i="6"/>
  <c r="AK43" i="6"/>
  <c r="AJ43" i="6"/>
  <c r="AI43" i="6"/>
  <c r="AH43" i="6"/>
  <c r="AG43" i="6"/>
  <c r="AF43" i="6"/>
  <c r="AC43" i="6"/>
  <c r="AA43" i="6"/>
  <c r="U43" i="6"/>
  <c r="K43" i="6"/>
  <c r="J43" i="6"/>
  <c r="H43" i="6"/>
  <c r="F43" i="6"/>
  <c r="AK42" i="6"/>
  <c r="AJ42" i="6"/>
  <c r="AI42" i="6"/>
  <c r="AH42" i="6"/>
  <c r="AG42" i="6"/>
  <c r="AF42" i="6"/>
  <c r="AC42" i="6"/>
  <c r="AA42" i="6"/>
  <c r="U42" i="6"/>
  <c r="K42" i="6"/>
  <c r="J42" i="6"/>
  <c r="H42" i="6"/>
  <c r="F42" i="6"/>
  <c r="AK41" i="6"/>
  <c r="AJ41" i="6"/>
  <c r="AI41" i="6"/>
  <c r="AH41" i="6"/>
  <c r="AG41" i="6"/>
  <c r="AF41" i="6"/>
  <c r="AC41" i="6"/>
  <c r="AA41" i="6"/>
  <c r="U41" i="6"/>
  <c r="K41" i="6"/>
  <c r="J41" i="6"/>
  <c r="H41" i="6"/>
  <c r="F41" i="6"/>
  <c r="AK40" i="6"/>
  <c r="AJ40" i="6"/>
  <c r="AI40" i="6"/>
  <c r="AH40" i="6"/>
  <c r="AG40" i="6"/>
  <c r="AF40" i="6"/>
  <c r="AC40" i="6"/>
  <c r="AA40" i="6"/>
  <c r="U40" i="6"/>
  <c r="K40" i="6"/>
  <c r="J40" i="6"/>
  <c r="H40" i="6"/>
  <c r="F40" i="6"/>
  <c r="AK39" i="6"/>
  <c r="AJ39" i="6"/>
  <c r="AI39" i="6"/>
  <c r="AH39" i="6"/>
  <c r="AG39" i="6"/>
  <c r="AF39" i="6"/>
  <c r="AC39" i="6"/>
  <c r="AA39" i="6"/>
  <c r="U39" i="6"/>
  <c r="K39" i="6"/>
  <c r="J39" i="6"/>
  <c r="H39" i="6"/>
  <c r="F39" i="6"/>
  <c r="AK38" i="6"/>
  <c r="AJ38" i="6"/>
  <c r="AI38" i="6"/>
  <c r="AH38" i="6"/>
  <c r="AG38" i="6"/>
  <c r="AF38" i="6"/>
  <c r="AC38" i="6"/>
  <c r="AA38" i="6"/>
  <c r="U38" i="6"/>
  <c r="K38" i="6"/>
  <c r="J38" i="6"/>
  <c r="H38" i="6"/>
  <c r="F38" i="6"/>
  <c r="AK37" i="6"/>
  <c r="AJ37" i="6"/>
  <c r="AI37" i="6"/>
  <c r="AH37" i="6"/>
  <c r="AG37" i="6"/>
  <c r="AF37" i="6"/>
  <c r="AC37" i="6"/>
  <c r="AA37" i="6"/>
  <c r="U37" i="6"/>
  <c r="K37" i="6"/>
  <c r="J37" i="6"/>
  <c r="H37" i="6"/>
  <c r="F37" i="6"/>
  <c r="AK36" i="6"/>
  <c r="AJ36" i="6"/>
  <c r="AI36" i="6"/>
  <c r="AH36" i="6"/>
  <c r="AG36" i="6"/>
  <c r="AF36" i="6"/>
  <c r="AC36" i="6"/>
  <c r="AA36" i="6"/>
  <c r="U36" i="6"/>
  <c r="K36" i="6"/>
  <c r="J36" i="6"/>
  <c r="H36" i="6"/>
  <c r="F36" i="6"/>
  <c r="AK35" i="6"/>
  <c r="AJ35" i="6"/>
  <c r="AI35" i="6"/>
  <c r="AH35" i="6"/>
  <c r="AG35" i="6"/>
  <c r="AF35" i="6"/>
  <c r="AC35" i="6"/>
  <c r="AA35" i="6"/>
  <c r="U35" i="6"/>
  <c r="K35" i="6"/>
  <c r="J35" i="6"/>
  <c r="H35" i="6"/>
  <c r="F35" i="6"/>
  <c r="AK34" i="6"/>
  <c r="AJ34" i="6"/>
  <c r="AI34" i="6"/>
  <c r="AH34" i="6"/>
  <c r="AG34" i="6"/>
  <c r="AF34" i="6"/>
  <c r="AC34" i="6"/>
  <c r="AA34" i="6"/>
  <c r="U34" i="6"/>
  <c r="K34" i="6"/>
  <c r="J34" i="6"/>
  <c r="H34" i="6"/>
  <c r="F34" i="6"/>
  <c r="AK33" i="6"/>
  <c r="AJ33" i="6"/>
  <c r="AI33" i="6"/>
  <c r="AH33" i="6"/>
  <c r="AG33" i="6"/>
  <c r="AF33" i="6"/>
  <c r="AC33" i="6"/>
  <c r="AA33" i="6"/>
  <c r="U33" i="6"/>
  <c r="K33" i="6"/>
  <c r="J33" i="6"/>
  <c r="H33" i="6"/>
  <c r="F33" i="6"/>
  <c r="AK32" i="6"/>
  <c r="AJ32" i="6"/>
  <c r="AI32" i="6"/>
  <c r="AH32" i="6"/>
  <c r="AG32" i="6"/>
  <c r="AF32" i="6"/>
  <c r="AC32" i="6"/>
  <c r="AA32" i="6"/>
  <c r="U32" i="6"/>
  <c r="K32" i="6"/>
  <c r="J32" i="6"/>
  <c r="H32" i="6"/>
  <c r="F32" i="6"/>
  <c r="AK31" i="6"/>
  <c r="AJ31" i="6"/>
  <c r="AI31" i="6"/>
  <c r="AH31" i="6"/>
  <c r="AG31" i="6"/>
  <c r="AF31" i="6"/>
  <c r="AC31" i="6"/>
  <c r="AA31" i="6"/>
  <c r="U31" i="6"/>
  <c r="K31" i="6"/>
  <c r="J31" i="6"/>
  <c r="H31" i="6"/>
  <c r="F31" i="6"/>
  <c r="AK30" i="6"/>
  <c r="AJ30" i="6"/>
  <c r="AI30" i="6"/>
  <c r="AH30" i="6"/>
  <c r="AG30" i="6"/>
  <c r="AF30" i="6"/>
  <c r="AC30" i="6"/>
  <c r="AA30" i="6"/>
  <c r="U30" i="6"/>
  <c r="K30" i="6"/>
  <c r="J30" i="6"/>
  <c r="H30" i="6"/>
  <c r="F30" i="6"/>
  <c r="AK29" i="6"/>
  <c r="AJ29" i="6"/>
  <c r="AI29" i="6"/>
  <c r="AH29" i="6"/>
  <c r="AG29" i="6"/>
  <c r="AF29" i="6"/>
  <c r="AC29" i="6"/>
  <c r="AA29" i="6"/>
  <c r="U29" i="6"/>
  <c r="K29" i="6"/>
  <c r="J29" i="6"/>
  <c r="H29" i="6"/>
  <c r="F29" i="6"/>
  <c r="AK28" i="6"/>
  <c r="AJ28" i="6"/>
  <c r="AI28" i="6"/>
  <c r="AH28" i="6"/>
  <c r="AG28" i="6"/>
  <c r="AF28" i="6"/>
  <c r="AC28" i="6"/>
  <c r="AA28" i="6"/>
  <c r="U28" i="6"/>
  <c r="K28" i="6"/>
  <c r="J28" i="6"/>
  <c r="H28" i="6"/>
  <c r="F28" i="6"/>
  <c r="AK27" i="6"/>
  <c r="AJ27" i="6"/>
  <c r="AI27" i="6"/>
  <c r="AH27" i="6"/>
  <c r="AG27" i="6"/>
  <c r="AF27" i="6"/>
  <c r="AC27" i="6"/>
  <c r="AA27" i="6"/>
  <c r="U27" i="6"/>
  <c r="K27" i="6"/>
  <c r="J27" i="6"/>
  <c r="H27" i="6"/>
  <c r="F27" i="6"/>
  <c r="AK26" i="6"/>
  <c r="AJ26" i="6"/>
  <c r="AI26" i="6"/>
  <c r="AH26" i="6"/>
  <c r="AG26" i="6"/>
  <c r="AF26" i="6"/>
  <c r="AC26" i="6"/>
  <c r="AA26" i="6"/>
  <c r="U26" i="6"/>
  <c r="K26" i="6"/>
  <c r="J26" i="6"/>
  <c r="H26" i="6"/>
  <c r="F26" i="6"/>
  <c r="AK25" i="6"/>
  <c r="AJ25" i="6"/>
  <c r="AI25" i="6"/>
  <c r="AH25" i="6"/>
  <c r="AG25" i="6"/>
  <c r="AF25" i="6"/>
  <c r="AC25" i="6"/>
  <c r="AA25" i="6"/>
  <c r="U25" i="6"/>
  <c r="K25" i="6"/>
  <c r="J25" i="6"/>
  <c r="H25" i="6"/>
  <c r="F25" i="6"/>
  <c r="AK24" i="6"/>
  <c r="AJ24" i="6"/>
  <c r="AI24" i="6"/>
  <c r="AH24" i="6"/>
  <c r="AG24" i="6"/>
  <c r="AF24" i="6"/>
  <c r="AC24" i="6"/>
  <c r="AA24" i="6"/>
  <c r="U24" i="6"/>
  <c r="K24" i="6"/>
  <c r="J24" i="6"/>
  <c r="H24" i="6"/>
  <c r="F24" i="6"/>
  <c r="AK23" i="6"/>
  <c r="AJ23" i="6"/>
  <c r="AI23" i="6"/>
  <c r="AH23" i="6"/>
  <c r="AG23" i="6"/>
  <c r="AF23" i="6"/>
  <c r="AC23" i="6"/>
  <c r="AA23" i="6"/>
  <c r="U23" i="6"/>
  <c r="K23" i="6"/>
  <c r="J23" i="6"/>
  <c r="H23" i="6"/>
  <c r="F23" i="6"/>
  <c r="AK22" i="6"/>
  <c r="AJ22" i="6"/>
  <c r="AI22" i="6"/>
  <c r="AH22" i="6"/>
  <c r="AG22" i="6"/>
  <c r="AF22" i="6"/>
  <c r="AC22" i="6"/>
  <c r="AA22" i="6"/>
  <c r="U22" i="6"/>
  <c r="K22" i="6"/>
  <c r="J22" i="6"/>
  <c r="H22" i="6"/>
  <c r="F22" i="6"/>
  <c r="AK21" i="6"/>
  <c r="AJ21" i="6"/>
  <c r="AI21" i="6"/>
  <c r="AH21" i="6"/>
  <c r="AG21" i="6"/>
  <c r="AF21" i="6"/>
  <c r="AC21" i="6"/>
  <c r="AA21" i="6"/>
  <c r="U21" i="6"/>
  <c r="K21" i="6"/>
  <c r="J21" i="6"/>
  <c r="H21" i="6"/>
  <c r="F21" i="6"/>
  <c r="AK20" i="6"/>
  <c r="AJ20" i="6"/>
  <c r="AI20" i="6"/>
  <c r="AH20" i="6"/>
  <c r="AG20" i="6"/>
  <c r="AF20" i="6"/>
  <c r="AC20" i="6"/>
  <c r="AA20" i="6"/>
  <c r="U20" i="6"/>
  <c r="K20" i="6"/>
  <c r="J20" i="6"/>
  <c r="H20" i="6"/>
  <c r="F20" i="6"/>
  <c r="AK19" i="6"/>
  <c r="AJ19" i="6"/>
  <c r="AI19" i="6"/>
  <c r="AH19" i="6"/>
  <c r="AG19" i="6"/>
  <c r="AF19" i="6"/>
  <c r="AC19" i="6"/>
  <c r="AA19" i="6"/>
  <c r="U19" i="6"/>
  <c r="K19" i="6"/>
  <c r="J19" i="6"/>
  <c r="H19" i="6"/>
  <c r="F19" i="6"/>
  <c r="AK18" i="6"/>
  <c r="AJ18" i="6"/>
  <c r="AI18" i="6"/>
  <c r="AH18" i="6"/>
  <c r="AG18" i="6"/>
  <c r="AF18" i="6"/>
  <c r="AC18" i="6"/>
  <c r="AA18" i="6"/>
  <c r="U18" i="6"/>
  <c r="K18" i="6"/>
  <c r="J18" i="6"/>
  <c r="H18" i="6"/>
  <c r="F18" i="6"/>
  <c r="AK17" i="6"/>
  <c r="AJ17" i="6"/>
  <c r="AI17" i="6"/>
  <c r="AH17" i="6"/>
  <c r="AG17" i="6"/>
  <c r="AF17" i="6"/>
  <c r="AC17" i="6"/>
  <c r="AA17" i="6"/>
  <c r="U17" i="6"/>
  <c r="K17" i="6"/>
  <c r="J17" i="6"/>
  <c r="H17" i="6"/>
  <c r="F17" i="6"/>
  <c r="AK16" i="6"/>
  <c r="AJ16" i="6"/>
  <c r="AI16" i="6"/>
  <c r="AH16" i="6"/>
  <c r="AG16" i="6"/>
  <c r="AF16" i="6"/>
  <c r="AC16" i="6"/>
  <c r="AA16" i="6"/>
  <c r="U16" i="6"/>
  <c r="K16" i="6"/>
  <c r="J16" i="6"/>
  <c r="H16" i="6"/>
  <c r="F16" i="6"/>
  <c r="AK15" i="6"/>
  <c r="AJ15" i="6"/>
  <c r="AI15" i="6"/>
  <c r="AH15" i="6"/>
  <c r="AG15" i="6"/>
  <c r="AF15" i="6"/>
  <c r="AC15" i="6"/>
  <c r="AA15" i="6"/>
  <c r="U15" i="6"/>
  <c r="K15" i="6"/>
  <c r="J15" i="6"/>
  <c r="H15" i="6"/>
  <c r="F15" i="6"/>
  <c r="AK14" i="6"/>
  <c r="AJ14" i="6"/>
  <c r="AI14" i="6"/>
  <c r="AH14" i="6"/>
  <c r="AG14" i="6"/>
  <c r="AF14" i="6"/>
  <c r="AC14" i="6"/>
  <c r="AA14" i="6"/>
  <c r="U14" i="6"/>
  <c r="K14" i="6"/>
  <c r="J14" i="6"/>
  <c r="H14" i="6"/>
  <c r="F14" i="6"/>
  <c r="AK13" i="6"/>
  <c r="AJ13" i="6"/>
  <c r="AI13" i="6"/>
  <c r="AH13" i="6"/>
  <c r="AG13" i="6"/>
  <c r="AF13" i="6"/>
  <c r="AC13" i="6"/>
  <c r="AA13" i="6"/>
  <c r="U13" i="6"/>
  <c r="K13" i="6"/>
  <c r="J13" i="6"/>
  <c r="H13" i="6"/>
  <c r="F13" i="6"/>
  <c r="AK12" i="6"/>
  <c r="AJ12" i="6"/>
  <c r="AI12" i="6"/>
  <c r="AH12" i="6"/>
  <c r="AG12" i="6"/>
  <c r="AF12" i="6"/>
  <c r="AC12" i="6"/>
  <c r="AA12" i="6"/>
  <c r="U12" i="6"/>
  <c r="K12" i="6"/>
  <c r="J12" i="6"/>
  <c r="H12" i="6"/>
  <c r="F12" i="6"/>
  <c r="AK11" i="6"/>
  <c r="AJ11" i="6"/>
  <c r="AI11" i="6"/>
  <c r="AH11" i="6"/>
  <c r="AG11" i="6"/>
  <c r="AF11" i="6"/>
  <c r="AC11" i="6"/>
  <c r="AA11" i="6"/>
  <c r="U11" i="6"/>
  <c r="K11" i="6"/>
  <c r="J11" i="6"/>
  <c r="H11" i="6"/>
  <c r="F11" i="6"/>
  <c r="AK10" i="6"/>
  <c r="AJ10" i="6"/>
  <c r="AI10" i="6"/>
  <c r="AH10" i="6"/>
  <c r="AG10" i="6"/>
  <c r="AF10" i="6"/>
  <c r="AC10" i="6"/>
  <c r="AA10" i="6"/>
  <c r="U10" i="6"/>
  <c r="K10" i="6"/>
  <c r="J10" i="6"/>
  <c r="H10" i="6"/>
  <c r="F10" i="6"/>
  <c r="AK9" i="6"/>
  <c r="AJ9" i="6"/>
  <c r="AI9" i="6"/>
  <c r="AH9" i="6"/>
  <c r="AG9" i="6"/>
  <c r="AF9" i="6"/>
  <c r="AC9" i="6"/>
  <c r="AA9" i="6"/>
  <c r="U9" i="6"/>
  <c r="K9" i="6"/>
  <c r="J9" i="6"/>
  <c r="H9" i="6"/>
  <c r="F9" i="6"/>
  <c r="AK8" i="6"/>
  <c r="AJ8" i="6"/>
  <c r="AI8" i="6"/>
  <c r="AH8" i="6"/>
  <c r="AG8" i="6"/>
  <c r="AF8" i="6"/>
  <c r="AC8" i="6"/>
  <c r="AA8" i="6"/>
  <c r="U8" i="6"/>
  <c r="K8" i="6"/>
  <c r="J8" i="6"/>
  <c r="H8" i="6"/>
  <c r="F8" i="6"/>
  <c r="AK7" i="6"/>
  <c r="AJ7" i="6"/>
  <c r="AI7" i="6"/>
  <c r="AH7" i="6"/>
  <c r="AG7" i="6"/>
  <c r="AF7" i="6"/>
  <c r="AE7" i="6"/>
  <c r="AC7" i="6"/>
  <c r="AA7" i="6"/>
  <c r="U7" i="6"/>
  <c r="K7" i="6"/>
  <c r="J7" i="6"/>
  <c r="H7" i="6"/>
  <c r="F7" i="6"/>
  <c r="AK6" i="6"/>
  <c r="AJ6" i="6"/>
  <c r="AI6" i="6"/>
  <c r="AH6" i="6"/>
  <c r="AG6" i="6"/>
  <c r="AF6" i="6"/>
  <c r="AC6" i="6"/>
  <c r="AA6" i="6"/>
  <c r="U6" i="6"/>
  <c r="K6" i="6"/>
  <c r="J6" i="6"/>
  <c r="H6" i="6"/>
  <c r="F6" i="6"/>
  <c r="AK5" i="6"/>
  <c r="AJ5" i="6"/>
  <c r="AI5" i="6"/>
  <c r="AH5" i="6"/>
  <c r="AG5" i="6"/>
  <c r="AF5" i="6"/>
  <c r="AC5" i="6"/>
  <c r="AA5" i="6"/>
  <c r="U5" i="6"/>
  <c r="K5" i="6"/>
  <c r="J5" i="6"/>
  <c r="H5" i="6"/>
  <c r="F5" i="6"/>
  <c r="AK4" i="6"/>
  <c r="AJ4" i="6"/>
  <c r="AI4" i="6"/>
  <c r="AH4" i="6"/>
  <c r="AG4" i="6"/>
  <c r="AF4" i="6"/>
  <c r="AC4" i="6"/>
  <c r="AA4" i="6"/>
  <c r="C77" i="4" s="1" a="1"/>
  <c r="C77" i="4" s="1"/>
  <c r="U4" i="6"/>
  <c r="K4" i="6"/>
  <c r="J4" i="6"/>
  <c r="H4" i="6"/>
  <c r="F4" i="6"/>
  <c r="AK3" i="6"/>
  <c r="AJ3" i="6"/>
  <c r="AI3" i="6"/>
  <c r="AH3" i="6"/>
  <c r="AG3" i="6"/>
  <c r="AF3" i="6"/>
  <c r="AC3" i="6"/>
  <c r="AA3" i="6"/>
  <c r="U3" i="6"/>
  <c r="K3" i="6"/>
  <c r="J3" i="6"/>
  <c r="H3" i="6"/>
  <c r="F3" i="6"/>
  <c r="AK2" i="6"/>
  <c r="AJ2" i="6"/>
  <c r="AI2" i="6"/>
  <c r="AH2" i="6"/>
  <c r="AG2" i="6"/>
  <c r="AF2" i="6"/>
  <c r="AC2" i="6"/>
  <c r="AA2" i="6"/>
  <c r="AE15" i="6" s="1"/>
  <c r="U2" i="6"/>
  <c r="K2" i="6"/>
  <c r="J2" i="6"/>
  <c r="H2" i="6"/>
  <c r="F2" i="6"/>
  <c r="G11" i="5" a="1"/>
  <c r="G11" i="5"/>
  <c r="F11" i="5" a="1"/>
  <c r="F11" i="5" s="1"/>
  <c r="E11" i="5"/>
  <c r="G10" i="5" a="1"/>
  <c r="G10" i="5" s="1"/>
  <c r="F10" i="5" a="1"/>
  <c r="F10" i="5" s="1"/>
  <c r="E10" i="5"/>
  <c r="G9" i="5" a="1"/>
  <c r="G9" i="5" s="1"/>
  <c r="F9" i="5" a="1"/>
  <c r="F9" i="5" s="1"/>
  <c r="E9" i="5"/>
  <c r="D9" i="5" a="1"/>
  <c r="D9" i="5" s="1"/>
  <c r="C76" i="4" a="1"/>
  <c r="C76" i="4"/>
  <c r="C75" i="4" a="1"/>
  <c r="C75" i="4" s="1"/>
  <c r="D73" i="4" a="1"/>
  <c r="D73" i="4" s="1"/>
  <c r="D66" i="4"/>
  <c r="D65" i="4"/>
  <c r="D64" i="4"/>
  <c r="D67" i="4" s="1"/>
  <c r="D63" i="4"/>
  <c r="D61" i="4"/>
  <c r="D60" i="4"/>
  <c r="D59" i="4"/>
  <c r="D62" i="4" s="1"/>
  <c r="D58" i="4"/>
  <c r="D56" i="4"/>
  <c r="D55" i="4"/>
  <c r="D54" i="4"/>
  <c r="D53" i="4"/>
  <c r="D52" i="4"/>
  <c r="D51" i="4"/>
  <c r="D50" i="4"/>
  <c r="D49" i="4"/>
  <c r="D48" i="4"/>
  <c r="D46" i="4"/>
  <c r="D45" i="4"/>
  <c r="D44" i="4"/>
  <c r="D47" i="4" s="1"/>
  <c r="D43" i="4"/>
  <c r="E38" i="4"/>
  <c r="D38" i="4"/>
  <c r="E37" i="4"/>
  <c r="D37" i="4"/>
  <c r="E36" i="4"/>
  <c r="D36" i="4"/>
  <c r="E35" i="4"/>
  <c r="D35" i="4"/>
  <c r="E34" i="4"/>
  <c r="D34" i="4"/>
  <c r="H30" i="4" a="1"/>
  <c r="H30" i="4" s="1"/>
  <c r="I30" i="4" s="1"/>
  <c r="G30" i="4" a="1"/>
  <c r="G30" i="4"/>
  <c r="F30" i="4"/>
  <c r="G29" i="4" a="1"/>
  <c r="G29" i="4" s="1"/>
  <c r="F29" i="4"/>
  <c r="H28" i="4" a="1"/>
  <c r="H28" i="4" s="1"/>
  <c r="I28" i="4" s="1"/>
  <c r="G28" i="4" a="1"/>
  <c r="G28" i="4" s="1"/>
  <c r="F28" i="4"/>
  <c r="I27" i="4"/>
  <c r="H27" i="4" a="1"/>
  <c r="H27" i="4" s="1"/>
  <c r="G27" i="4" a="1"/>
  <c r="G27" i="4" s="1"/>
  <c r="F27" i="4"/>
  <c r="H26" i="4" a="1"/>
  <c r="H26" i="4" s="1"/>
  <c r="I26" i="4" s="1"/>
  <c r="G26" i="4" a="1"/>
  <c r="G26" i="4" s="1"/>
  <c r="F26" i="4"/>
  <c r="G25" i="4" a="1"/>
  <c r="G25" i="4" s="1"/>
  <c r="F25" i="4"/>
  <c r="J24" i="4"/>
  <c r="G24" i="4" a="1"/>
  <c r="G24" i="4"/>
  <c r="F24" i="4"/>
  <c r="G23" i="4" a="1"/>
  <c r="G23" i="4"/>
  <c r="F23" i="4"/>
  <c r="H22" i="4" a="1"/>
  <c r="H22" i="4" s="1"/>
  <c r="I22" i="4" s="1"/>
  <c r="G22" i="4" a="1"/>
  <c r="G22" i="4"/>
  <c r="F22" i="4"/>
  <c r="H21" i="4" a="1"/>
  <c r="H21" i="4" s="1"/>
  <c r="I21" i="4" s="1"/>
  <c r="G21" i="4" a="1"/>
  <c r="G21" i="4"/>
  <c r="F21" i="4"/>
  <c r="G20" i="4" a="1"/>
  <c r="G20" i="4"/>
  <c r="F20" i="4"/>
  <c r="H19" i="4" a="1"/>
  <c r="H19" i="4" s="1"/>
  <c r="I19" i="4" s="1"/>
  <c r="G19" i="4" a="1"/>
  <c r="G19" i="4"/>
  <c r="F19" i="4"/>
  <c r="J18" i="4"/>
  <c r="H18" i="4" a="1"/>
  <c r="H18" i="4" s="1"/>
  <c r="G18" i="4" a="1"/>
  <c r="G18" i="4" s="1"/>
  <c r="F18" i="4"/>
  <c r="G17" i="4" a="1"/>
  <c r="G17" i="4"/>
  <c r="F17" i="4"/>
  <c r="H16" i="4" a="1"/>
  <c r="H16" i="4"/>
  <c r="I16" i="4" s="1"/>
  <c r="G16" i="4" a="1"/>
  <c r="G16" i="4"/>
  <c r="F16" i="4"/>
  <c r="G10" i="4" a="1"/>
  <c r="G10" i="4" s="1"/>
  <c r="E10" i="4"/>
  <c r="D10" i="4"/>
  <c r="C10" i="4" a="1"/>
  <c r="C10" i="4" s="1"/>
  <c r="G9" i="4" a="1"/>
  <c r="G9" i="4" s="1"/>
  <c r="E9" i="4"/>
  <c r="D9" i="4"/>
  <c r="C9" i="4" a="1"/>
  <c r="C9" i="4" s="1"/>
  <c r="G8" i="4" a="1"/>
  <c r="G8" i="4" s="1"/>
  <c r="E8" i="4"/>
  <c r="F9" i="4" s="1"/>
  <c r="D8" i="4"/>
  <c r="C8" i="4" a="1"/>
  <c r="C8" i="4"/>
  <c r="G7" i="4" a="1"/>
  <c r="G7" i="4" s="1"/>
  <c r="E7" i="4"/>
  <c r="F6" i="4" s="1"/>
  <c r="D7" i="4"/>
  <c r="C7" i="4" a="1"/>
  <c r="C7" i="4" s="1"/>
  <c r="G6" i="4" a="1"/>
  <c r="G6" i="4" s="1"/>
  <c r="E6" i="4"/>
  <c r="D6" i="4"/>
  <c r="C6" i="4" a="1"/>
  <c r="C6" i="4" s="1"/>
  <c r="C19" i="3" a="1"/>
  <c r="C19" i="3"/>
  <c r="D19" i="3" s="1"/>
  <c r="G15" i="3" a="1"/>
  <c r="G15" i="3" s="1"/>
  <c r="F15" i="3" a="1"/>
  <c r="F15" i="3" s="1"/>
  <c r="E15" i="3" a="1"/>
  <c r="E15" i="3"/>
  <c r="D15" i="3" a="1"/>
  <c r="D15" i="3"/>
  <c r="C15" i="3"/>
  <c r="H14" i="3" a="1"/>
  <c r="H14" i="3" s="1"/>
  <c r="G14" i="3" a="1"/>
  <c r="G14" i="3" s="1"/>
  <c r="F14" i="3" a="1"/>
  <c r="F14" i="3"/>
  <c r="E14" i="3" a="1"/>
  <c r="E14" i="3" s="1"/>
  <c r="D14" i="3" a="1"/>
  <c r="D14" i="3" s="1"/>
  <c r="C14" i="3"/>
  <c r="H13" i="3" a="1"/>
  <c r="H13" i="3"/>
  <c r="G13" i="3" a="1"/>
  <c r="G13" i="3" s="1"/>
  <c r="F13" i="3" a="1"/>
  <c r="F13" i="3"/>
  <c r="E13" i="3" a="1"/>
  <c r="E13" i="3" s="1"/>
  <c r="D13" i="3" a="1"/>
  <c r="D13" i="3" s="1"/>
  <c r="C13" i="3"/>
  <c r="H12" i="3" a="1"/>
  <c r="H12" i="3"/>
  <c r="G12" i="3" a="1"/>
  <c r="G12" i="3"/>
  <c r="F12" i="3" a="1"/>
  <c r="F12" i="3"/>
  <c r="E12" i="3" a="1"/>
  <c r="E12" i="3" s="1"/>
  <c r="D12" i="3" a="1"/>
  <c r="D12" i="3" s="1"/>
  <c r="C12" i="3"/>
  <c r="H11" i="3" a="1"/>
  <c r="H11" i="3" s="1"/>
  <c r="D7" i="1" s="1"/>
  <c r="G11" i="3" a="1"/>
  <c r="G11" i="3" s="1"/>
  <c r="F11" i="3" a="1"/>
  <c r="F11" i="3"/>
  <c r="E11" i="3" a="1"/>
  <c r="E11" i="3"/>
  <c r="D11" i="3" a="1"/>
  <c r="D11" i="3" s="1"/>
  <c r="C11" i="3"/>
  <c r="H88" i="2" a="1"/>
  <c r="H88" i="2"/>
  <c r="F88" i="2" a="1"/>
  <c r="F88" i="2"/>
  <c r="D88" i="2" a="1"/>
  <c r="D88" i="2" s="1"/>
  <c r="H87" i="2" a="1"/>
  <c r="H87" i="2"/>
  <c r="F87" i="2" a="1"/>
  <c r="F87" i="2"/>
  <c r="D87" i="2" a="1"/>
  <c r="D87" i="2"/>
  <c r="H86" i="2" a="1"/>
  <c r="H86" i="2" s="1"/>
  <c r="F86" i="2" a="1"/>
  <c r="F86" i="2" s="1"/>
  <c r="F16" i="2" s="1"/>
  <c r="D86" i="2" a="1"/>
  <c r="D86" i="2" s="1"/>
  <c r="H85" i="2" a="1"/>
  <c r="H85" i="2"/>
  <c r="F85" i="2" a="1"/>
  <c r="F85" i="2" s="1"/>
  <c r="D85" i="2" a="1"/>
  <c r="D85" i="2"/>
  <c r="D16" i="2" s="1"/>
  <c r="H82" i="2" a="1"/>
  <c r="H82" i="2"/>
  <c r="F82" i="2" a="1"/>
  <c r="F82" i="2"/>
  <c r="D82" i="2" a="1"/>
  <c r="D82" i="2" s="1"/>
  <c r="H81" i="2" a="1"/>
  <c r="H81" i="2"/>
  <c r="F81" i="2" a="1"/>
  <c r="F81" i="2" s="1"/>
  <c r="D81" i="2" a="1"/>
  <c r="D81" i="2" s="1"/>
  <c r="H80" i="2" a="1"/>
  <c r="H80" i="2" s="1"/>
  <c r="F80" i="2" a="1"/>
  <c r="F80" i="2"/>
  <c r="D80" i="2" a="1"/>
  <c r="D80" i="2"/>
  <c r="H79" i="2" a="1"/>
  <c r="H79" i="2"/>
  <c r="F79" i="2" a="1"/>
  <c r="F79" i="2" s="1"/>
  <c r="D79" i="2" a="1"/>
  <c r="D79" i="2"/>
  <c r="H78" i="2" a="1"/>
  <c r="H78" i="2"/>
  <c r="H15" i="2" s="1"/>
  <c r="F78" i="2" a="1"/>
  <c r="F78" i="2" s="1"/>
  <c r="D78" i="2" a="1"/>
  <c r="D78" i="2" s="1"/>
  <c r="H77" i="2" a="1"/>
  <c r="H77" i="2"/>
  <c r="F77" i="2" a="1"/>
  <c r="F77" i="2"/>
  <c r="D77" i="2" a="1"/>
  <c r="D77" i="2"/>
  <c r="H76" i="2" a="1"/>
  <c r="H76" i="2" s="1"/>
  <c r="F76" i="2" a="1"/>
  <c r="F76" i="2" s="1"/>
  <c r="D76" i="2" a="1"/>
  <c r="D76" i="2"/>
  <c r="D15" i="2" s="1"/>
  <c r="H71" i="2"/>
  <c r="F71" i="2"/>
  <c r="D71" i="2"/>
  <c r="H70" i="2"/>
  <c r="F70" i="2"/>
  <c r="D70" i="2"/>
  <c r="H69" i="2"/>
  <c r="F69" i="2"/>
  <c r="D69" i="2"/>
  <c r="H68" i="2"/>
  <c r="F68" i="2"/>
  <c r="H67" i="2"/>
  <c r="F67" i="2"/>
  <c r="D67" i="2"/>
  <c r="H64" i="2" a="1"/>
  <c r="H64" i="2"/>
  <c r="F64" i="2" a="1"/>
  <c r="F64" i="2"/>
  <c r="H63" i="2" a="1"/>
  <c r="H63" i="2"/>
  <c r="F63" i="2" a="1"/>
  <c r="F63" i="2"/>
  <c r="D63" i="2" a="1"/>
  <c r="D63" i="2"/>
  <c r="F62" i="2" a="1"/>
  <c r="F62" i="2" s="1"/>
  <c r="D62" i="2" a="1"/>
  <c r="D62" i="2" s="1"/>
  <c r="H61" i="2" a="1"/>
  <c r="H61" i="2"/>
  <c r="D61" i="2" a="1"/>
  <c r="D61" i="2"/>
  <c r="H60" i="2" a="1"/>
  <c r="H60" i="2"/>
  <c r="F60" i="2" a="1"/>
  <c r="F60" i="2"/>
  <c r="D45" i="2" a="1"/>
  <c r="D45" i="2"/>
  <c r="E45" i="2" s="1"/>
  <c r="F29" i="2"/>
  <c r="D29" i="2"/>
  <c r="H19" i="2" a="1"/>
  <c r="H19" i="2" s="1"/>
  <c r="H18" i="2" a="1"/>
  <c r="H18" i="2"/>
  <c r="H16" i="2"/>
  <c r="H14" i="2" a="1"/>
  <c r="H14" i="2" s="1"/>
  <c r="H31" i="2" s="1"/>
  <c r="F14" i="2" a="1"/>
  <c r="F14" i="2"/>
  <c r="F31" i="2" s="1"/>
  <c r="D14" i="2" a="1"/>
  <c r="D14" i="2" s="1"/>
  <c r="D31" i="2" s="1"/>
  <c r="H13" i="2" a="1"/>
  <c r="H13" i="2" s="1"/>
  <c r="H30" i="2" s="1"/>
  <c r="F13" i="2" a="1"/>
  <c r="F13" i="2" s="1"/>
  <c r="F30" i="2" s="1"/>
  <c r="D13" i="2" a="1"/>
  <c r="D13" i="2"/>
  <c r="D30" i="2" s="1"/>
  <c r="H12" i="2" a="1"/>
  <c r="H12" i="2"/>
  <c r="H29" i="2" s="1"/>
  <c r="F12" i="2" a="1"/>
  <c r="F12" i="2"/>
  <c r="D12" i="2" a="1"/>
  <c r="D12" i="2" s="1"/>
  <c r="F11" i="2" a="1"/>
  <c r="F11" i="2"/>
  <c r="F28" i="2" s="1"/>
  <c r="D11" i="2" a="1"/>
  <c r="D11" i="2"/>
  <c r="D28" i="2" s="1"/>
  <c r="H8" i="2" a="1"/>
  <c r="H8" i="2" s="1"/>
  <c r="H27" i="2" s="1"/>
  <c r="F8" i="2" a="1"/>
  <c r="F8" i="2"/>
  <c r="F27" i="2" s="1"/>
  <c r="D8" i="2" a="1"/>
  <c r="D8" i="2"/>
  <c r="D27" i="2" s="1"/>
  <c r="H6" i="2" a="1"/>
  <c r="H6" i="2"/>
  <c r="H26" i="2" s="1"/>
  <c r="D6" i="2" a="1"/>
  <c r="D6" i="2" s="1"/>
  <c r="D8" i="1"/>
  <c r="D6" i="1"/>
  <c r="F15" i="2" l="1"/>
  <c r="D9" i="1"/>
  <c r="D26" i="2"/>
  <c r="F10" i="4"/>
  <c r="F8" i="4"/>
  <c r="AE5" i="6"/>
  <c r="I5" i="3"/>
  <c r="F7" i="4"/>
  <c r="I7" i="3"/>
  <c r="H25" i="4" a="1"/>
  <c r="H25" i="4" s="1"/>
  <c r="I25" i="4" s="1"/>
  <c r="AE24" i="6"/>
  <c r="D74" i="4" a="1"/>
  <c r="D74" i="4" s="1"/>
  <c r="H29" i="4" a="1"/>
  <c r="H29" i="4" s="1"/>
  <c r="I29" i="4" s="1"/>
  <c r="AE16" i="6"/>
  <c r="AE8" i="6"/>
  <c r="D68" i="2"/>
  <c r="D64" i="2" a="1"/>
  <c r="D64" i="2" s="1"/>
  <c r="H62" i="2" a="1"/>
  <c r="H62" i="2" s="1"/>
  <c r="F61" i="2" a="1"/>
  <c r="F61" i="2" s="1"/>
  <c r="D60" i="2" a="1"/>
  <c r="D60" i="2" s="1"/>
  <c r="AE4" i="6"/>
  <c r="AE11" i="6"/>
  <c r="D57" i="4"/>
  <c r="D11" i="5" a="1"/>
  <c r="D11" i="5" s="1"/>
  <c r="I18" i="4" s="1"/>
  <c r="F6" i="2" a="1"/>
  <c r="F6" i="2" s="1"/>
  <c r="F26" i="2" s="1"/>
  <c r="AE10" i="6"/>
  <c r="AE21" i="6"/>
  <c r="AE25" i="6"/>
  <c r="AE40" i="6"/>
  <c r="AE18" i="6"/>
  <c r="AE36" i="6"/>
  <c r="AE42" i="6"/>
  <c r="AE50" i="6"/>
  <c r="AE58" i="6"/>
  <c r="AE66" i="6"/>
  <c r="AE74" i="6"/>
  <c r="AE82" i="6"/>
  <c r="AE90" i="6"/>
  <c r="AE98" i="6"/>
  <c r="AE106" i="6"/>
  <c r="AE114" i="6"/>
  <c r="AE122" i="6"/>
  <c r="AE130" i="6"/>
  <c r="AE138" i="6"/>
  <c r="AE146" i="6"/>
  <c r="AE154" i="6"/>
  <c r="AE162" i="6"/>
  <c r="AE170" i="6"/>
  <c r="AE178" i="6"/>
  <c r="AE186" i="6"/>
  <c r="AE194" i="6"/>
  <c r="AE202" i="6"/>
  <c r="AE210" i="6"/>
  <c r="AE218" i="6"/>
  <c r="AE226" i="6"/>
  <c r="AE234" i="6"/>
  <c r="AE242" i="6"/>
  <c r="AE250" i="6"/>
  <c r="AE258" i="6"/>
  <c r="AE266" i="6"/>
  <c r="AE274" i="6"/>
  <c r="AE298" i="6"/>
  <c r="H15" i="3" a="1"/>
  <c r="H15" i="3" s="1"/>
  <c r="H23" i="4" a="1"/>
  <c r="H23" i="4" s="1"/>
  <c r="I23" i="4" s="1"/>
  <c r="C74" i="4" a="1"/>
  <c r="C74" i="4" s="1"/>
  <c r="D76" i="4" a="1"/>
  <c r="D76" i="4" s="1"/>
  <c r="AE6" i="6"/>
  <c r="AE9" i="6"/>
  <c r="AE33" i="6"/>
  <c r="AE263" i="6"/>
  <c r="AE271" i="6"/>
  <c r="AE279" i="6"/>
  <c r="AE287" i="6"/>
  <c r="AE295" i="6"/>
  <c r="AE255" i="6"/>
  <c r="AE247" i="6"/>
  <c r="AE239" i="6"/>
  <c r="AE231" i="6"/>
  <c r="AE223" i="6"/>
  <c r="AE215" i="6"/>
  <c r="AE207" i="6"/>
  <c r="AE199" i="6"/>
  <c r="AE191" i="6"/>
  <c r="AE183" i="6"/>
  <c r="AE175" i="6"/>
  <c r="AE167" i="6"/>
  <c r="AE159" i="6"/>
  <c r="AE151" i="6"/>
  <c r="AE143" i="6"/>
  <c r="AE135" i="6"/>
  <c r="AE127" i="6"/>
  <c r="AE119" i="6"/>
  <c r="AE111" i="6"/>
  <c r="AE103" i="6"/>
  <c r="AE95" i="6"/>
  <c r="AE87" i="6"/>
  <c r="AE79" i="6"/>
  <c r="AE71" i="6"/>
  <c r="AE63" i="6"/>
  <c r="AE55" i="6"/>
  <c r="AE47" i="6"/>
  <c r="AE39" i="6"/>
  <c r="AE31" i="6"/>
  <c r="AE288" i="6"/>
  <c r="AE280" i="6"/>
  <c r="AE272" i="6"/>
  <c r="AE264" i="6"/>
  <c r="AE256" i="6"/>
  <c r="AE248" i="6"/>
  <c r="AE240" i="6"/>
  <c r="AE232" i="6"/>
  <c r="AE224" i="6"/>
  <c r="AE216" i="6"/>
  <c r="AE208" i="6"/>
  <c r="AE200" i="6"/>
  <c r="AE192" i="6"/>
  <c r="AE184" i="6"/>
  <c r="AE176" i="6"/>
  <c r="AE168" i="6"/>
  <c r="AE160" i="6"/>
  <c r="AE152" i="6"/>
  <c r="AE144" i="6"/>
  <c r="AE136" i="6"/>
  <c r="AE128" i="6"/>
  <c r="AE120" i="6"/>
  <c r="AE112" i="6"/>
  <c r="AE104" i="6"/>
  <c r="AE96" i="6"/>
  <c r="AE88" i="6"/>
  <c r="AE80" i="6"/>
  <c r="AE72" i="6"/>
  <c r="AE64" i="6"/>
  <c r="AE56" i="6"/>
  <c r="AE48" i="6"/>
  <c r="D10" i="5" a="1"/>
  <c r="D10" i="5" s="1"/>
  <c r="H24" i="4" a="1"/>
  <c r="H24" i="4" s="1"/>
  <c r="I24" i="4" s="1"/>
  <c r="H20" i="4" a="1"/>
  <c r="H20" i="4" s="1"/>
  <c r="I20" i="4" s="1"/>
  <c r="AE290" i="6"/>
  <c r="AE282" i="6"/>
  <c r="AE299" i="6"/>
  <c r="AE291" i="6"/>
  <c r="AE275" i="6"/>
  <c r="AE163" i="6"/>
  <c r="AE155" i="6"/>
  <c r="AE147" i="6"/>
  <c r="AE139" i="6"/>
  <c r="AE131" i="6"/>
  <c r="AE123" i="6"/>
  <c r="AE115" i="6"/>
  <c r="AE107" i="6"/>
  <c r="AE99" i="6"/>
  <c r="AE91" i="6"/>
  <c r="AE83" i="6"/>
  <c r="AE75" i="6"/>
  <c r="AE67" i="6"/>
  <c r="AE59" i="6"/>
  <c r="AE51" i="6"/>
  <c r="AE43" i="6"/>
  <c r="AE35" i="6"/>
  <c r="AE27" i="6"/>
  <c r="AE19" i="6"/>
  <c r="AE300" i="6"/>
  <c r="AE292" i="6"/>
  <c r="AE284" i="6"/>
  <c r="AE276" i="6"/>
  <c r="AE268" i="6"/>
  <c r="AE260" i="6"/>
  <c r="AE252" i="6"/>
  <c r="AE244" i="6"/>
  <c r="AE236" i="6"/>
  <c r="AE228" i="6"/>
  <c r="AE220" i="6"/>
  <c r="AE212" i="6"/>
  <c r="AE204" i="6"/>
  <c r="AE196" i="6"/>
  <c r="AE188" i="6"/>
  <c r="AE180" i="6"/>
  <c r="AE172" i="6"/>
  <c r="AE164" i="6"/>
  <c r="AE156" i="6"/>
  <c r="AE148" i="6"/>
  <c r="AE140" i="6"/>
  <c r="AE132" i="6"/>
  <c r="AE124" i="6"/>
  <c r="AE116" i="6"/>
  <c r="AE301" i="6"/>
  <c r="AE286" i="6"/>
  <c r="AE278" i="6"/>
  <c r="AE270" i="6"/>
  <c r="AE262" i="6"/>
  <c r="AE254" i="6"/>
  <c r="AE246" i="6"/>
  <c r="AE238" i="6"/>
  <c r="AE230" i="6"/>
  <c r="AE222" i="6"/>
  <c r="AE214" i="6"/>
  <c r="AE206" i="6"/>
  <c r="AE198" i="6"/>
  <c r="AE190" i="6"/>
  <c r="AE182" i="6"/>
  <c r="AE174" i="6"/>
  <c r="AE166" i="6"/>
  <c r="AE158" i="6"/>
  <c r="AE150" i="6"/>
  <c r="AE142" i="6"/>
  <c r="AE134" i="6"/>
  <c r="AE126" i="6"/>
  <c r="AE118" i="6"/>
  <c r="AE110" i="6"/>
  <c r="AE102" i="6"/>
  <c r="AE94" i="6"/>
  <c r="AE86" i="6"/>
  <c r="AE78" i="6"/>
  <c r="AE70" i="6"/>
  <c r="AE62" i="6"/>
  <c r="AE54" i="6"/>
  <c r="AE46" i="6"/>
  <c r="AE38" i="6"/>
  <c r="AE30" i="6"/>
  <c r="AE22" i="6"/>
  <c r="AE14" i="6"/>
  <c r="AE20" i="6"/>
  <c r="AE44" i="6"/>
  <c r="AE52" i="6"/>
  <c r="AE60" i="6"/>
  <c r="AE68" i="6"/>
  <c r="AE76" i="6"/>
  <c r="AE84" i="6"/>
  <c r="AE92" i="6"/>
  <c r="AE100" i="6"/>
  <c r="AE108" i="6"/>
  <c r="AE17" i="6"/>
  <c r="AE29" i="6"/>
  <c r="AE41" i="6"/>
  <c r="AE49" i="6"/>
  <c r="AE57" i="6"/>
  <c r="AE65" i="6"/>
  <c r="AE73" i="6"/>
  <c r="AE81" i="6"/>
  <c r="AE89" i="6"/>
  <c r="AE97" i="6"/>
  <c r="AE105" i="6"/>
  <c r="AE113" i="6"/>
  <c r="AE121" i="6"/>
  <c r="AE129" i="6"/>
  <c r="AE137" i="6"/>
  <c r="AE145" i="6"/>
  <c r="AE153" i="6"/>
  <c r="AE161" i="6"/>
  <c r="AE169" i="6"/>
  <c r="AE177" i="6"/>
  <c r="AE185" i="6"/>
  <c r="AE193" i="6"/>
  <c r="AE201" i="6"/>
  <c r="AE209" i="6"/>
  <c r="AE217" i="6"/>
  <c r="AE225" i="6"/>
  <c r="AE233" i="6"/>
  <c r="AE241" i="6"/>
  <c r="AE249" i="6"/>
  <c r="AE257" i="6"/>
  <c r="AE265" i="6"/>
  <c r="AE273" i="6"/>
  <c r="AE281" i="6"/>
  <c r="AE289" i="6"/>
  <c r="AE297" i="6"/>
  <c r="AE3" i="6"/>
  <c r="AB12" i="6"/>
  <c r="AE26" i="6"/>
  <c r="AE294" i="6"/>
  <c r="C73" i="4" a="1"/>
  <c r="C73" i="4" s="1"/>
  <c r="D17" i="2" s="1"/>
  <c r="D10" i="1" s="1"/>
  <c r="C9" i="5" a="1"/>
  <c r="C9" i="5" s="1"/>
  <c r="AE2" i="6"/>
  <c r="AE13" i="6"/>
  <c r="AB16" i="6"/>
  <c r="AE23" i="6"/>
  <c r="AE32" i="6"/>
  <c r="AB37" i="6"/>
  <c r="AE37" i="6"/>
  <c r="AB40" i="6"/>
  <c r="AB155" i="6"/>
  <c r="AE171" i="6"/>
  <c r="AE179" i="6"/>
  <c r="AE187" i="6"/>
  <c r="AE195" i="6"/>
  <c r="AE203" i="6"/>
  <c r="AE211" i="6"/>
  <c r="AE219" i="6"/>
  <c r="AE227" i="6"/>
  <c r="AE235" i="6"/>
  <c r="AE243" i="6"/>
  <c r="AE251" i="6"/>
  <c r="AE259" i="6"/>
  <c r="AE267" i="6"/>
  <c r="AB275" i="6"/>
  <c r="AE283" i="6"/>
  <c r="H17" i="4" a="1"/>
  <c r="H17" i="4" s="1"/>
  <c r="I17" i="4" s="1"/>
  <c r="D75" i="4" a="1"/>
  <c r="D75" i="4" s="1"/>
  <c r="C10" i="5" a="1"/>
  <c r="C10" i="5" s="1"/>
  <c r="AB157" i="6" s="1"/>
  <c r="C11" i="5" a="1"/>
  <c r="C11" i="5" s="1"/>
  <c r="AB229" i="6" s="1"/>
  <c r="AE12" i="6"/>
  <c r="AE28" i="6"/>
  <c r="AB31" i="6"/>
  <c r="AE34" i="6"/>
  <c r="AB48" i="6"/>
  <c r="AB56" i="6"/>
  <c r="AB64" i="6"/>
  <c r="AB72" i="6"/>
  <c r="AB80" i="6"/>
  <c r="AB88" i="6"/>
  <c r="AB96" i="6"/>
  <c r="AB104" i="6"/>
  <c r="AB112" i="6"/>
  <c r="AB128" i="6"/>
  <c r="AB152" i="6"/>
  <c r="AB168" i="6"/>
  <c r="AB176" i="6"/>
  <c r="AB192" i="6"/>
  <c r="AB208" i="6"/>
  <c r="AB216" i="6"/>
  <c r="AB224" i="6"/>
  <c r="AB232" i="6"/>
  <c r="AB240" i="6"/>
  <c r="AB248" i="6"/>
  <c r="AB256" i="6"/>
  <c r="AB264" i="6"/>
  <c r="AB272" i="6"/>
  <c r="AB280" i="6"/>
  <c r="AB288" i="6"/>
  <c r="AE296" i="6"/>
  <c r="AB28" i="6"/>
  <c r="AB36" i="6"/>
  <c r="AB44" i="6"/>
  <c r="AB52" i="6"/>
  <c r="AB60" i="6"/>
  <c r="AB68" i="6"/>
  <c r="AB76" i="6"/>
  <c r="AB84" i="6"/>
  <c r="AB92" i="6"/>
  <c r="AB100" i="6"/>
  <c r="AB108" i="6"/>
  <c r="AE45" i="6"/>
  <c r="AE53" i="6"/>
  <c r="AE61" i="6"/>
  <c r="AE69" i="6"/>
  <c r="AE77" i="6"/>
  <c r="AE85" i="6"/>
  <c r="AE93" i="6"/>
  <c r="AE101" i="6"/>
  <c r="AE109" i="6"/>
  <c r="AE117" i="6"/>
  <c r="AE125" i="6"/>
  <c r="AE133" i="6"/>
  <c r="AE141" i="6"/>
  <c r="AE149" i="6"/>
  <c r="AE157" i="6"/>
  <c r="AE165" i="6"/>
  <c r="AE173" i="6"/>
  <c r="AB179" i="6"/>
  <c r="AE181" i="6"/>
  <c r="AB187" i="6"/>
  <c r="AE189" i="6"/>
  <c r="AB195" i="6"/>
  <c r="AE197" i="6"/>
  <c r="AB203" i="6"/>
  <c r="AE205" i="6"/>
  <c r="AB211" i="6"/>
  <c r="AE213" i="6"/>
  <c r="AB219" i="6"/>
  <c r="AE221" i="6"/>
  <c r="AB227" i="6"/>
  <c r="AE229" i="6"/>
  <c r="AB235" i="6"/>
  <c r="AE237" i="6"/>
  <c r="AB243" i="6"/>
  <c r="AE245" i="6"/>
  <c r="AB251" i="6"/>
  <c r="AE253" i="6"/>
  <c r="AB259" i="6"/>
  <c r="AE261" i="6"/>
  <c r="AB267" i="6"/>
  <c r="AE269" i="6"/>
  <c r="AE277" i="6"/>
  <c r="AB283" i="6"/>
  <c r="AE285" i="6"/>
  <c r="AE293" i="6"/>
  <c r="AB18" i="6"/>
  <c r="AB98" i="6"/>
  <c r="AB298" i="6"/>
  <c r="AB105" i="6"/>
  <c r="AB113" i="6"/>
  <c r="AB121" i="6"/>
  <c r="AB129" i="6"/>
  <c r="AB137" i="6"/>
  <c r="AB145" i="6"/>
  <c r="AB153" i="6"/>
  <c r="AB169" i="6"/>
  <c r="AB177" i="6"/>
  <c r="AB185" i="6"/>
  <c r="AB193" i="6"/>
  <c r="AB201" i="6"/>
  <c r="AB209" i="6"/>
  <c r="AB217" i="6"/>
  <c r="AB225" i="6"/>
  <c r="AB233" i="6"/>
  <c r="AB241" i="6"/>
  <c r="AB249" i="6"/>
  <c r="AB257" i="6"/>
  <c r="AB265" i="6"/>
  <c r="AB273" i="6"/>
  <c r="AB281" i="6"/>
  <c r="AB289" i="6"/>
  <c r="AB296" i="6"/>
  <c r="AB263" i="6"/>
  <c r="AB271" i="6"/>
  <c r="AB279" i="6"/>
  <c r="AB287" i="6"/>
  <c r="AB295" i="6"/>
  <c r="AB184" i="6" l="1"/>
  <c r="AB120" i="6"/>
  <c r="AB94" i="6"/>
  <c r="AB86" i="6"/>
  <c r="AB78" i="6"/>
  <c r="AB70" i="6"/>
  <c r="AB62" i="6"/>
  <c r="AB54" i="6"/>
  <c r="AB46" i="6"/>
  <c r="AB97" i="6"/>
  <c r="AB89" i="6"/>
  <c r="AB81" i="6"/>
  <c r="AB73" i="6"/>
  <c r="AB65" i="6"/>
  <c r="AB57" i="6"/>
  <c r="AB49" i="6"/>
  <c r="AB41" i="6"/>
  <c r="AB33" i="6"/>
  <c r="AB25" i="6"/>
  <c r="AB17" i="6"/>
  <c r="AB90" i="6"/>
  <c r="AB82" i="6"/>
  <c r="AB74" i="6"/>
  <c r="AB66" i="6"/>
  <c r="AB58" i="6"/>
  <c r="AB50" i="6"/>
  <c r="AB42" i="6"/>
  <c r="AB34" i="6"/>
  <c r="AB26" i="6"/>
  <c r="AB99" i="6"/>
  <c r="AB91" i="6"/>
  <c r="AB83" i="6"/>
  <c r="AB75" i="6"/>
  <c r="AB67" i="6"/>
  <c r="AB59" i="6"/>
  <c r="AB51" i="6"/>
  <c r="AB43" i="6"/>
  <c r="AB35" i="6"/>
  <c r="AB27" i="6"/>
  <c r="AB19" i="6"/>
  <c r="AB22" i="6"/>
  <c r="AB11" i="6"/>
  <c r="AB38" i="6"/>
  <c r="AB14" i="6"/>
  <c r="AB9" i="6"/>
  <c r="AB3" i="6"/>
  <c r="AB30" i="6"/>
  <c r="AB21" i="6"/>
  <c r="AB10" i="6"/>
  <c r="AB2" i="6"/>
  <c r="AB6" i="6"/>
  <c r="AB13" i="6"/>
  <c r="AB148" i="6"/>
  <c r="AB255" i="6"/>
  <c r="AB191" i="6"/>
  <c r="AB119" i="6"/>
  <c r="AB55" i="6"/>
  <c r="AB269" i="6"/>
  <c r="AB205" i="6"/>
  <c r="AB141" i="6"/>
  <c r="AB77" i="6"/>
  <c r="AB15" i="6"/>
  <c r="AB4" i="6"/>
  <c r="AB163" i="6"/>
  <c r="AB29" i="6"/>
  <c r="AB140" i="6"/>
  <c r="AB247" i="6"/>
  <c r="AB183" i="6"/>
  <c r="AB111" i="6"/>
  <c r="F57" i="2" s="1"/>
  <c r="AB47" i="6"/>
  <c r="AB39" i="6"/>
  <c r="AB261" i="6"/>
  <c r="AB197" i="6"/>
  <c r="AB133" i="6"/>
  <c r="AB69" i="6"/>
  <c r="AB23" i="6"/>
  <c r="AB132" i="6"/>
  <c r="AB239" i="6"/>
  <c r="AB175" i="6"/>
  <c r="AB103" i="6"/>
  <c r="AB253" i="6"/>
  <c r="AB189" i="6"/>
  <c r="AB125" i="6"/>
  <c r="AB61" i="6"/>
  <c r="H17" i="2"/>
  <c r="AB160" i="6"/>
  <c r="AB147" i="6"/>
  <c r="AB124" i="6"/>
  <c r="AB231" i="6"/>
  <c r="AB167" i="6"/>
  <c r="AB95" i="6"/>
  <c r="AB24" i="6"/>
  <c r="AB245" i="6"/>
  <c r="AB181" i="6"/>
  <c r="AB117" i="6"/>
  <c r="AB53" i="6"/>
  <c r="AB139" i="6"/>
  <c r="AB300" i="6"/>
  <c r="H57" i="2" s="1"/>
  <c r="AB116" i="6"/>
  <c r="AB223" i="6"/>
  <c r="AB151" i="6"/>
  <c r="AB87" i="6"/>
  <c r="AB301" i="6"/>
  <c r="AB237" i="6"/>
  <c r="AB173" i="6"/>
  <c r="AB109" i="6"/>
  <c r="AB45" i="6"/>
  <c r="AB131" i="6"/>
  <c r="AB292" i="6"/>
  <c r="AB215" i="6"/>
  <c r="AB143" i="6"/>
  <c r="AB79" i="6"/>
  <c r="AB293" i="6"/>
  <c r="AB165" i="6"/>
  <c r="AB101" i="6"/>
  <c r="AB144" i="6"/>
  <c r="AB161" i="6"/>
  <c r="AB171" i="6"/>
  <c r="AB200" i="6"/>
  <c r="AB136" i="6"/>
  <c r="AB294" i="6"/>
  <c r="AB286" i="6"/>
  <c r="AB278" i="6"/>
  <c r="AB270" i="6"/>
  <c r="AB262" i="6"/>
  <c r="AB254" i="6"/>
  <c r="AB246" i="6"/>
  <c r="AB238" i="6"/>
  <c r="AB230" i="6"/>
  <c r="AB222" i="6"/>
  <c r="AB214" i="6"/>
  <c r="I11" i="3" s="1"/>
  <c r="AB206" i="6"/>
  <c r="AB297" i="6"/>
  <c r="AB290" i="6"/>
  <c r="AB282" i="6"/>
  <c r="AB274" i="6"/>
  <c r="AB266" i="6"/>
  <c r="AB258" i="6"/>
  <c r="AB250" i="6"/>
  <c r="AB242" i="6"/>
  <c r="AB234" i="6"/>
  <c r="AB226" i="6"/>
  <c r="AB218" i="6"/>
  <c r="AB210" i="6"/>
  <c r="AB202" i="6"/>
  <c r="AB299" i="6"/>
  <c r="AB291" i="6"/>
  <c r="AB284" i="6"/>
  <c r="AB276" i="6"/>
  <c r="AB268" i="6"/>
  <c r="AB260" i="6"/>
  <c r="AB252" i="6"/>
  <c r="AB244" i="6"/>
  <c r="AB236" i="6"/>
  <c r="AB228" i="6"/>
  <c r="AB220" i="6"/>
  <c r="AB212" i="6"/>
  <c r="AB204" i="6"/>
  <c r="AB123" i="6"/>
  <c r="AB7" i="6"/>
  <c r="AB172" i="6"/>
  <c r="AB20" i="6"/>
  <c r="AB207" i="6"/>
  <c r="AB135" i="6"/>
  <c r="AB71" i="6"/>
  <c r="D57" i="2" s="1"/>
  <c r="AB285" i="6"/>
  <c r="AB221" i="6"/>
  <c r="AB93" i="6"/>
  <c r="AB8" i="6"/>
  <c r="AB5" i="6"/>
  <c r="AB198" i="6"/>
  <c r="AB190" i="6"/>
  <c r="AB182" i="6"/>
  <c r="AB174" i="6"/>
  <c r="AB166" i="6"/>
  <c r="AB158" i="6"/>
  <c r="AB150" i="6"/>
  <c r="AB142" i="6"/>
  <c r="AB134" i="6"/>
  <c r="AB126" i="6"/>
  <c r="AB118" i="6"/>
  <c r="AB110" i="6"/>
  <c r="AB102" i="6"/>
  <c r="AB159" i="6"/>
  <c r="AB194" i="6"/>
  <c r="AB186" i="6"/>
  <c r="AB178" i="6"/>
  <c r="AB170" i="6"/>
  <c r="AB162" i="6"/>
  <c r="AB154" i="6"/>
  <c r="AB146" i="6"/>
  <c r="AB138" i="6"/>
  <c r="AB130" i="6"/>
  <c r="AB122" i="6"/>
  <c r="AB114" i="6"/>
  <c r="AB106" i="6"/>
  <c r="AB115" i="6"/>
  <c r="AB107" i="6"/>
  <c r="AB196" i="6"/>
  <c r="AB188" i="6"/>
  <c r="AB180" i="6"/>
  <c r="AB164" i="6"/>
  <c r="H10" i="2" a="1"/>
  <c r="H10" i="2" s="1"/>
  <c r="I10" i="2" s="1"/>
  <c r="H9" i="2" a="1"/>
  <c r="H9" i="2" s="1"/>
  <c r="I9" i="2" s="1"/>
  <c r="C23" i="3" a="1"/>
  <c r="C23" i="3" s="1"/>
  <c r="D23" i="3" s="1"/>
  <c r="F7" i="2" a="1"/>
  <c r="F7" i="2" s="1"/>
  <c r="G7" i="2" s="1"/>
  <c r="C20" i="3" a="1"/>
  <c r="C20" i="3" s="1"/>
  <c r="F10" i="2" a="1"/>
  <c r="F10" i="2" s="1"/>
  <c r="G10" i="2" s="1"/>
  <c r="F9" i="2" a="1"/>
  <c r="F9" i="2" s="1"/>
  <c r="G9" i="2" s="1"/>
  <c r="D7" i="2" a="1"/>
  <c r="D7" i="2" s="1"/>
  <c r="E7" i="2" s="1"/>
  <c r="D46" i="2" a="1"/>
  <c r="D46" i="2" s="1"/>
  <c r="E46" i="2" s="1"/>
  <c r="D10" i="2" a="1"/>
  <c r="D10" i="2" s="1"/>
  <c r="E10" i="2" s="1"/>
  <c r="D9" i="2" a="1"/>
  <c r="D9" i="2" s="1"/>
  <c r="E9" i="2" s="1"/>
  <c r="H7" i="2" a="1"/>
  <c r="H7" i="2" s="1"/>
  <c r="I7" i="2" s="1"/>
  <c r="H20" i="2" a="1"/>
  <c r="H20" i="2" s="1"/>
  <c r="I20" i="2" s="1"/>
  <c r="AB32" i="6"/>
  <c r="AB156" i="6"/>
  <c r="AB199" i="6"/>
  <c r="AB127" i="6"/>
  <c r="AB63" i="6"/>
  <c r="AB277" i="6"/>
  <c r="AB213" i="6"/>
  <c r="H53" i="2" s="1"/>
  <c r="AB149" i="6"/>
  <c r="AB85" i="6"/>
  <c r="F55" i="2" l="1"/>
  <c r="I12" i="3"/>
  <c r="H56" i="2"/>
  <c r="F53" i="2"/>
  <c r="H8" i="4"/>
  <c r="D53" i="2"/>
  <c r="H9" i="4"/>
  <c r="D56" i="2"/>
  <c r="H7" i="4"/>
  <c r="H6" i="4"/>
  <c r="F56" i="2"/>
  <c r="I13" i="3"/>
  <c r="H54" i="2"/>
  <c r="I15" i="3"/>
  <c r="I14" i="3"/>
  <c r="H55" i="2"/>
  <c r="D55" i="2"/>
  <c r="H10" i="4"/>
  <c r="D54" i="2"/>
  <c r="D20" i="3"/>
  <c r="I6" i="3"/>
  <c r="F54" i="2"/>
</calcChain>
</file>

<file path=xl/sharedStrings.xml><?xml version="1.0" encoding="utf-8"?>
<sst xmlns="http://schemas.openxmlformats.org/spreadsheetml/2006/main" count="3536" uniqueCount="606">
  <si>
    <t>Échantillon</t>
  </si>
  <si>
    <t>Créateur</t>
  </si>
  <si>
    <t>Thème</t>
  </si>
  <si>
    <t>Âge (jours)</t>
  </si>
  <si>
    <t>Jour</t>
  </si>
  <si>
    <t>Week-end</t>
  </si>
  <si>
    <t>Heure UTC</t>
  </si>
  <si>
    <t>Créneau UTC</t>
  </si>
  <si>
    <t>Durée (s)</t>
  </si>
  <si>
    <t>Classe de durée</t>
  </si>
  <si>
    <t>Plus de 15 s</t>
  </si>
  <si>
    <t>Nb hashtags</t>
  </si>
  <si>
    <t>Hashtags génériques</t>
  </si>
  <si>
    <t>Longueur du texte</t>
  </si>
  <si>
    <t>Légende vide</t>
  </si>
  <si>
    <t>Mention duo stitch</t>
  </si>
  <si>
    <t>Question ou appel</t>
  </si>
  <si>
    <t>Son original</t>
  </si>
  <si>
    <t>Stitch autorisé</t>
  </si>
  <si>
    <t>Abonnés</t>
  </si>
  <si>
    <t>Tranche abonnés</t>
  </si>
  <si>
    <t>Vidéos publiées</t>
  </si>
  <si>
    <t>Vues</t>
  </si>
  <si>
    <t>Likes</t>
  </si>
  <si>
    <t>Commentaires</t>
  </si>
  <si>
    <t>Partages</t>
  </si>
  <si>
    <t>Engagement</t>
  </si>
  <si>
    <t>Top performer</t>
  </si>
  <si>
    <t>Vues par abonné</t>
  </si>
  <si>
    <t>Compté dans les cumuls</t>
  </si>
  <si>
    <t>Rang engagement</t>
  </si>
  <si>
    <t>Rang vues</t>
  </si>
  <si>
    <t>Rang durée</t>
  </si>
  <si>
    <t>Rang hashtags</t>
  </si>
  <si>
    <t>Rang longueur</t>
  </si>
  <si>
    <t>Rang abonnés</t>
  </si>
  <si>
    <t>Rang vidéos publiées</t>
  </si>
  <si>
    <t>Tendances</t>
  </si>
  <si>
    <t>@cacha.7.griselda</t>
  </si>
  <si>
    <t>Sujet non déclaré</t>
  </si>
  <si>
    <t>mardi</t>
  </si>
  <si>
    <t>Non</t>
  </si>
  <si>
    <t>18-23 h</t>
  </si>
  <si>
    <t>2. 11-15 s</t>
  </si>
  <si>
    <t>Oui</t>
  </si>
  <si>
    <t>@pimplepom</t>
  </si>
  <si>
    <t>Lifestyle, musique &amp; sport</t>
  </si>
  <si>
    <t>jeudi</t>
  </si>
  <si>
    <t>4. 31-60 s</t>
  </si>
  <si>
    <t>Créateur 124</t>
  </si>
  <si>
    <t>Humour &amp; sketchs</t>
  </si>
  <si>
    <t>12-17 h</t>
  </si>
  <si>
    <t>1. ≤ 10 s</t>
  </si>
  <si>
    <t>@hassankhadair</t>
  </si>
  <si>
    <t>0-5 h</t>
  </si>
  <si>
    <t>Créateur 132</t>
  </si>
  <si>
    <t>dimanche</t>
  </si>
  <si>
    <t>3. 16-30 s</t>
  </si>
  <si>
    <t>Créateur 206</t>
  </si>
  <si>
    <t>mercredi</t>
  </si>
  <si>
    <t>@khaby.lame</t>
  </si>
  <si>
    <t>@mercuri_88</t>
  </si>
  <si>
    <t>Famille &amp; enfants</t>
  </si>
  <si>
    <t>Créateur 201</t>
  </si>
  <si>
    <t>Créateur 113</t>
  </si>
  <si>
    <t>@user4350486101671</t>
  </si>
  <si>
    <t>Créateur 197</t>
  </si>
  <si>
    <t>Animaux</t>
  </si>
  <si>
    <t>vendredi</t>
  </si>
  <si>
    <t>6-11 h</t>
  </si>
  <si>
    <t>Créateur 153</t>
  </si>
  <si>
    <t>lundi</t>
  </si>
  <si>
    <t>Créateur 105</t>
  </si>
  <si>
    <t>@lights.are.off</t>
  </si>
  <si>
    <t>Créateur 193</t>
  </si>
  <si>
    <t>samedi</t>
  </si>
  <si>
    <t>Créateur 089</t>
  </si>
  <si>
    <t>@hayndkay_mom</t>
  </si>
  <si>
    <t>Créateur 047</t>
  </si>
  <si>
    <t>@momma_mandy_plus7</t>
  </si>
  <si>
    <t>Créateur 167</t>
  </si>
  <si>
    <t>Créateur 077</t>
  </si>
  <si>
    <t>Créateur 142</t>
  </si>
  <si>
    <t>@roses_are_rosie</t>
  </si>
  <si>
    <t>Créateur 108</t>
  </si>
  <si>
    <t>Créateur 079</t>
  </si>
  <si>
    <t>@relaxedbryan</t>
  </si>
  <si>
    <t>@miakhalifa</t>
  </si>
  <si>
    <t>Créateur 178</t>
  </si>
  <si>
    <t>Créateur 002</t>
  </si>
  <si>
    <t>Créateur 160</t>
  </si>
  <si>
    <t>@bts_official_bighit</t>
  </si>
  <si>
    <t>Créateur 198</t>
  </si>
  <si>
    <t>Créateur 112</t>
  </si>
  <si>
    <t>Créateur 049</t>
  </si>
  <si>
    <t>@gagesmellslikecabbage</t>
  </si>
  <si>
    <t>Créateur 159</t>
  </si>
  <si>
    <t>Créateur 156</t>
  </si>
  <si>
    <t>@thepetcollective</t>
  </si>
  <si>
    <t>Créateur 163</t>
  </si>
  <si>
    <t>@www9781</t>
  </si>
  <si>
    <t>Créateur 008</t>
  </si>
  <si>
    <t>Créateur 143</t>
  </si>
  <si>
    <t>Créateur 062</t>
  </si>
  <si>
    <t>Créateur 064</t>
  </si>
  <si>
    <t>Créateur 070</t>
  </si>
  <si>
    <t>Créateur 072</t>
  </si>
  <si>
    <t>Créateur 059</t>
  </si>
  <si>
    <t>Créateur 217</t>
  </si>
  <si>
    <t>Créateur 200</t>
  </si>
  <si>
    <t>Créateur 211</t>
  </si>
  <si>
    <t>5. &gt; 60 s</t>
  </si>
  <si>
    <t>Créateur 216</t>
  </si>
  <si>
    <t>Créateur 101</t>
  </si>
  <si>
    <t>Créateur 221</t>
  </si>
  <si>
    <t>Créateur 210</t>
  </si>
  <si>
    <t>Créateur 227</t>
  </si>
  <si>
    <t>Créateur 032</t>
  </si>
  <si>
    <t>Créateur 120</t>
  </si>
  <si>
    <t>Créateur 131</t>
  </si>
  <si>
    <t>Créateur 148</t>
  </si>
  <si>
    <t>Créateur 026</t>
  </si>
  <si>
    <t>Créateur 020</t>
  </si>
  <si>
    <t>Créateur 134</t>
  </si>
  <si>
    <t>Créateur 214</t>
  </si>
  <si>
    <t>Créateur 014</t>
  </si>
  <si>
    <t>Créateur 010</t>
  </si>
  <si>
    <t>Créateur 088</t>
  </si>
  <si>
    <t>Créateur 085</t>
  </si>
  <si>
    <t>Créateur 104</t>
  </si>
  <si>
    <t>Créateur 165</t>
  </si>
  <si>
    <t>Créateur 003</t>
  </si>
  <si>
    <t>Créateur 122</t>
  </si>
  <si>
    <t>Créateur 139</t>
  </si>
  <si>
    <t>Créateur 042</t>
  </si>
  <si>
    <t>Créateur 107</t>
  </si>
  <si>
    <t>Créateur 022</t>
  </si>
  <si>
    <t>Créateur 065</t>
  </si>
  <si>
    <t>Créateur 041</t>
  </si>
  <si>
    <t>Créateur 011</t>
  </si>
  <si>
    <t>Créateur 071</t>
  </si>
  <si>
    <t>Créateur 138</t>
  </si>
  <si>
    <t>Créateur 135</t>
  </si>
  <si>
    <t>Créateur 189</t>
  </si>
  <si>
    <t>Créateur 090</t>
  </si>
  <si>
    <t>Likées par @tiktok</t>
  </si>
  <si>
    <t>Créateur 164</t>
  </si>
  <si>
    <t>Créateur 043</t>
  </si>
  <si>
    <t>Créateur 161</t>
  </si>
  <si>
    <t>Créateur 075</t>
  </si>
  <si>
    <t>Créateur 006</t>
  </si>
  <si>
    <t>Créateur 114</t>
  </si>
  <si>
    <t>Créateur 027</t>
  </si>
  <si>
    <t>Créateur 035</t>
  </si>
  <si>
    <t>Créateur 196</t>
  </si>
  <si>
    <t>Créateur 152</t>
  </si>
  <si>
    <t>Créateur 176</t>
  </si>
  <si>
    <t>Créateur 053</t>
  </si>
  <si>
    <t>Créateur 185</t>
  </si>
  <si>
    <t>Créateur 141</t>
  </si>
  <si>
    <t>Créateur 044</t>
  </si>
  <si>
    <t>Créateur 051</t>
  </si>
  <si>
    <t>Créateur 037</t>
  </si>
  <si>
    <t>Créateur 015</t>
  </si>
  <si>
    <t>Créateur 016</t>
  </si>
  <si>
    <t>Créateur 023</t>
  </si>
  <si>
    <t>Créateur 034</t>
  </si>
  <si>
    <t>Créateur 144</t>
  </si>
  <si>
    <t>Créateur 061</t>
  </si>
  <si>
    <t>Créateur 218</t>
  </si>
  <si>
    <t>Créateur 168</t>
  </si>
  <si>
    <t>Créateur 157</t>
  </si>
  <si>
    <t>Créateur 054</t>
  </si>
  <si>
    <t>Créateur 140</t>
  </si>
  <si>
    <t>Créateur 129</t>
  </si>
  <si>
    <t>Créateur 182</t>
  </si>
  <si>
    <t>Créateur 115</t>
  </si>
  <si>
    <t>Créateur 086</t>
  </si>
  <si>
    <t>Créateur 128</t>
  </si>
  <si>
    <t>Créateur 190</t>
  </si>
  <si>
    <t>Créateur 205</t>
  </si>
  <si>
    <t>Créateur 121</t>
  </si>
  <si>
    <t>Créateur 048</t>
  </si>
  <si>
    <t>Créateur 125</t>
  </si>
  <si>
    <t>Créateur 012</t>
  </si>
  <si>
    <t>Créateur 029</t>
  </si>
  <si>
    <t>Créateur 180</t>
  </si>
  <si>
    <t>Créateur 186</t>
  </si>
  <si>
    <t>Créateur 050</t>
  </si>
  <si>
    <t>Créateur 052</t>
  </si>
  <si>
    <t>Créateur 091</t>
  </si>
  <si>
    <t>Créateur 073</t>
  </si>
  <si>
    <t>Créateur 192</t>
  </si>
  <si>
    <t>Créateur 146</t>
  </si>
  <si>
    <t>Créateur 045</t>
  </si>
  <si>
    <t>Créateur 013</t>
  </si>
  <si>
    <t>Créateur 111</t>
  </si>
  <si>
    <t>Créateur 150</t>
  </si>
  <si>
    <t>Créateur 099</t>
  </si>
  <si>
    <t>Créateur 213</t>
  </si>
  <si>
    <t>Créateur 057</t>
  </si>
  <si>
    <t>Créateur 007</t>
  </si>
  <si>
    <t>Créateur 109</t>
  </si>
  <si>
    <t>Créateur 056</t>
  </si>
  <si>
    <t>Créateur 219</t>
  </si>
  <si>
    <t>Créateur 170</t>
  </si>
  <si>
    <t>Créateur 130</t>
  </si>
  <si>
    <t>Créateur 151</t>
  </si>
  <si>
    <t>Créateur 063</t>
  </si>
  <si>
    <t>Créateur 116</t>
  </si>
  <si>
    <t>Créateur 068</t>
  </si>
  <si>
    <t>Créateur 126</t>
  </si>
  <si>
    <t>Créateur 097</t>
  </si>
  <si>
    <t>Créateur 171</t>
  </si>
  <si>
    <t>Créateur 117</t>
  </si>
  <si>
    <t>Créateur 001</t>
  </si>
  <si>
    <t>Créateur 098</t>
  </si>
  <si>
    <t>Créateur 106</t>
  </si>
  <si>
    <t>Créateur 078</t>
  </si>
  <si>
    <t>Créateur 203</t>
  </si>
  <si>
    <t>Créateur 094</t>
  </si>
  <si>
    <t>Créateur 158</t>
  </si>
  <si>
    <t>Créateur 177</t>
  </si>
  <si>
    <t>Créateur 046</t>
  </si>
  <si>
    <t>Créateur 212</t>
  </si>
  <si>
    <t>Créateur 017</t>
  </si>
  <si>
    <t>Créateur 069</t>
  </si>
  <si>
    <t>Créateur 173</t>
  </si>
  <si>
    <t>Créateur 083</t>
  </si>
  <si>
    <t>Créateur 038</t>
  </si>
  <si>
    <t>Créateur 110</t>
  </si>
  <si>
    <t>Créateur 215</t>
  </si>
  <si>
    <t>Créateur 030</t>
  </si>
  <si>
    <t>Créateur 025</t>
  </si>
  <si>
    <t>Créateur 147</t>
  </si>
  <si>
    <t>Créateur 081</t>
  </si>
  <si>
    <t>Créateur 174</t>
  </si>
  <si>
    <t>Humour</t>
  </si>
  <si>
    <t>Créateur 019</t>
  </si>
  <si>
    <t>3. 3-8 M</t>
  </si>
  <si>
    <t>@funnyvids2k21</t>
  </si>
  <si>
    <t>Créateur 031</t>
  </si>
  <si>
    <t>2. 1-3 M</t>
  </si>
  <si>
    <t>4. ≥ 8 M</t>
  </si>
  <si>
    <t>@samuelgrubbs</t>
  </si>
  <si>
    <t>Créateur 181</t>
  </si>
  <si>
    <t>Créateur 067</t>
  </si>
  <si>
    <t>Créateur 155</t>
  </si>
  <si>
    <t>Créateur 145</t>
  </si>
  <si>
    <t>1. &lt; 1 M</t>
  </si>
  <si>
    <t>Créateur 154</t>
  </si>
  <si>
    <t>Créateur 184</t>
  </si>
  <si>
    <t>Créateur 229</t>
  </si>
  <si>
    <t>Créateur 179</t>
  </si>
  <si>
    <t>Créateur 207</t>
  </si>
  <si>
    <t>Créateur 118</t>
  </si>
  <si>
    <t>Créateur 183</t>
  </si>
  <si>
    <t>Créateur 028</t>
  </si>
  <si>
    <t>Créateur 024</t>
  </si>
  <si>
    <t>Créateur 166</t>
  </si>
  <si>
    <t>Créateur 018</t>
  </si>
  <si>
    <t>@crinka11</t>
  </si>
  <si>
    <t>Créateur 175</t>
  </si>
  <si>
    <t>Créateur 223</t>
  </si>
  <si>
    <t>Créateur 226</t>
  </si>
  <si>
    <t>Créateur 055</t>
  </si>
  <si>
    <t>Créateur 187</t>
  </si>
  <si>
    <t>Créateur 100</t>
  </si>
  <si>
    <t>Créateur 102</t>
  </si>
  <si>
    <t>@ttmmff100</t>
  </si>
  <si>
    <t>Créateur 060</t>
  </si>
  <si>
    <t>Créateur 149</t>
  </si>
  <si>
    <t>Créateur 119</t>
  </si>
  <si>
    <t>Créateur 137</t>
  </si>
  <si>
    <t>Créateur 040</t>
  </si>
  <si>
    <t>Créateur 222</t>
  </si>
  <si>
    <t>Créateur 191</t>
  </si>
  <si>
    <t>Créateur 188</t>
  </si>
  <si>
    <t>Créateur 074</t>
  </si>
  <si>
    <t>Créateur 066</t>
  </si>
  <si>
    <t>Créateur 133</t>
  </si>
  <si>
    <t>Créateur 080</t>
  </si>
  <si>
    <t>Créateur 172</t>
  </si>
  <si>
    <t>Créateur 220</t>
  </si>
  <si>
    <t>Créateur 082</t>
  </si>
  <si>
    <t>Créateur 096</t>
  </si>
  <si>
    <t>Créateur 009</t>
  </si>
  <si>
    <t>Créateur 123</t>
  </si>
  <si>
    <t>Créateur 169</t>
  </si>
  <si>
    <t>Créateur 194</t>
  </si>
  <si>
    <t>Créateur 208</t>
  </si>
  <si>
    <t>Créateur 033</t>
  </si>
  <si>
    <t>Créateur 225</t>
  </si>
  <si>
    <t>Créateur 039</t>
  </si>
  <si>
    <t>Créateur 228</t>
  </si>
  <si>
    <t>Créateur 162</t>
  </si>
  <si>
    <t>Créateur 076</t>
  </si>
  <si>
    <t>Créateur 209</t>
  </si>
  <si>
    <t>Créateur 036</t>
  </si>
  <si>
    <t>Créateur 004</t>
  </si>
  <si>
    <t>Créateur 021</t>
  </si>
  <si>
    <t>Créateur 199</t>
  </si>
  <si>
    <t>Créateur 204</t>
  </si>
  <si>
    <t>Créateur 093</t>
  </si>
  <si>
    <t>Créateur 058</t>
  </si>
  <si>
    <t>Créateur 087</t>
  </si>
  <si>
    <t>Créateur 095</t>
  </si>
  <si>
    <t>Créateur 084</t>
  </si>
  <si>
    <t>Créateur 103</t>
  </si>
  <si>
    <t>Créateur 195</t>
  </si>
  <si>
    <t>Créateur 092</t>
  </si>
  <si>
    <t>Créateur 005</t>
  </si>
  <si>
    <t>Créateur 136</t>
  </si>
  <si>
    <t>Créateur 202</t>
  </si>
  <si>
    <t>Créateur 224</t>
  </si>
  <si>
    <t>Créateur 127</t>
  </si>
  <si>
    <t>Méthode, sources et limites</t>
  </si>
  <si>
    <t>Comment les chiffres de ce classeur ont été obtenus, ce qu'ils valent, et comment les données personnelles ont été traitées. Toutes les valeurs sont recalculées par des formules à partir de l'onglet Données, sauf mention contraire.</t>
  </si>
  <si>
    <t>1. Définition du succès</t>
  </si>
  <si>
    <t>Question du client : qu'est-ce qui distingue les contenus et les créateurs TikTok les plus performants ? Mesure retenue : le TAUX D'ENGAGEMENT = (likes + commentaires + partages) ÷ vues, c'est-à-dire la part des personnes touchées qui réagissent activement.</t>
  </si>
  <si>
    <t>Pourquoi : (1) c'est la réaction du public qu'achète une marque, pas seulement l'affichage ; (2) c'est un ratio : il ne favorise pas mécaniquement les gros comptes ni les vidéos en ligne depuis plus longtemps (dans les tendances, l'âge d'une vidéo est lié à ses vues, ρ = +0,24, mais pas à son engagement, ρ = −0,15, non significatif) ; (3) dans les tendances, l'engagement va de pair avec la portée (ρ vues–engagement = +0,21). La portée (vues) est toujours affichée à côté.</t>
  </si>
  <si>
    <t>TOP PERFORMERS = le quart supérieur (75e centile) du taux d'engagement, calculé séparément dans chaque échantillon, car les niveaux d'engagement diffèrent selon la façon dont l'échantillon a été constitué. Ces seuils alimentent la colonne « Top performer » de l'onglet Données.</t>
  </si>
  <si>
    <t>Seuil top performers (75e centile)</t>
  </si>
  <si>
    <t>Engagement médian</t>
  </si>
  <si>
    <t>Vidéos</t>
  </si>
  <si>
    <t>Vues médianes</t>
  </si>
  <si>
    <t>Créateurs distincts</t>
  </si>
  <si>
    <t>Limite de cette définition : l'échantillon Humour ne contient que des vidéos à plus de 6,8 M de likes (top 100 du hashtag, trié par likes). À likes presque constants, l'engagement y baisse mécaniquement quand les vues montent (ρ vues–engagement = −0,82). Cet échantillon sert donc surtout à répondre à la question des gros comptes, avec les vues et les vues par abonné.</t>
  </si>
  <si>
    <t>2. Extraits utilisés et écartés</t>
  </si>
  <si>
    <t>Extrait</t>
  </si>
  <si>
    <t>Contenu</t>
  </si>
  <si>
    <t>Publications</t>
  </si>
  <si>
    <t>Collecte (estimée)</t>
  </si>
  <si>
    <t>Rôle</t>
  </si>
  <si>
    <t>Pourquoi</t>
  </si>
  <si>
    <t>trending_videos.csv</t>
  </si>
  <si>
    <t>100 vidéos, 84 créateurs</t>
  </si>
  <si>
    <t>27/05 → 24/08/2021</t>
  </si>
  <si>
    <t>≈ 25/08/2021</t>
  </si>
  <si>
    <t>Principal</t>
  </si>
  <si>
    <t>Vidéos mises en avant par l'algorithme, les plus récentes : la meilleure image de « ce qui performe ». Contient les 4 métriques et les leviers (durée, légende, date). Ne contient pas les abonnés.</t>
  </si>
  <si>
    <t>tiktok_funny_hashtag_videos.csv</t>
  </si>
  <si>
    <t>100 vidéos, 79 créateurs</t>
  </si>
  <si>
    <t>04/10/2019 → 31/07/2021</t>
  </si>
  <si>
    <t>Contrôle + gros comptes</t>
  </si>
  <si>
    <t>Seul extrait avec les abonnés et la musique. Biais : un seul registre (#funny) et top 100 trié par likes (≥ 6,8 M).</t>
  </si>
  <si>
    <t>tiktok_collected_liked_videos.csv</t>
  </si>
  <si>
    <t>100 vidéos, 92 créateurs</t>
  </si>
  <si>
    <t>10/02 → 21/08/2021</t>
  </si>
  <si>
    <t>≈ 22/08/2021</t>
  </si>
  <si>
    <t>Contrôle</t>
  </si>
  <si>
    <t>Même format que les tendances, mais sélection éditoriale du compte officiel (célébrités, marques) : sert à vérifier qu'un effet se répète.</t>
  </si>
  <si>
    <t>trending_authors.csv</t>
  </si>
  <si>
    <t>100 lignes, 92 auteurs (8 doublons)</t>
  </si>
  <si>
    <t>—</t>
  </si>
  <si>
    <t>≈ 23/08/2021</t>
  </si>
  <si>
    <t>Écarté</t>
  </si>
  <si>
    <t>Aucune métrique de performance, surtout des données personnelles (bios avec e-mails, téléphones, comptes de paiement). Seul apport possible : le badge vérifié, conséquence du succès et non levier. Le garder contredirait la minimisation (RGPD).</t>
  </si>
  <si>
    <t>tiktok_collected_videos.csv</t>
  </si>
  <si>
    <t>100 vidéos, 1 compte</t>
  </si>
  <si>
    <t>09/09/2019 → 10/08/2021</t>
  </si>
  <si>
    <t>≥ 10/08/2021</t>
  </si>
  <si>
    <t>Vidéos du compte officiel @tiktok : un acteur institutionnel unique qui promeut la plateforme, pas un créateur qu'une marque peut recruter.</t>
  </si>
  <si>
    <t>3. Préparation des données</t>
  </si>
  <si>
    <t>• Les 3 extraits retenus sont fusionnés en une table de 300 vidéos (onglet Données), colonnes renommées et uniformisées. Les CSV bruts ne sont jamais modifiés ; tout est reproductible avec les scripts du projet.</t>
  </si>
  <si>
    <t>• Doublons : aucune vidéo en double dans un même extrait. Une vidéo figure à la fois dans Tendances et Humour (chiffres quasi identiques) : elle reste dans chaque échantillon mais n'est comptée qu'une fois dans les vues cumulées (colonne « Compté dans les cumuls »).</t>
  </si>
  <si>
    <t>• Valeurs manquantes : 19 légendes vides (13 tendances, 6 likées), traitées comme une variable (« Légende vide ») ; 3 vidéos à 0 commentaire (commentaires sans doute désactivés), conservées.</t>
  </si>
  <si>
    <t>• Dates : la date de publication est encodée dans l'identifiant de chaque vidéo (vérifié sur les extraits qui la fournissent). Jour et heure sont en temps universel (UTC) : l'heure locale des créateurs n'est pas connue.</t>
  </si>
  <si>
    <t>• Les compteurs sont arrondis par la plateforme (2 à 3 chiffres significatifs, par exemple 8 300 000) : les petits écarts ne sont pas interprétables. Dans l'extrait Humour, la colonne « video_stats » correspond aux likes (vérifié sur la vidéo commune : 8,3 M de likes dans les deux extraits).</t>
  </si>
  <si>
    <t>• Variables dérivées : taux d'engagement, classe de durée, nombre de hashtags, hashtags génériques (#fyp, #foryou, #viral, #xyzbca, #parati…), longueur du texte hors hashtags et mentions, mention/duo/stitch/réponse, question ou appel à l'action, week-end, créneau horaire, tranche d'abonnés, vues par abonné.</t>
  </si>
  <si>
    <t>• Sujet (thème) : déduit de mots-clés présents dans les hashtags, la légende et le pseudo (dog, cat, kids, mom, dance, food, funny, prank…), par ordre de priorité Animaux &gt; Famille &amp; enfants &gt; Lifestyle, musique &amp; sport &gt; Humour &amp; sketchs. Chaque créateur reçoit le sujet le plus fréquent de ses vidéos ; sans mot-clé : « Sujet non déclaré ». Classement automatique et approximatif, relu à la main.</t>
  </si>
  <si>
    <t>4. Méthodes statistiques</t>
  </si>
  <si>
    <t>• Médianes plutôt que moyennes : vues et likes sont très asymétriques (quelques vidéos dépassent 100 M de vues).</t>
  </si>
  <si>
    <t>• Facteur oui/non : écart de taux d'engagement médian (en points) et test de Mann-Whitney. Facteur continu : corrélation de rang ρ de Spearman (de −1 à +1 ; |ρ| &lt; 0,3 = lien faible), recalculée dans Excel par CORREL sur les colonnes « Rang … » de l'onglet Données. Facteur à plusieurs modalités : écart entre la meilleure et la moins bonne modalité, test de Kruskal-Wallis.</t>
  </si>
  <si>
    <t>• Seuil : p &lt; 0,05. Verdict : « Effet confirmé » si significatif dans au moins deux échantillons, dans le même sens ; « Effet isolé » si dans un seul ; « Contradictoire » si les sens s'opposent ; sinon « Aucun effet mesurable ».</t>
  </si>
  <si>
    <t>• Une quarantaine de tests ont été menés : au seuil de 5 %, environ 2 « faux positifs » sont attendus par hasard. Un effet isolé est donc une piste à tester, pas une preuve.</t>
  </si>
  <si>
    <t>• Les p-values des tests de Mann-Whitney et de Kruskal-Wallis sont calculées par le script Python du projet (Excel ne propose pas ces tests), ainsi que deux corrélations signalées dans l'onglet Gros comptes. Tous les autres chiffres sont des formules Excel, recoupées avec Python.</t>
  </si>
  <si>
    <t>5. Biais et limites : ce que ces données ne peuvent pas dire</t>
  </si>
  <si>
    <t>• Biais de sélection : on n'observe que des contenus déjà populaires, choisis par l'algorithme, par un hashtag trié par likes ou par le compte officiel. Aucun échec n'est visible : impossible de dire ce qui fait entrer une vidéo dans les tendances, et les écarts entre « bons » et « très bons » contenus sont mécaniquement réduits.</t>
  </si>
  <si>
    <t>• Date : collectes d'août 2021, publications de 2019 à 2021. L'algorithme, les durées possibles (jusqu'à 10 minutes depuis 2022), les formats et les audiences ont changé depuis : les résultats décrivent 2021, ils sont à revalider avant d'être appliqués.</t>
  </si>
  <si>
    <t>• Trois échantillons de 100 vidéos, collectés à des moments et selon des règles différents : ils ne sont pas représentatifs de TikTok dans son ensemble. On les compare entre eux sans les additionner (sauf pour les vues cumulées par créateur).</t>
  </si>
  <si>
    <t>• Corrélation n'est pas causalité. Les abonnés sont mesurés en août 2021, après la publication des vidéos : ils peuvent être la conséquence du succès autant que sa cause.</t>
  </si>
  <si>
    <t>• Absent des données : l'audience (âge, pays), le temps de visionnage, les conversions et les ventes, le coût des créateurs, et le contenu réel des vidéos (seule la légende est disponible).</t>
  </si>
  <si>
    <t>6. Données personnelles (RGPD) : ce que contient cette version et pourquoi</t>
  </si>
  <si>
    <t>• Ces contenus sont publics, mais ce sont des données personnelles : le RGPD s'applique. L'agence les traite sur la base de son intérêt légitime (art. 6.1.f) : étudier des contenus rendus publics par leurs auteurs pour conseiller une marque, sans profilage individuel ni décision automatisée.</t>
  </si>
  <si>
    <t>• Minimisation : cette version ne contient que ce qui sert la question. Exclus : identifiants internes, liens des vidéos, photos de profil, noms affichés, biographies (e-mails, téléphones, adresses, comptes de paiement, mentions de santé), légendes (qui citent des tiers), titres et auteurs des musiques, badges et indicateurs de compte. Ces éléments ne figurent nulle part dans le fichier.</t>
  </si>
  <si>
    <t>• Pseudonymisation : seuls les 20 créateurs recommandés (leaders par catégorie) sont nommés, par leur pseudo public. Les autres apparaissent sous un code (« Créateur 001 ») sans table de correspondance dans ce fichier. Un compte dont le pseudo révèle un état de santé n'est jamais nommé (donnée sensible, art. 9).</t>
  </si>
  <si>
    <t>• Usage par le client : limité au choix de créateurs pour cette campagne ; pas de réutilisation, de diffusion ni de croisement avec d'autres fichiers ; suppression à la fin de la campagne, au plus tard 6 mois après réception.</t>
  </si>
  <si>
    <t>• Contact des créateurs : par leurs canaux professionnels publics, en les informant dès le premier contact de l'origine des données et de leur droit de s'y opposer (art. 14 et 21). Toute demande d'effacement est transmise à l'agence. Les chiffres datent de 2021 : à revérifier avant tout contact (exactitude, art. 5).</t>
  </si>
  <si>
    <t>Facteurs de succès : ce que le créateur contrôle… et ce qui n'y change rien</t>
  </si>
  <si>
    <t>Lecture : pour chaque levier, écart de taux d'engagement médian entre les vidéos qui ont la caractéristique et les autres (en points), ou corrélation de rang ρ (de −1 à +1). « Tendances » est l'échantillon principal ; « Likées » et « Humour » servent de contrôle. Un effet n'est retenu que si p &lt; 0,05.</t>
  </si>
  <si>
    <t>A. Leviers que le créateur contrôle : effet sur le taux d'engagement</t>
  </si>
  <si>
    <t>Levier testé</t>
  </si>
  <si>
    <t>Mesure</t>
  </si>
  <si>
    <t>p</t>
  </si>
  <si>
    <t>Likées</t>
  </si>
  <si>
    <t>Verdict</t>
  </si>
  <si>
    <t>En une phrase</t>
  </si>
  <si>
    <t>Durée supérieure à 15 s</t>
  </si>
  <si>
    <t>Écart d'engagement médian (oui − non)</t>
  </si>
  <si>
    <t>Effet isolé</t>
  </si>
  <si>
    <t>Plus d'engagement dans les tendances (15,6 % contre 10,1 % ; 47 % de top performers contre 20 %), mais rien de tel dans les deux autres échantillons : une piste à tester, pas une règle.</t>
  </si>
  <si>
    <t>Durée (secondes)</t>
  </si>
  <si>
    <t>Corrélation de rang ρ (Spearman)</t>
  </si>
  <si>
    <t>Lien faible : nul dans les tendances (ρ = +0,11) et les likées, positif seulement dans l'humour (ρ = +0,22), où les vidéos longues ont aussi moins de vues.</t>
  </si>
  <si>
    <t>Hashtags génériques (#fyp, #foryou, #viral…)</t>
  </si>
  <si>
    <t>Aucun effet mesurable</t>
  </si>
  <si>
    <t>Aucun effet : #fyp, #foryou ou #viral ne changent pas l'engagement (écarts faibles, jamais significatifs, de signe variable).</t>
  </si>
  <si>
    <t>Nombre de hashtags</t>
  </si>
  <si>
    <t>Aucun effet dans les tendances ni dans les likées ; négatif seulement dans l'humour (ρ = −0,28), échantillon sélectionné sur les likes : à ne pas généraliser.</t>
  </si>
  <si>
    <t>Longueur du texte de la légende</t>
  </si>
  <si>
    <t>Contradictoire</t>
  </si>
  <si>
    <t>Résultats contradictoires : légèrement positif dans les tendances, négatif dans les likées (ρ = −0,34) : pas de règle sur la longueur de la légende.</t>
  </si>
  <si>
    <t>Aucun effet : une vidéo sans légende ne fait pas moins bien.</t>
  </si>
  <si>
    <t>Mention, duo, stitch ou réponse</t>
  </si>
  <si>
    <t>Aucun effet mesurable des mentions, duos, stitchs ou réponses visibles dans la légende.</t>
  </si>
  <si>
    <t>Question ou appel à l'action</t>
  </si>
  <si>
    <t>Pas d'effet significatif : léger plus dans les tendances (+2,0 pts, p = 0,07), moins dans l'humour.</t>
  </si>
  <si>
    <t>Publication le week-end</t>
  </si>
  <si>
    <t>Aucun effet : publier le week-end ou en semaine revient au même.</t>
  </si>
  <si>
    <t>Jour de publication</t>
  </si>
  <si>
    <t>Écart max entre modalités</t>
  </si>
  <si>
    <t>Aucun jour de publication ne se détache durablement (écarts non significatifs dans les trois échantillons).</t>
  </si>
  <si>
    <t>Créneau horaire (UTC)</t>
  </si>
  <si>
    <t>Aucun créneau horaire ne se détache (écarts non significatifs).</t>
  </si>
  <si>
    <t>Sujet du contenu (thème du créateur)</t>
  </si>
  <si>
    <t>Aucun sujet ne gagne systématiquement : le classement des sujets change d'un échantillon à l'autre et les écarts ne sont pas significatifs.</t>
  </si>
  <si>
    <t>Son original (vs musique existante)</t>
  </si>
  <si>
    <t>Léger avantage aux musiques existantes sur les sons originaux (−3,3 pts pour le son original), non significatif (p = 0,07).</t>
  </si>
  <si>
    <t>Aucun effet du fait d'autoriser les stitchs.</t>
  </si>
  <si>
    <t>Vidéos publiées par le compte (régularité)</t>
  </si>
  <si>
    <t>Publier davantage (nombre de vidéos du compte) n'est pas associé à plus d'engagement (lien faible et non significatif).</t>
  </si>
  <si>
    <t>p : probabilité d'observer un tel écart par hasard. Écarts et ρ sont des formules Excel sur l'onglet Données ; les p des écarts (tests de Mann-Whitney et de Kruskal-Wallis) sont calculées par le script Python du projet. Les facteurs « son original », « stitch » et « vidéos publiées » n'existent que dans l'extrait Humour.</t>
  </si>
  <si>
    <t>Seule la durée se détache, et seulement dans les tendances</t>
  </si>
  <si>
    <t>Données du graphique (elles renvoient au tableau A)</t>
  </si>
  <si>
    <t>Levier</t>
  </si>
  <si>
    <t>Durée &gt; 15 s</t>
  </si>
  <si>
    <t>Hashtags #fyp…</t>
  </si>
  <si>
    <t>Mention / duo</t>
  </si>
  <si>
    <t>Question / appel</t>
  </si>
  <si>
    <t>B. Conséquences du succès : à connaître, mais pas des leviers</t>
  </si>
  <si>
    <t>Variable</t>
  </si>
  <si>
    <t>Valeur</t>
  </si>
  <si>
    <t>Statut</t>
  </si>
  <si>
    <t>Pourquoi ce n'est pas un levier</t>
  </si>
  <si>
    <t>Nombre d'abonnés</t>
  </si>
  <si>
    <t>ρ avec les vues (Humour)</t>
  </si>
  <si>
    <t>Conséquence</t>
  </si>
  <si>
    <t>Le résultat d'années de succès : on ne peut pas l'« activer » pour une campagne. Lien faible avec les vues, voir l'onglet Gros comptes.</t>
  </si>
  <si>
    <t>ρ avec l'engagement (Humour)</t>
  </si>
  <si>
    <t>Plus le compte est gros, moins son audience réagit en proportion.</t>
  </si>
  <si>
    <t>Likes cumulés du compte</t>
  </si>
  <si>
    <t>Somme des succès passés. Variable non transmise dans cette version (non actionnable, minimisation).</t>
  </si>
  <si>
    <t>Badge « vérifié »</t>
  </si>
  <si>
    <t>Écart d'engagement (vérifié − non)</t>
  </si>
  <si>
    <t>Attribué par la plateforme aux comptes notoires. Indicateur sur une personne, non transmis dans cette version (minimisation).</t>
  </si>
  <si>
    <t>C. Détail : la durée</t>
  </si>
  <si>
    <t>Part de top performers</t>
  </si>
  <si>
    <t>Taux d'engagement médian</t>
  </si>
  <si>
    <t>Nombre de vidéos</t>
  </si>
  <si>
    <t>Attention aux petits effectifs : les vidéos de plus de 60 s sont 2 dans les tendances et 1 dans l'humour.</t>
  </si>
  <si>
    <t>D. Détail : jour et créneau de publication (taux d'engagement médian, heure UTC)</t>
  </si>
  <si>
    <t>Créneau (UTC)</t>
  </si>
  <si>
    <t>E. Tableau croisé dynamique : part de top performers par classe de durée et par échantillon (se met à jour à l'ouverture)</t>
  </si>
  <si>
    <t>« Les gros comptes gagneraient de toute façon » : ce que disent les données</t>
  </si>
  <si>
    <t>Seul l'extrait Humour (top 100 des vidéos #funny) contient le nombre d'abonnés : c'est donc sur lui que porte la réponse. Les tendances ne permettent pas de répondre.</t>
  </si>
  <si>
    <t>La réponse courte</t>
  </si>
  <si>
    <t>Chiffre</t>
  </si>
  <si>
    <t>Ce que mesure le chiffre</t>
  </si>
  <si>
    <t>Pour la portée : NON. Les comptes de plus de 8 M d'abonnés en ont 36 fois plus que ceux de moins de 1 M, mais n'obtiennent que 1,3 fois plus de vues médianes (65,0 M contre 48,4 M).</t>
  </si>
  <si>
    <t>corrélation de rang abonnés ↔ vues (0 = aucun lien, 1 = lien parfait)</t>
  </si>
  <si>
    <t>Pour l'engagement : plutôt l'INVERSE. Sous 1 M d'abonnés, 19,1 % d'engagement médian et 43 % de top performers ; au-delà de 8 M, 13,2 % et 10 %. À vues égales, l'écart se réduit : tendance à confirmer.</t>
  </si>
  <si>
    <t>corrélation de rang abonnés ↔ engagement (négative = moins d'engagement quand le compte grossit)</t>
  </si>
  <si>
    <t>Par abonné, les petits comptes rapportent bien plus : 112 vues par abonné (médiane) sous 1 M, contre 4,4 au-delà de 8 M. Intéressant si la rémunération suit le nombre d'abonnés.</t>
  </si>
  <si>
    <t>rapport des vues par abonné : moins de 1 M / plus de 8 M</t>
  </si>
  <si>
    <t>Par taille de compte (top 100 #funny, 100 vidéos, 79 créateurs)</t>
  </si>
  <si>
    <t>Tranche d'abonnés</t>
  </si>
  <si>
    <t>Créateurs</t>
  </si>
  <si>
    <t>Abonnés (médiane)</t>
  </si>
  <si>
    <t>Vues (médiane)</t>
  </si>
  <si>
    <t>Vues par abonné (médiane)</t>
  </si>
  <si>
    <t>Engagement (médiane)</t>
  </si>
  <si>
    <t>Ensemble (Humour)</t>
  </si>
  <si>
    <t>Corrélations (ρ de Spearman)</t>
  </si>
  <si>
    <t>Relation</t>
  </si>
  <si>
    <t>ρ</t>
  </si>
  <si>
    <t>n</t>
  </si>
  <si>
    <t>Lecture</t>
  </si>
  <si>
    <t>Abonnés ↔ vues (par vidéo)</t>
  </si>
  <si>
    <t>Lien positif mais faible : la taille du compte n'explique qu'une petite partie de la portée.</t>
  </si>
  <si>
    <t>Abonnés ↔ engagement (par vidéo)</t>
  </si>
  <si>
    <t>Abonnés ↔ vues médianes (par créateur)</t>
  </si>
  <si>
    <t>Même conclusion en ne comptant qu'une fois chaque créateur (calcul Python : médiane par créateur).</t>
  </si>
  <si>
    <t>Abonnés ↔ engagement, à vues égales (partielle)</t>
  </si>
  <si>
    <t>Une fois les vues neutralisées, le lien s'affaiblit et n'est plus significatif (calcul Python).</t>
  </si>
  <si>
    <t>Vues ↔ engagement (dans cet extrait)</t>
  </si>
  <si>
    <t>Très négatif : effet de la sélection sur les likes (≥ 6,8 M), pas un comportement du public. D'où l'usage des vues pour juger les gros comptes.</t>
  </si>
  <si>
    <t>Ce que les données permettent de répondre</t>
  </si>
  <si>
    <t>Ce qu'elles ne permettent pas de dire</t>
  </si>
  <si>
    <t>• Parmi les vidéos qui ont percé, la taille du compte n'explique qu'une petite partie de la portée (ρ = +0,28).</t>
  </si>
  <si>
    <t>• La probabilité de percer : les petits comptes qui n'ont pas percé ne sont pas dans les données (biais du survivant).</t>
  </si>
  <si>
    <t>• Des comptes de moins de 1 M d'abonnés atteignent des dizaines de millions de vues : la portée ne dépend pas que du nombre d'abonnés.</t>
  </si>
  <si>
    <t>• La causalité : les abonnés sont comptés en août 2021, après les vidéos ; le succès a pu créer les abonnés.</t>
  </si>
  <si>
    <t>• L'engagement relatif baisse avec la taille du compte (19,1 % → 13,2 %).</t>
  </si>
  <si>
    <t>• La situation dans les tendances (abonnés absents de l'extrait) ou hors du registre humoristique.</t>
  </si>
  <si>
    <t>• Le résultat tient en comptant chaque créateur une seule fois (ρ = +0,25 sur 79 créateurs).</t>
  </si>
  <si>
    <t>• Si l'écart d'engagement tient à vues égales : il s'affaiblit (ρ partiel = −0,15) et n'est plus significatif.</t>
  </si>
  <si>
    <t>36 fois plus d'abonnés, 1,3 fois plus de vues</t>
  </si>
  <si>
    <t>Tableau croisé dynamique : vidéos, top performers et engagement moyen par tranche (filtre : Humour ; se met à jour à l'ouverture)</t>
  </si>
  <si>
    <t>Qui se distingue ? Sujets de contenu, leaders et TreeMap</t>
  </si>
  <si>
    <t>Catégories : 5 sujets déduits des hashtags et légendes, attribués à chaque créateur. Leader = meilleur taux d'engagement, rapporté à la médiane de son échantillon (indice), parmi les créateurs dont la portée médiane atteint au moins la médiane de leur échantillon. Périmètre : Tendances + Humour.</t>
  </si>
  <si>
    <t>A. Les 5 sujets de contenu</t>
  </si>
  <si>
    <t>Sujet</t>
  </si>
  <si>
    <t>Vues cumulées</t>
  </si>
  <si>
    <t>Part des vues</t>
  </si>
  <si>
    <t>Contenus d'animaux : portée solide, engagement moyen.</t>
  </si>
  <si>
    <t>Engagement élevé ; présence fréquente de mineurs (voir vigilance).</t>
  </si>
  <si>
    <t>Le plus gros volume de vues, porté par l'échantillon #funny.</t>
  </si>
  <si>
    <t>Sujet hétérogène (musique, sport, cuisine, beauté…).</t>
  </si>
  <si>
    <t>Légende vide ou sans mot-clé : souvent des comptes de personnalités.</t>
  </si>
  <si>
    <t>Concentration : 10 % des créateurs (16 sur 158) captent 42 % des vues cumulées (calcul du script Python, sur les vues cumulées par créateur). Aucun sujet ne se détache nettement en engagement : voir le tableau E et l'onglet Facteurs.</t>
  </si>
  <si>
    <t>B. Leaders par sujet : meilleur engagement, à portée au moins médiane</t>
  </si>
  <si>
    <t>Rang</t>
  </si>
  <si>
    <t>Indice d'engagement</t>
  </si>
  <si>
    <t>engagement 19,6 % = 1,8× la médiane de son échantillon ; 11,4 M de vues médianes</t>
  </si>
  <si>
    <t>engagement 17,9 % = 1,7× la médiane de son échantillon ; 13,2 M de vues médianes</t>
  </si>
  <si>
    <t>engagement 23,3 % = 1,4× la médiane de son échantillon ; 59,4 M de vues médianes ; 0,2 M d'abonnés</t>
  </si>
  <si>
    <t>engagement 17,0 % = 1,6× la médiane de son échantillon ; 33,5 M de vues médianes</t>
  </si>
  <si>
    <t>engagement 16,6 % = 1,6× la médiane de son échantillon ; 25,0 M de vues médianes</t>
  </si>
  <si>
    <t>engagement 16,5 % = 1,5× la médiane de son échantillon ; 32,2 M de vues médianes</t>
  </si>
  <si>
    <t>engagement 14,8 % = 1,4× la médiane de son échantillon ; 106,0 M de vues médianes</t>
  </si>
  <si>
    <t>engagement 14,4 % = 1,4× la médiane de son échantillon ; 84,5 M de vues médianes</t>
  </si>
  <si>
    <t>engagement 20,9 % = 1,3× la médiane de son échantillon ; 73,6 M de vues médianes ; 1,3 M d'abonnés</t>
  </si>
  <si>
    <t>engagement 37,0 % = 3,5× la médiane de son échantillon ; 13,3 M de vues médianes ; 2 vidéos dans l'échantillon (régularité)</t>
  </si>
  <si>
    <t>engagement 16,2 % = 1,5× la médiane de son échantillon ; 24,9 M de vues médianes</t>
  </si>
  <si>
    <t>engagement 15,6 % = 1,5× la médiane de son échantillon ; 38,2 M de vues médianes</t>
  </si>
  <si>
    <t>engagement 25,3 % = 2,4× la médiane de son échantillon ; 25,2 M de vues médianes ; 3 vidéos dans l'échantillon (régularité)</t>
  </si>
  <si>
    <t>engagement 23,8 % = 2,2× la médiane de son échantillon ; 14,1 M de vues médianes</t>
  </si>
  <si>
    <t>engagement 19,9 % = 1,9× la médiane de son échantillon ; 50,5 M de vues médianes</t>
  </si>
  <si>
    <t>C. Leaders de portée : le plus de vues cumulées par sujet</t>
  </si>
  <si>
    <t>À noter</t>
  </si>
  <si>
    <t>Portée la plus forte du sujet ; engagement médian 11,7 % (à comparer avec les leaders d'engagement).</t>
  </si>
  <si>
    <t>Portée la plus forte du sujet ; engagement médian 13,4 % (à comparer avec les leaders d'engagement).</t>
  </si>
  <si>
    <t>Portée la plus forte du sujet ; engagement médian 15,5 % (à comparer avec les leaders d'engagement).</t>
  </si>
  <si>
    <t>Portée la plus forte du sujet ; engagement médian 3,1 % (à comparer avec les leaders d'engagement).</t>
  </si>
  <si>
    <t>Portée la plus forte du sujet ; engagement médian 14,2 % (à comparer avec les leaders d'engagement).</t>
  </si>
  <si>
    <t>D. TreeMap : qui capte les vues ?</t>
  </si>
  <si>
    <t>Lecture : chaque tuile est un créateur ; plus elle est grande, plus il a cumulé de vues (Tendances + Humour). La couleur indique le sujet du créateur. Les créateurs non retenus sont regroupés par sujet (« Autres créateurs »). La taille dit la portée, la couleur dit le sujet : deux informations différentes.</t>
  </si>
  <si>
    <t>Tuile</t>
  </si>
  <si>
    <t>Autres créateurs (29)</t>
  </si>
  <si>
    <t>Autres créateurs (20)</t>
  </si>
  <si>
    <t>Autres créateurs (47)</t>
  </si>
  <si>
    <t>Autres créateurs (22)</t>
  </si>
  <si>
    <t>Ces 3 colonnes alimentent le TreeMap ci-contre.</t>
  </si>
  <si>
    <t>E. Taux d'engagement médian par sujet et par échantillon</t>
  </si>
  <si>
    <t>F. Points de vigilance avant de contacter un créateur</t>
  </si>
  <si>
    <t>• Famille &amp; enfants : des mineurs apparaissent dans plusieurs vidéos. Toute collaboration doit respecter la loi n° 2020-1266 du 19 octobre 2020 (image des enfants de moins de 16 ans sur les plateformes) et la loi n° 2023-451 du 9 juin 2023 (influence commerciale) : validation juridique préalable.</t>
  </si>
  <si>
    <t>• Plusieurs leaders sont des célébrités ou des institutions (groupe de musique, club de football, artistes) plutôt que des créateurs : conditions et tarifs sans rapport avec ceux des créateurs.</t>
  </si>
  <si>
    <t>• Les chiffres datent de 2021 : vérifier l'activité et l'audience actuelles des comptes avant tout contact.</t>
  </si>
  <si>
    <t>• Le sujet est déduit des légendes : le confirmer en regardant les vidéos.</t>
  </si>
  <si>
    <t>G. Tableau croisé dynamique : vues par sujet et par échantillon (se met à jour à l'ouverture)</t>
  </si>
  <si>
    <t>TikTok : ce qui fait vraiment performer un contenu</t>
  </si>
  <si>
    <t>Synthèse pour la campagne · 300 vidéos populaires collectées en août 2021 (tendances, top #funny, vidéos likées par @tiktok). Succès = taux d'engagement = (likes + commentaires + partages) ÷ vues ; top performers = le quart supérieur de chaque échantillon. Chaque conclusion renvoie à l'onglet qui la prouve.</t>
  </si>
  <si>
    <t>LES CONCLUSIONS</t>
  </si>
  <si>
    <t>QUI SE DISTINGUE : LEADERS PAR SUJET</t>
  </si>
  <si>
    <t>Conclusion</t>
  </si>
  <si>
    <t>Chiffre clé</t>
  </si>
  <si>
    <t>Ce que dit le chiffre</t>
  </si>
  <si>
    <t>Preuve</t>
  </si>
  <si>
    <t>Leader d'engagement</t>
  </si>
  <si>
    <t>Leader de portée</t>
  </si>
  <si>
    <t>La taille du compte ne fait pas la portée.</t>
  </si>
  <si>
    <t>Corrélation abonnés ↔ vues, faible. Dans le top 100 #funny, 36 fois plus d'abonnés (plus de 8 M contre moins de 1 M) ne donnent que 1,3 fois plus de vues médianes.</t>
  </si>
  <si>
    <t>→ Gros comptes</t>
  </si>
  <si>
    <t>Les petits comptes font davantage réagir leur audience.</t>
  </si>
  <si>
    <t>Engagement médian sous 1 M d'abonnés, contre 13,2 % au-delà de 8 M (43 % de top performers contre 10 %). Tendance à confirmer : l'écart se réduit à vues égales.</t>
  </si>
  <si>
    <t>Les « recettes » de publication n'y changent rien.</t>
  </si>
  <si>
    <t>Écart d'engagement avec ou sans #fyp/#foryou dans les tendances (p = 0,32). Jour, heure, appel à l'action, mentions, son original : aucun effet significatif dans les 3 échantillons.</t>
  </si>
  <si>
    <t>→ Facteurs</t>
  </si>
  <si>
    <t>Seul levier qui ressort : des vidéos un peu plus longues.</t>
  </si>
  <si>
    <t>Vidéos de plus de 15 s : 15,6 % d'engagement contre 10,1 % dans les tendances (47 % de top performers contre 20 %, p = 0,02). Non confirmé ailleurs : à tester, pas à imposer.</t>
  </si>
  <si>
    <t>Aucun sujet ne gagne à coup sûr : choisir le sujet pour la marque, puis le créateur pour son engagement.</t>
  </si>
  <si>
    <t>Écart maximal d'engagement médian entre sujets dans les tendances, non significatif (p = 0,33). Des leaders existent dans chaque sujet (ci-contre).</t>
  </si>
  <si>
    <t>→ Catégories</t>
  </si>
  <si>
    <t>→ 3 leaders par sujet, leurs chiffres et le TreeMap</t>
  </si>
  <si>
    <t>À RETENIR POUR LA CAMPAGNE (leviers que la marque et le créateur contrôlent)</t>
  </si>
  <si>
    <t>CE QUE CES DONNÉES NE DISENT PAS</t>
  </si>
  <si>
    <t>✓</t>
  </si>
  <si>
    <t>Sélectionner les créateurs sur leur taux d'engagement mesuré sur plusieurs vidéos, pas sur leur nombre d'abonnés.</t>
  </si>
  <si>
    <t>Ce qui fait entrer une vidéo dans les tendances : on ne voit que des succès, aucun échec à comparer.</t>
  </si>
  <si>
    <t>Inclure des comptes de moins de 3 M d'abonnés : sous 1 M, 25 fois plus de vues par abonné qu'au-delà de 8 M. Négocier les tarifs en conséquence.</t>
  </si>
  <si>
    <t>Ce qui marche aujourd'hui : données d'août 2021 ; algorithme, formats et audiences ont changé depuis.</t>
  </si>
  <si>
    <t>Laisser la main au créateur sur le format : ne pas imposer de hashtags « algorithme », d'horaire ni de jour de publication dans le brief.</t>
  </si>
  <si>
    <t>Les causes : ce sont des corrélations ; les abonnés, mesurés après coup, peuvent être une conséquence du succès.</t>
  </si>
  <si>
    <t>Tester en A/B des formats de 15 à 60 s contre des formats très courts, en suivant le taux d'engagement.</t>
  </si>
  <si>
    <t>Le retour sur investissement : ni audience (âge, pays), ni ventes, ni coût des créateurs dans les données.</t>
  </si>
  <si>
    <t>→</t>
  </si>
  <si>
    <t>Facteurs</t>
  </si>
  <si>
    <t>Gros comptes</t>
  </si>
  <si>
    <t>Catégories &amp; TreeMap</t>
  </si>
  <si>
    <t>Méthode &amp; limites</t>
  </si>
  <si>
    <t>Données</t>
  </si>
  <si>
    <t>Total</t>
  </si>
  <si>
    <t>Engagement moyen</t>
  </si>
  <si>
    <t>Vues (somme)</t>
  </si>
  <si>
    <t>Valeurs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</si>
</sst>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0.00"/>
    <numFmt numFmtId="165" formatCode="0.0%"/>
    <numFmt numFmtId="166" formatCode="\+0.0&quot; pts&quot;;\-0.0&quot; pts&quot;;0.0&quot; pt&quot;"/>
    <numFmt numFmtId="167" formatCode="[&lt;0.001]&quot;&lt; 0,001&quot;;0.000"/>
    <numFmt numFmtId="168" formatCode="0.0&quot;×&quot;"/>
    <numFmt numFmtId="169" formatCode="#,##0.0,,&quot; M&quot;"/>
    <numFmt numFmtId="170" formatCode="0.0"/>
  </numFmts>
  <fonts count="14" x14ac:knownFonts="1">
    <font>
      <sz val="11"/>
      <color theme="1"/>
      <name val="Calibri"/>
      <family val="2"/>
      <scheme val="minor"/>
    </font>
    <font>
      <b/>
      <sz val="18"/>
      <color rgb="FF1F3A5F"/>
      <name val="Calibri"/>
      <family val="2"/>
      <scheme val="minor"/>
    </font>
    <font>
      <sz val="10"/>
      <color rgb="FF6B7280"/>
      <name val="Calibri"/>
      <family val="2"/>
      <scheme val="minor"/>
    </font>
    <font>
      <b/>
      <sz val="11"/>
      <color rgb="FFFFFFFF"/>
      <name val="Calibri"/>
      <family val="2"/>
      <scheme val="minor"/>
    </font>
    <font>
      <b/>
      <sz val="10"/>
      <color theme="1"/>
      <name val="Calibri"/>
      <family val="2"/>
      <scheme val="minor"/>
    </font>
    <font>
      <b/>
      <sz val="14"/>
      <color rgb="FFFFFFFF"/>
      <name val="Calibri"/>
      <family val="2"/>
      <scheme val="minor"/>
    </font>
    <font>
      <b/>
      <sz val="11"/>
      <color rgb="FF1F3A5F"/>
      <name val="Calibri"/>
      <family val="2"/>
      <scheme val="minor"/>
    </font>
    <font>
      <b/>
      <sz val="16"/>
      <color rgb="FF1F3A5F"/>
      <name val="Calibri"/>
      <family val="2"/>
      <scheme val="minor"/>
    </font>
    <font>
      <sz val="10"/>
      <color theme="1"/>
      <name val="Calibri"/>
      <family val="2"/>
      <scheme val="minor"/>
    </font>
    <font>
      <u/>
      <sz val="10"/>
      <color rgb="FF1D4ED8"/>
      <name val="Calibri"/>
      <family val="2"/>
      <scheme val="minor"/>
    </font>
    <font>
      <b/>
      <sz val="10"/>
      <color rgb="FFFFFFFF"/>
      <name val="Calibri"/>
      <family val="2"/>
      <scheme val="minor"/>
    </font>
    <font>
      <b/>
      <sz val="12"/>
      <color rgb="FF047857"/>
      <name val="Calibri"/>
      <family val="2"/>
      <scheme val="minor"/>
    </font>
    <font>
      <b/>
      <sz val="10"/>
      <color rgb="FF4B5563"/>
      <name val="Calibri"/>
      <family val="2"/>
      <scheme val="minor"/>
    </font>
    <font>
      <i/>
      <sz val="9"/>
      <color rgb="FF6B7280"/>
      <name val="Calibri"/>
      <family val="2"/>
      <scheme val="minor"/>
    </font>
  </fonts>
  <fills count="12">
    <fill>
      <patternFill patternType="none"/>
    </fill>
    <fill>
      <patternFill patternType="gray125"/>
    </fill>
    <fill>
      <patternFill patternType="solid">
        <fgColor rgb="FF1F3A5F"/>
        <bgColor indexed="64"/>
      </patternFill>
    </fill>
    <fill>
      <patternFill patternType="solid">
        <fgColor rgb="FFE5E7EB"/>
        <bgColor indexed="64"/>
      </patternFill>
    </fill>
    <fill>
      <patternFill patternType="solid">
        <fgColor rgb="FFE76F51"/>
        <bgColor indexed="64"/>
      </patternFill>
    </fill>
    <fill>
      <patternFill patternType="solid">
        <fgColor rgb="FF2A9D8F"/>
        <bgColor indexed="64"/>
      </patternFill>
    </fill>
    <fill>
      <patternFill patternType="solid">
        <fgColor rgb="FFE9A23B"/>
        <bgColor indexed="64"/>
      </patternFill>
    </fill>
    <fill>
      <patternFill patternType="solid">
        <fgColor rgb="FF5B6BBF"/>
        <bgColor indexed="64"/>
      </patternFill>
    </fill>
    <fill>
      <patternFill patternType="solid">
        <fgColor rgb="FF9AA0A6"/>
        <bgColor indexed="64"/>
      </patternFill>
    </fill>
    <fill>
      <patternFill patternType="solid">
        <fgColor rgb="FFFEF3C7"/>
        <bgColor indexed="64"/>
      </patternFill>
    </fill>
    <fill>
      <patternFill patternType="solid">
        <fgColor rgb="FFF3F4F6"/>
        <bgColor indexed="64"/>
      </patternFill>
    </fill>
    <fill>
      <patternFill patternType="solid">
        <fgColor rgb="FFEDE9FE"/>
        <bgColor indexed="64"/>
      </patternFill>
    </fill>
  </fills>
  <borders count="4">
    <border>
      <left/>
      <right/>
      <top/>
      <bottom/>
      <diagonal/>
    </border>
    <border>
      <left style="thin">
        <color rgb="FFD1D5DB"/>
      </left>
      <right style="thin">
        <color rgb="FFD1D5DB"/>
      </right>
      <top style="thin">
        <color rgb="FFD1D5DB"/>
      </top>
      <bottom style="thin">
        <color rgb="FFD1D5DB"/>
      </bottom>
      <diagonal/>
    </border>
    <border>
      <left style="thin">
        <color rgb="FFE5E7EB"/>
      </left>
      <right style="thin">
        <color rgb="FFE5E7EB"/>
      </right>
      <top style="thin">
        <color rgb="FFE5E7EB"/>
      </top>
      <bottom style="thin">
        <color rgb="FFE5E7EB"/>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57">
    <xf numFmtId="0" fontId="0" fillId="0" borderId="0" xfId="0"/>
    <xf numFmtId="0" fontId="1" fillId="0" borderId="0" xfId="0" applyFont="1" applyAlignment="1">
      <alignment vertical="center"/>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5" fillId="4" borderId="0" xfId="0" applyFont="1" applyFill="1" applyAlignment="1">
      <alignment horizontal="center" vertical="center"/>
    </xf>
    <xf numFmtId="0" fontId="6" fillId="0" borderId="2" xfId="0" applyFont="1" applyBorder="1" applyAlignment="1">
      <alignment vertical="center" wrapText="1"/>
    </xf>
    <xf numFmtId="164" fontId="7" fillId="0" borderId="2" xfId="0" applyNumberFormat="1" applyFont="1" applyBorder="1" applyAlignment="1">
      <alignment horizontal="center" vertical="center"/>
    </xf>
    <xf numFmtId="0" fontId="8" fillId="0" borderId="2" xfId="0" applyFont="1" applyBorder="1" applyAlignment="1">
      <alignment vertical="top" wrapText="1"/>
    </xf>
    <xf numFmtId="0" fontId="9" fillId="0" borderId="0" xfId="0" applyFont="1" applyAlignment="1">
      <alignment vertical="top" wrapText="1"/>
    </xf>
    <xf numFmtId="0" fontId="10" fillId="5" borderId="3" xfId="0" applyFont="1" applyFill="1" applyBorder="1" applyAlignment="1">
      <alignment vertical="center" wrapText="1"/>
    </xf>
    <xf numFmtId="0" fontId="8" fillId="0" borderId="2" xfId="0" applyFont="1" applyBorder="1" applyAlignment="1">
      <alignment horizontal="center" vertical="center" wrapText="1"/>
    </xf>
    <xf numFmtId="165" fontId="7" fillId="0" borderId="2" xfId="0" applyNumberFormat="1" applyFont="1" applyBorder="1" applyAlignment="1">
      <alignment horizontal="center" vertical="center"/>
    </xf>
    <xf numFmtId="0" fontId="10" fillId="6" borderId="3" xfId="0" applyFont="1" applyFill="1" applyBorder="1" applyAlignment="1">
      <alignment vertical="center" wrapText="1"/>
    </xf>
    <xf numFmtId="166" fontId="7" fillId="0" borderId="2" xfId="0" applyNumberFormat="1" applyFont="1" applyBorder="1" applyAlignment="1">
      <alignment horizontal="center" vertical="center"/>
    </xf>
    <xf numFmtId="0" fontId="10" fillId="4" borderId="3" xfId="0" applyFont="1" applyFill="1" applyBorder="1" applyAlignment="1">
      <alignment vertical="center" wrapText="1"/>
    </xf>
    <xf numFmtId="0" fontId="10" fillId="7" borderId="3" xfId="0" applyFont="1" applyFill="1" applyBorder="1" applyAlignment="1">
      <alignment vertical="center" wrapText="1"/>
    </xf>
    <xf numFmtId="0" fontId="10" fillId="8" borderId="3" xfId="0" applyFont="1" applyFill="1" applyBorder="1" applyAlignment="1">
      <alignment vertical="center" wrapText="1"/>
    </xf>
    <xf numFmtId="0" fontId="11" fillId="0" borderId="0" xfId="0" applyFont="1" applyAlignment="1">
      <alignment horizontal="center" vertical="top"/>
    </xf>
    <xf numFmtId="0" fontId="8" fillId="0" borderId="0" xfId="0" applyFont="1" applyAlignment="1">
      <alignment vertical="top" wrapText="1"/>
    </xf>
    <xf numFmtId="0" fontId="4" fillId="0" borderId="2" xfId="0" applyFont="1" applyBorder="1" applyAlignment="1">
      <alignment vertical="top" wrapText="1"/>
    </xf>
    <xf numFmtId="166" fontId="8" fillId="0" borderId="2" xfId="0" applyNumberFormat="1" applyFont="1" applyBorder="1" applyAlignment="1">
      <alignment horizontal="center" vertical="center"/>
    </xf>
    <xf numFmtId="167" fontId="8" fillId="0" borderId="2" xfId="0" applyNumberFormat="1" applyFont="1" applyBorder="1" applyAlignment="1">
      <alignment horizontal="center" vertical="center"/>
    </xf>
    <xf numFmtId="0" fontId="4" fillId="9" borderId="2" xfId="0" applyFont="1" applyFill="1" applyBorder="1" applyAlignment="1">
      <alignment horizontal="center" vertical="center" wrapText="1"/>
    </xf>
    <xf numFmtId="164" fontId="8" fillId="0" borderId="2" xfId="0" applyNumberFormat="1" applyFont="1" applyBorder="1" applyAlignment="1">
      <alignment horizontal="center" vertical="center"/>
    </xf>
    <xf numFmtId="0" fontId="12" fillId="10" borderId="2"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13" fillId="0" borderId="0" xfId="0" applyFont="1" applyAlignment="1">
      <alignment vertical="top" wrapText="1"/>
    </xf>
    <xf numFmtId="9" fontId="8" fillId="0" borderId="2" xfId="0" applyNumberFormat="1" applyFont="1" applyBorder="1" applyAlignment="1">
      <alignment horizontal="center" vertical="center"/>
    </xf>
    <xf numFmtId="165" fontId="8" fillId="0" borderId="2" xfId="0" applyNumberFormat="1" applyFont="1" applyBorder="1" applyAlignment="1">
      <alignment horizontal="center" vertical="center"/>
    </xf>
    <xf numFmtId="3" fontId="8" fillId="0" borderId="2" xfId="0" applyNumberFormat="1" applyFont="1" applyBorder="1" applyAlignment="1">
      <alignment horizontal="center" vertical="center"/>
    </xf>
    <xf numFmtId="168" fontId="7" fillId="0" borderId="2" xfId="0" applyNumberFormat="1" applyFont="1" applyBorder="1" applyAlignment="1">
      <alignment horizontal="center" vertical="center"/>
    </xf>
    <xf numFmtId="169" fontId="8" fillId="0" borderId="2" xfId="0" applyNumberFormat="1" applyFont="1" applyBorder="1" applyAlignment="1">
      <alignment horizontal="center" vertical="center"/>
    </xf>
    <xf numFmtId="170" fontId="8" fillId="0" borderId="2" xfId="0" applyNumberFormat="1" applyFont="1" applyBorder="1" applyAlignment="1">
      <alignment horizontal="center" vertical="center"/>
    </xf>
    <xf numFmtId="0" fontId="10" fillId="5" borderId="3" xfId="0" applyFont="1" applyFill="1" applyBorder="1" applyAlignment="1">
      <alignment vertical="center"/>
    </xf>
    <xf numFmtId="0" fontId="10" fillId="6" borderId="3" xfId="0" applyFont="1" applyFill="1" applyBorder="1" applyAlignment="1">
      <alignment vertical="center"/>
    </xf>
    <xf numFmtId="0" fontId="10" fillId="4" borderId="3" xfId="0" applyFont="1" applyFill="1" applyBorder="1" applyAlignment="1">
      <alignment vertical="center"/>
    </xf>
    <xf numFmtId="0" fontId="10" fillId="7" borderId="3" xfId="0" applyFont="1" applyFill="1" applyBorder="1" applyAlignment="1">
      <alignment vertical="center"/>
    </xf>
    <xf numFmtId="0" fontId="10" fillId="8" borderId="3" xfId="0" applyFont="1" applyFill="1" applyBorder="1" applyAlignment="1">
      <alignment vertical="center"/>
    </xf>
    <xf numFmtId="168" fontId="8" fillId="0" borderId="2" xfId="0" applyNumberFormat="1" applyFont="1" applyBorder="1" applyAlignment="1">
      <alignment horizontal="center" vertical="center"/>
    </xf>
    <xf numFmtId="0" fontId="10" fillId="2" borderId="0" xfId="0" applyFont="1" applyFill="1" applyAlignment="1">
      <alignment vertical="center" wrapText="1"/>
    </xf>
    <xf numFmtId="0" fontId="8" fillId="0" borderId="0" xfId="0" applyFont="1" applyAlignment="1">
      <alignment vertical="center"/>
    </xf>
    <xf numFmtId="3" fontId="8" fillId="0" borderId="0" xfId="0" applyNumberFormat="1" applyFont="1" applyAlignment="1">
      <alignment vertical="center"/>
    </xf>
    <xf numFmtId="165" fontId="8" fillId="0" borderId="0" xfId="0" applyNumberFormat="1" applyFont="1" applyAlignment="1">
      <alignment vertical="center"/>
    </xf>
    <xf numFmtId="170" fontId="8" fillId="0" borderId="0" xfId="0" applyNumberFormat="1" applyFont="1" applyAlignment="1">
      <alignment vertical="center"/>
    </xf>
    <xf numFmtId="0" fontId="2" fillId="0" borderId="0" xfId="0" applyFont="1" applyAlignment="1">
      <alignment vertical="top" wrapText="1"/>
    </xf>
    <xf numFmtId="0" fontId="3" fillId="2" borderId="0" xfId="0" applyFont="1" applyFill="1" applyAlignment="1">
      <alignment vertical="center"/>
    </xf>
    <xf numFmtId="0" fontId="8" fillId="0" borderId="2" xfId="0" applyFont="1" applyBorder="1" applyAlignment="1">
      <alignment vertical="top" wrapText="1"/>
    </xf>
    <xf numFmtId="0" fontId="13" fillId="0" borderId="0" xfId="0" applyFont="1" applyAlignment="1">
      <alignment vertical="top" wrapText="1"/>
    </xf>
    <xf numFmtId="0" fontId="4" fillId="3" borderId="1" xfId="0" applyFont="1" applyFill="1" applyBorder="1" applyAlignment="1">
      <alignment horizontal="center" vertical="center" wrapText="1"/>
    </xf>
    <xf numFmtId="0" fontId="8" fillId="0" borderId="0" xfId="0" applyFont="1" applyAlignment="1">
      <alignment vertical="top" wrapText="1"/>
    </xf>
    <xf numFmtId="0" fontId="8" fillId="0" borderId="0" xfId="0" applyFont="1" applyAlignment="1">
      <alignment vertical="top" wrapText="1" indent="1"/>
    </xf>
    <xf numFmtId="0" fontId="0" fillId="0" borderId="0" xfId="0" pivotButton="1"/>
    <xf numFmtId="0" fontId="0" fillId="0" borderId="0" xfId="0" applyAlignment="1">
      <alignment horizontal="left"/>
    </xf>
    <xf numFmtId="9" fontId="0" fillId="0" borderId="0" xfId="0" applyNumberFormat="1"/>
    <xf numFmtId="3" fontId="0" fillId="0" borderId="0" xfId="0" applyNumberFormat="1"/>
    <xf numFmtId="10" fontId="0" fillId="0" borderId="0" xfId="0" applyNumberFormat="1"/>
    <xf numFmtId="169" fontId="0" fillId="0" borderId="0" xfId="0" applyNumberFormat="1"/>
  </cellXfs>
  <cellStyles count="1">
    <cellStyle name="Normal" xfId="0" builtinId="0"/>
  </cellStyles>
  <dxfs count="15">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65" formatCode="0.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A5F"/>
                </a:solidFill>
              </a:defRPr>
            </a:pPr>
            <a:r>
              <a:rPr lang="en-US" sz="1100" b="1" baseline="0">
                <a:solidFill>
                  <a:srgbClr val="1F3A5F"/>
                </a:solidFill>
              </a:rPr>
              <a:t>Écart d'engagement médian (avec − sans), en points</a:t>
            </a:r>
          </a:p>
        </c:rich>
      </c:tx>
      <c:overlay val="0"/>
    </c:title>
    <c:autoTitleDeleted val="0"/>
    <c:plotArea>
      <c:layout/>
      <c:barChart>
        <c:barDir val="bar"/>
        <c:grouping val="clustered"/>
        <c:varyColors val="0"/>
        <c:ser>
          <c:idx val="0"/>
          <c:order val="0"/>
          <c:tx>
            <c:v>Tendances</c:v>
          </c:tx>
          <c:spPr>
            <a:solidFill>
              <a:srgbClr val="1F3A5F"/>
            </a:solidFill>
          </c:spPr>
          <c:invertIfNegative val="0"/>
          <c:cat>
            <c:strRef>
              <c:f>Facteurs!$B$26:$B$31</c:f>
              <c:strCache>
                <c:ptCount val="6"/>
                <c:pt idx="0">
                  <c:v>Durée &gt; 15 s</c:v>
                </c:pt>
                <c:pt idx="1">
                  <c:v>Hashtags #fyp…</c:v>
                </c:pt>
                <c:pt idx="2">
                  <c:v>Légende vide</c:v>
                </c:pt>
                <c:pt idx="3">
                  <c:v>Mention / duo</c:v>
                </c:pt>
                <c:pt idx="4">
                  <c:v>Question / appel</c:v>
                </c:pt>
                <c:pt idx="5">
                  <c:v>Week-end</c:v>
                </c:pt>
              </c:strCache>
            </c:strRef>
          </c:cat>
          <c:val>
            <c:numRef>
              <c:f>Facteurs!$D$26:$D$31</c:f>
              <c:numCache>
                <c:formatCode>\+0.0" pts";\-0.0" pts";0.0" pt"</c:formatCode>
                <c:ptCount val="6"/>
                <c:pt idx="0">
                  <c:v>5.5086301574173238</c:v>
                </c:pt>
                <c:pt idx="1">
                  <c:v>-0.70200769931802598</c:v>
                </c:pt>
                <c:pt idx="2">
                  <c:v>-2.4874509803921572</c:v>
                </c:pt>
                <c:pt idx="3">
                  <c:v>0.47307548402968636</c:v>
                </c:pt>
                <c:pt idx="4">
                  <c:v>2.0354543967280163</c:v>
                </c:pt>
                <c:pt idx="5">
                  <c:v>0.22260060807029747</c:v>
                </c:pt>
              </c:numCache>
            </c:numRef>
          </c:val>
          <c:extLst>
            <c:ext xmlns:c16="http://schemas.microsoft.com/office/drawing/2014/chart" uri="{C3380CC4-5D6E-409C-BE32-E72D297353CC}">
              <c16:uniqueId val="{00000000-A04D-294C-9B40-20C67165A81B}"/>
            </c:ext>
          </c:extLst>
        </c:ser>
        <c:ser>
          <c:idx val="1"/>
          <c:order val="1"/>
          <c:tx>
            <c:v>Likées</c:v>
          </c:tx>
          <c:spPr>
            <a:solidFill>
              <a:srgbClr val="9AA0A6"/>
            </a:solidFill>
          </c:spPr>
          <c:invertIfNegative val="0"/>
          <c:cat>
            <c:strRef>
              <c:f>Facteurs!$B$26:$B$31</c:f>
              <c:strCache>
                <c:ptCount val="6"/>
                <c:pt idx="0">
                  <c:v>Durée &gt; 15 s</c:v>
                </c:pt>
                <c:pt idx="1">
                  <c:v>Hashtags #fyp…</c:v>
                </c:pt>
                <c:pt idx="2">
                  <c:v>Légende vide</c:v>
                </c:pt>
                <c:pt idx="3">
                  <c:v>Mention / duo</c:v>
                </c:pt>
                <c:pt idx="4">
                  <c:v>Question / appel</c:v>
                </c:pt>
                <c:pt idx="5">
                  <c:v>Week-end</c:v>
                </c:pt>
              </c:strCache>
            </c:strRef>
          </c:cat>
          <c:val>
            <c:numRef>
              <c:f>Facteurs!$F$26:$F$31</c:f>
              <c:numCache>
                <c:formatCode>\+0.0" pts";\-0.0" pts";0.0" pt"</c:formatCode>
                <c:ptCount val="6"/>
                <c:pt idx="0">
                  <c:v>-0.3609274678617741</c:v>
                </c:pt>
                <c:pt idx="1">
                  <c:v>1.2444664398391592</c:v>
                </c:pt>
                <c:pt idx="2">
                  <c:v>2.1176721371102825</c:v>
                </c:pt>
                <c:pt idx="3">
                  <c:v>-2.2909244186046509</c:v>
                </c:pt>
                <c:pt idx="4">
                  <c:v>0.33856877631535109</c:v>
                </c:pt>
                <c:pt idx="5">
                  <c:v>2.1733855606758832</c:v>
                </c:pt>
              </c:numCache>
            </c:numRef>
          </c:val>
          <c:extLst>
            <c:ext xmlns:c16="http://schemas.microsoft.com/office/drawing/2014/chart" uri="{C3380CC4-5D6E-409C-BE32-E72D297353CC}">
              <c16:uniqueId val="{00000001-A04D-294C-9B40-20C67165A81B}"/>
            </c:ext>
          </c:extLst>
        </c:ser>
        <c:ser>
          <c:idx val="2"/>
          <c:order val="2"/>
          <c:tx>
            <c:v>Humour</c:v>
          </c:tx>
          <c:spPr>
            <a:solidFill>
              <a:srgbClr val="E76F51"/>
            </a:solidFill>
          </c:spPr>
          <c:invertIfNegative val="0"/>
          <c:cat>
            <c:strRef>
              <c:f>Facteurs!$B$26:$B$31</c:f>
              <c:strCache>
                <c:ptCount val="6"/>
                <c:pt idx="0">
                  <c:v>Durée &gt; 15 s</c:v>
                </c:pt>
                <c:pt idx="1">
                  <c:v>Hashtags #fyp…</c:v>
                </c:pt>
                <c:pt idx="2">
                  <c:v>Légende vide</c:v>
                </c:pt>
                <c:pt idx="3">
                  <c:v>Mention / duo</c:v>
                </c:pt>
                <c:pt idx="4">
                  <c:v>Question / appel</c:v>
                </c:pt>
                <c:pt idx="5">
                  <c:v>Week-end</c:v>
                </c:pt>
              </c:strCache>
            </c:strRef>
          </c:cat>
          <c:val>
            <c:numRef>
              <c:f>Facteurs!$H$26:$H$31</c:f>
              <c:numCache>
                <c:formatCode>\+0.0" pts";\-0.0" pts";0.0" pt"</c:formatCode>
                <c:ptCount val="6"/>
                <c:pt idx="0">
                  <c:v>0.49750099781836199</c:v>
                </c:pt>
                <c:pt idx="1">
                  <c:v>-0.54052459421094767</c:v>
                </c:pt>
                <c:pt idx="2" formatCode="General">
                  <c:v>0</c:v>
                </c:pt>
                <c:pt idx="3">
                  <c:v>-1.0984580743178847</c:v>
                </c:pt>
                <c:pt idx="4">
                  <c:v>-2.5666530814139832</c:v>
                </c:pt>
                <c:pt idx="5">
                  <c:v>-0.99607220192257095</c:v>
                </c:pt>
              </c:numCache>
            </c:numRef>
          </c:val>
          <c:extLst>
            <c:ext xmlns:c16="http://schemas.microsoft.com/office/drawing/2014/chart" uri="{C3380CC4-5D6E-409C-BE32-E72D297353CC}">
              <c16:uniqueId val="{00000002-A04D-294C-9B40-20C67165A81B}"/>
            </c:ext>
          </c:extLst>
        </c:ser>
        <c:dLbls>
          <c:showLegendKey val="0"/>
          <c:showVal val="0"/>
          <c:showCatName val="0"/>
          <c:showSerName val="0"/>
          <c:showPercent val="0"/>
          <c:showBubbleSize val="0"/>
        </c:dLbls>
        <c:gapWidth val="60"/>
        <c:axId val="50010001"/>
        <c:axId val="50010002"/>
      </c:barChart>
      <c:catAx>
        <c:axId val="50010001"/>
        <c:scaling>
          <c:orientation val="maxMin"/>
        </c:scaling>
        <c:delete val="0"/>
        <c:axPos val="l"/>
        <c:numFmt formatCode="General" sourceLinked="0"/>
        <c:majorTickMark val="out"/>
        <c:minorTickMark val="none"/>
        <c:tickLblPos val="low"/>
        <c:crossAx val="50010002"/>
        <c:crosses val="autoZero"/>
        <c:auto val="1"/>
        <c:lblAlgn val="ctr"/>
        <c:lblOffset val="100"/>
        <c:noMultiLvlLbl val="0"/>
      </c:catAx>
      <c:valAx>
        <c:axId val="50010002"/>
        <c:scaling>
          <c:orientation val="minMax"/>
        </c:scaling>
        <c:delete val="0"/>
        <c:axPos val="t"/>
        <c:majorGridlines>
          <c:spPr>
            <a:ln>
              <a:solidFill>
                <a:srgbClr val="E5E7EB"/>
              </a:solidFill>
            </a:ln>
          </c:spPr>
        </c:majorGridlines>
        <c:title>
          <c:tx>
            <c:rich>
              <a:bodyPr/>
              <a:lstStyle/>
              <a:p>
                <a:pPr>
                  <a:defRPr/>
                </a:pPr>
                <a:r>
                  <a:rPr lang="en-US"/>
                  <a:t>points d'engagement</a:t>
                </a:r>
              </a:p>
            </c:rich>
          </c:tx>
          <c:overlay val="0"/>
        </c:title>
        <c:numFmt formatCode="\+0;\-0;0" sourceLinked="0"/>
        <c:majorTickMark val="out"/>
        <c:minorTickMark val="none"/>
        <c:tickLblPos val="nextTo"/>
        <c:crossAx val="5001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A5F"/>
                </a:solidFill>
              </a:defRPr>
            </a:pPr>
            <a:r>
              <a:rPr lang="en-US" sz="1100" b="1" baseline="0">
                <a:solidFill>
                  <a:srgbClr val="1F3A5F"/>
                </a:solidFill>
              </a:rPr>
              <a:t>Part de top performers selon la durée</a:t>
            </a:r>
          </a:p>
        </c:rich>
      </c:tx>
      <c:overlay val="0"/>
    </c:title>
    <c:autoTitleDeleted val="0"/>
    <c:plotArea>
      <c:layout/>
      <c:barChart>
        <c:barDir val="col"/>
        <c:grouping val="clustered"/>
        <c:varyColors val="0"/>
        <c:ser>
          <c:idx val="0"/>
          <c:order val="0"/>
          <c:tx>
            <c:v>Tendances</c:v>
          </c:tx>
          <c:spPr>
            <a:solidFill>
              <a:srgbClr val="1F3A5F"/>
            </a:solidFill>
          </c:spPr>
          <c:invertIfNegative val="0"/>
          <c:cat>
            <c:strRef>
              <c:f>Facteurs!$B$53:$B$57</c:f>
              <c:strCache>
                <c:ptCount val="5"/>
                <c:pt idx="0">
                  <c:v>1. ≤ 10 s</c:v>
                </c:pt>
                <c:pt idx="1">
                  <c:v>2. 11-15 s</c:v>
                </c:pt>
                <c:pt idx="2">
                  <c:v>3. 16-30 s</c:v>
                </c:pt>
                <c:pt idx="3">
                  <c:v>4. 31-60 s</c:v>
                </c:pt>
                <c:pt idx="4">
                  <c:v>5. &gt; 60 s</c:v>
                </c:pt>
              </c:strCache>
            </c:strRef>
          </c:cat>
          <c:val>
            <c:numRef>
              <c:f>Facteurs!$D$53:$D$57</c:f>
              <c:numCache>
                <c:formatCode>0%</c:formatCode>
                <c:ptCount val="5"/>
                <c:pt idx="0">
                  <c:v>0.14285714285714285</c:v>
                </c:pt>
                <c:pt idx="1">
                  <c:v>0.26829268292682928</c:v>
                </c:pt>
                <c:pt idx="2">
                  <c:v>0.66666666666666663</c:v>
                </c:pt>
                <c:pt idx="3">
                  <c:v>0.16666666666666666</c:v>
                </c:pt>
                <c:pt idx="4">
                  <c:v>0.5</c:v>
                </c:pt>
              </c:numCache>
            </c:numRef>
          </c:val>
          <c:extLst>
            <c:ext xmlns:c16="http://schemas.microsoft.com/office/drawing/2014/chart" uri="{C3380CC4-5D6E-409C-BE32-E72D297353CC}">
              <c16:uniqueId val="{00000000-1887-DF4C-B958-3D805EA0DE9B}"/>
            </c:ext>
          </c:extLst>
        </c:ser>
        <c:ser>
          <c:idx val="1"/>
          <c:order val="1"/>
          <c:tx>
            <c:v>Likées</c:v>
          </c:tx>
          <c:spPr>
            <a:solidFill>
              <a:srgbClr val="9AA0A6"/>
            </a:solidFill>
          </c:spPr>
          <c:invertIfNegative val="0"/>
          <c:cat>
            <c:strRef>
              <c:f>Facteurs!$B$53:$B$57</c:f>
              <c:strCache>
                <c:ptCount val="5"/>
                <c:pt idx="0">
                  <c:v>1. ≤ 10 s</c:v>
                </c:pt>
                <c:pt idx="1">
                  <c:v>2. 11-15 s</c:v>
                </c:pt>
                <c:pt idx="2">
                  <c:v>3. 16-30 s</c:v>
                </c:pt>
                <c:pt idx="3">
                  <c:v>4. 31-60 s</c:v>
                </c:pt>
                <c:pt idx="4">
                  <c:v>5. &gt; 60 s</c:v>
                </c:pt>
              </c:strCache>
            </c:strRef>
          </c:cat>
          <c:val>
            <c:numRef>
              <c:f>Facteurs!$F$53:$F$57</c:f>
              <c:numCache>
                <c:formatCode>0%</c:formatCode>
                <c:ptCount val="5"/>
                <c:pt idx="0">
                  <c:v>0.21428571428571427</c:v>
                </c:pt>
                <c:pt idx="1">
                  <c:v>0.24324324324324326</c:v>
                </c:pt>
                <c:pt idx="2">
                  <c:v>0.33333333333333331</c:v>
                </c:pt>
                <c:pt idx="3">
                  <c:v>0.2</c:v>
                </c:pt>
                <c:pt idx="4">
                  <c:v>0.2</c:v>
                </c:pt>
              </c:numCache>
            </c:numRef>
          </c:val>
          <c:extLst>
            <c:ext xmlns:c16="http://schemas.microsoft.com/office/drawing/2014/chart" uri="{C3380CC4-5D6E-409C-BE32-E72D297353CC}">
              <c16:uniqueId val="{00000001-1887-DF4C-B958-3D805EA0DE9B}"/>
            </c:ext>
          </c:extLst>
        </c:ser>
        <c:ser>
          <c:idx val="2"/>
          <c:order val="2"/>
          <c:tx>
            <c:v>Humour</c:v>
          </c:tx>
          <c:spPr>
            <a:solidFill>
              <a:srgbClr val="E76F51"/>
            </a:solidFill>
          </c:spPr>
          <c:invertIfNegative val="0"/>
          <c:cat>
            <c:strRef>
              <c:f>Facteurs!$B$53:$B$57</c:f>
              <c:strCache>
                <c:ptCount val="5"/>
                <c:pt idx="0">
                  <c:v>1. ≤ 10 s</c:v>
                </c:pt>
                <c:pt idx="1">
                  <c:v>2. 11-15 s</c:v>
                </c:pt>
                <c:pt idx="2">
                  <c:v>3. 16-30 s</c:v>
                </c:pt>
                <c:pt idx="3">
                  <c:v>4. 31-60 s</c:v>
                </c:pt>
                <c:pt idx="4">
                  <c:v>5. &gt; 60 s</c:v>
                </c:pt>
              </c:strCache>
            </c:strRef>
          </c:cat>
          <c:val>
            <c:numRef>
              <c:f>Facteurs!$H$53:$H$57</c:f>
              <c:numCache>
                <c:formatCode>0%</c:formatCode>
                <c:ptCount val="5"/>
                <c:pt idx="0">
                  <c:v>0.15384615384615385</c:v>
                </c:pt>
                <c:pt idx="1">
                  <c:v>0.31578947368421051</c:v>
                </c:pt>
                <c:pt idx="2">
                  <c:v>0.14285714285714285</c:v>
                </c:pt>
                <c:pt idx="3">
                  <c:v>0.38461538461538464</c:v>
                </c:pt>
                <c:pt idx="4">
                  <c:v>1</c:v>
                </c:pt>
              </c:numCache>
            </c:numRef>
          </c:val>
          <c:extLst>
            <c:ext xmlns:c16="http://schemas.microsoft.com/office/drawing/2014/chart" uri="{C3380CC4-5D6E-409C-BE32-E72D297353CC}">
              <c16:uniqueId val="{00000002-1887-DF4C-B958-3D805EA0DE9B}"/>
            </c:ext>
          </c:extLst>
        </c:ser>
        <c:dLbls>
          <c:showLegendKey val="0"/>
          <c:showVal val="0"/>
          <c:showCatName val="0"/>
          <c:showSerName val="0"/>
          <c:showPercent val="0"/>
          <c:showBubbleSize val="0"/>
        </c:dLbls>
        <c:gapWidth val="80"/>
        <c:axId val="50020001"/>
        <c:axId val="50020002"/>
      </c:barChart>
      <c:catAx>
        <c:axId val="50020001"/>
        <c:scaling>
          <c:orientation val="minMax"/>
        </c:scaling>
        <c:delete val="0"/>
        <c:axPos val="b"/>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scaling>
        <c:delete val="0"/>
        <c:axPos val="l"/>
        <c:majorGridlines>
          <c:spPr>
            <a:ln>
              <a:solidFill>
                <a:srgbClr val="E5E7EB"/>
              </a:solidFill>
            </a:ln>
          </c:spPr>
        </c:majorGridlines>
        <c:numFmt formatCode="0%" sourceLinked="0"/>
        <c:majorTickMark val="out"/>
        <c:minorTickMark val="none"/>
        <c:tickLblPos val="nextTo"/>
        <c:crossAx val="5002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A5F"/>
                </a:solidFill>
              </a:defRPr>
            </a:pPr>
            <a:r>
              <a:rPr lang="en-US" sz="1100" b="1" baseline="0">
                <a:solidFill>
                  <a:srgbClr val="1F3A5F"/>
                </a:solidFill>
              </a:rPr>
              <a:t>Vues et engagement médians par tranche d'abonnés</a:t>
            </a:r>
          </a:p>
        </c:rich>
      </c:tx>
      <c:overlay val="0"/>
    </c:title>
    <c:autoTitleDeleted val="0"/>
    <c:plotArea>
      <c:layout/>
      <c:barChart>
        <c:barDir val="col"/>
        <c:grouping val="clustered"/>
        <c:varyColors val="0"/>
        <c:ser>
          <c:idx val="0"/>
          <c:order val="0"/>
          <c:tx>
            <c:v>Vues médianes</c:v>
          </c:tx>
          <c:spPr>
            <a:solidFill>
              <a:srgbClr val="1F3A5F"/>
            </a:solidFill>
          </c:spPr>
          <c:invertIfNegative val="0"/>
          <c:dLbls>
            <c:numFmt formatCode="0,,&quot; M&quot;" sourceLinked="0"/>
            <c:spPr>
              <a:noFill/>
              <a:ln>
                <a:noFill/>
              </a:ln>
              <a:effectLst/>
            </c:spPr>
            <c:txPr>
              <a:bodyPr/>
              <a:lstStyle/>
              <a:p>
                <a:pPr>
                  <a:defRPr b="1" baseline="0">
                    <a:solidFill>
                      <a:srgbClr val="FFFFFF"/>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'Gros comptes'!$B$11:$B$14</c:f>
              <c:strCache>
                <c:ptCount val="4"/>
                <c:pt idx="0">
                  <c:v>1. &lt; 1 M</c:v>
                </c:pt>
                <c:pt idx="1">
                  <c:v>2. 1-3 M</c:v>
                </c:pt>
                <c:pt idx="2">
                  <c:v>3. 3-8 M</c:v>
                </c:pt>
                <c:pt idx="3">
                  <c:v>4. ≥ 8 M</c:v>
                </c:pt>
              </c:strCache>
            </c:strRef>
          </c:cat>
          <c:val>
            <c:numRef>
              <c:f>'Gros comptes'!$F$11:$F$14</c:f>
              <c:numCache>
                <c:formatCode>#\ ##0.0\ \ " M"</c:formatCode>
                <c:ptCount val="4"/>
                <c:pt idx="0">
                  <c:v>48400000</c:v>
                </c:pt>
                <c:pt idx="1">
                  <c:v>73600000</c:v>
                </c:pt>
                <c:pt idx="2">
                  <c:v>53100000</c:v>
                </c:pt>
                <c:pt idx="3">
                  <c:v>65050000</c:v>
                </c:pt>
              </c:numCache>
            </c:numRef>
          </c:val>
          <c:extLst>
            <c:ext xmlns:c16="http://schemas.microsoft.com/office/drawing/2014/chart" uri="{C3380CC4-5D6E-409C-BE32-E72D297353CC}">
              <c16:uniqueId val="{00000000-1DB5-7341-B09B-DA0C98AB6AA8}"/>
            </c:ext>
          </c:extLst>
        </c:ser>
        <c:dLbls>
          <c:showLegendKey val="0"/>
          <c:showVal val="0"/>
          <c:showCatName val="0"/>
          <c:showSerName val="0"/>
          <c:showPercent val="0"/>
          <c:showBubbleSize val="0"/>
        </c:dLbls>
        <c:gapWidth val="70"/>
        <c:axId val="50030001"/>
        <c:axId val="50030002"/>
      </c:barChart>
      <c:lineChart>
        <c:grouping val="standard"/>
        <c:varyColors val="0"/>
        <c:ser>
          <c:idx val="1"/>
          <c:order val="1"/>
          <c:tx>
            <c:v>Engagement médian (axe de droite)</c:v>
          </c:tx>
          <c:spPr>
            <a:ln w="31750">
              <a:solidFill>
                <a:srgbClr val="E76F51"/>
              </a:solidFill>
            </a:ln>
          </c:spPr>
          <c:marker>
            <c:symbol val="none"/>
          </c:marker>
          <c:dLbls>
            <c:numFmt formatCode="0.0%" sourceLinked="0"/>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'Gros comptes'!$B$11:$B$14</c:f>
              <c:strCache>
                <c:ptCount val="4"/>
                <c:pt idx="0">
                  <c:v>1. &lt; 1 M</c:v>
                </c:pt>
                <c:pt idx="1">
                  <c:v>2. 1-3 M</c:v>
                </c:pt>
                <c:pt idx="2">
                  <c:v>3. 3-8 M</c:v>
                </c:pt>
                <c:pt idx="3">
                  <c:v>4. ≥ 8 M</c:v>
                </c:pt>
              </c:strCache>
            </c:strRef>
          </c:cat>
          <c:val>
            <c:numRef>
              <c:f>'Gros comptes'!$H$11:$H$14</c:f>
              <c:numCache>
                <c:formatCode>0.0%</c:formatCode>
                <c:ptCount val="4"/>
                <c:pt idx="0">
                  <c:v>0.19109257599043716</c:v>
                </c:pt>
                <c:pt idx="1">
                  <c:v>0.16583497053045188</c:v>
                </c:pt>
                <c:pt idx="2">
                  <c:v>0.15494876325088339</c:v>
                </c:pt>
                <c:pt idx="3">
                  <c:v>0.13169012400713243</c:v>
                </c:pt>
              </c:numCache>
            </c:numRef>
          </c:val>
          <c:smooth val="0"/>
          <c:extLst>
            <c:ext xmlns:c16="http://schemas.microsoft.com/office/drawing/2014/chart" uri="{C3380CC4-5D6E-409C-BE32-E72D297353CC}">
              <c16:uniqueId val="{00000001-1DB5-7341-B09B-DA0C98AB6AA8}"/>
            </c:ext>
          </c:extLst>
        </c:ser>
        <c:dLbls>
          <c:showLegendKey val="0"/>
          <c:showVal val="0"/>
          <c:showCatName val="0"/>
          <c:showSerName val="0"/>
          <c:showPercent val="0"/>
          <c:showBubbleSize val="0"/>
        </c:dLbls>
        <c:marker val="1"/>
        <c:smooth val="0"/>
        <c:axId val="60030001"/>
        <c:axId val="60030002"/>
      </c:lineChart>
      <c:catAx>
        <c:axId val="50030001"/>
        <c:scaling>
          <c:orientation val="minMax"/>
        </c:scaling>
        <c:delete val="0"/>
        <c:axPos val="b"/>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min val="0"/>
        </c:scaling>
        <c:delete val="0"/>
        <c:axPos val="l"/>
        <c:majorGridlines>
          <c:spPr>
            <a:ln>
              <a:solidFill>
                <a:srgbClr val="E5E7EB"/>
              </a:solidFill>
            </a:ln>
          </c:spPr>
        </c:majorGridlines>
        <c:numFmt formatCode="0,,&quot; M&quot;" sourceLinked="0"/>
        <c:majorTickMark val="out"/>
        <c:minorTickMark val="none"/>
        <c:tickLblPos val="nextTo"/>
        <c:crossAx val="50030001"/>
        <c:crosses val="autoZero"/>
        <c:crossBetween val="between"/>
      </c:valAx>
      <c:valAx>
        <c:axId val="60030002"/>
        <c:scaling>
          <c:orientation val="minMax"/>
          <c:min val="0"/>
        </c:scaling>
        <c:delete val="0"/>
        <c:axPos val="r"/>
        <c:numFmt formatCode="0%" sourceLinked="0"/>
        <c:majorTickMark val="out"/>
        <c:minorTickMark val="none"/>
        <c:tickLblPos val="nextTo"/>
        <c:crossAx val="60030001"/>
        <c:crosses val="max"/>
        <c:crossBetween val="between"/>
      </c:valAx>
      <c:catAx>
        <c:axId val="60030001"/>
        <c:scaling>
          <c:orientation val="minMax"/>
        </c:scaling>
        <c:delete val="1"/>
        <c:axPos val="b"/>
        <c:numFmt formatCode="General" sourceLinked="1"/>
        <c:majorTickMark val="out"/>
        <c:minorTickMark val="none"/>
        <c:tickLblPos val="none"/>
        <c:crossAx val="60030002"/>
        <c:crosses val="autoZero"/>
        <c:auto val="1"/>
        <c:lblAlgn val="ctr"/>
        <c:lblOffset val="100"/>
        <c:noMultiLvlLbl val="0"/>
      </c:cat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A5F"/>
                </a:solidFill>
              </a:defRPr>
            </a:pPr>
            <a:r>
              <a:rPr lang="en-US" sz="1100" b="1" baseline="0">
                <a:solidFill>
                  <a:srgbClr val="1F3A5F"/>
                </a:solidFill>
              </a:rPr>
              <a:t>Aucun sujet ne gagne partout (engagement médian)</a:t>
            </a:r>
          </a:p>
        </c:rich>
      </c:tx>
      <c:overlay val="0"/>
    </c:title>
    <c:autoTitleDeleted val="0"/>
    <c:plotArea>
      <c:layout/>
      <c:barChart>
        <c:barDir val="bar"/>
        <c:grouping val="clustered"/>
        <c:varyColors val="0"/>
        <c:ser>
          <c:idx val="0"/>
          <c:order val="0"/>
          <c:tx>
            <c:v>Tendances</c:v>
          </c:tx>
          <c:spPr>
            <a:solidFill>
              <a:srgbClr val="1F3A5F"/>
            </a:solidFill>
          </c:spPr>
          <c:invertIfNegative val="0"/>
          <c:cat>
            <c:strRef>
              <c:f>'Catégories &amp; TreeMap'!$B$73:$B$77</c:f>
              <c:strCache>
                <c:ptCount val="5"/>
                <c:pt idx="0">
                  <c:v>Animaux</c:v>
                </c:pt>
                <c:pt idx="1">
                  <c:v>Famille &amp; enfants</c:v>
                </c:pt>
                <c:pt idx="2">
                  <c:v>Humour &amp; sketchs</c:v>
                </c:pt>
                <c:pt idx="3">
                  <c:v>Lifestyle, musique &amp; sport</c:v>
                </c:pt>
                <c:pt idx="4">
                  <c:v>Sujet non déclaré</c:v>
                </c:pt>
              </c:strCache>
            </c:strRef>
          </c:cat>
          <c:val>
            <c:numRef>
              <c:f>'Catégories &amp; TreeMap'!$C$73:$C$77</c:f>
              <c:numCache>
                <c:formatCode>0.0%</c:formatCode>
                <c:ptCount val="5"/>
                <c:pt idx="0">
                  <c:v>0.11228100000000001</c:v>
                </c:pt>
                <c:pt idx="1">
                  <c:v>0.10062595419847328</c:v>
                </c:pt>
                <c:pt idx="2">
                  <c:v>7.8600357274919402E-2</c:v>
                </c:pt>
                <c:pt idx="3">
                  <c:v>0.12081466666666667</c:v>
                </c:pt>
                <c:pt idx="4">
                  <c:v>0.10046012269938651</c:v>
                </c:pt>
              </c:numCache>
            </c:numRef>
          </c:val>
          <c:extLst>
            <c:ext xmlns:c16="http://schemas.microsoft.com/office/drawing/2014/chart" uri="{C3380CC4-5D6E-409C-BE32-E72D297353CC}">
              <c16:uniqueId val="{00000000-05F2-B646-AF08-224C349658A6}"/>
            </c:ext>
          </c:extLst>
        </c:ser>
        <c:ser>
          <c:idx val="1"/>
          <c:order val="1"/>
          <c:tx>
            <c:v>Humour</c:v>
          </c:tx>
          <c:spPr>
            <a:solidFill>
              <a:srgbClr val="E76F51"/>
            </a:solidFill>
          </c:spPr>
          <c:invertIfNegative val="0"/>
          <c:cat>
            <c:strRef>
              <c:f>'Catégories &amp; TreeMap'!$B$73:$B$77</c:f>
              <c:strCache>
                <c:ptCount val="5"/>
                <c:pt idx="0">
                  <c:v>Animaux</c:v>
                </c:pt>
                <c:pt idx="1">
                  <c:v>Famille &amp; enfants</c:v>
                </c:pt>
                <c:pt idx="2">
                  <c:v>Humour &amp; sketchs</c:v>
                </c:pt>
                <c:pt idx="3">
                  <c:v>Lifestyle, musique &amp; sport</c:v>
                </c:pt>
                <c:pt idx="4">
                  <c:v>Sujet non déclaré</c:v>
                </c:pt>
              </c:strCache>
            </c:strRef>
          </c:cat>
          <c:val>
            <c:numRef>
              <c:f>'Catégories &amp; TreeMap'!$D$73:$D$77</c:f>
              <c:numCache>
                <c:formatCode>0.0%</c:formatCode>
                <c:ptCount val="5"/>
                <c:pt idx="0">
                  <c:v>0.14329602220166512</c:v>
                </c:pt>
                <c:pt idx="1">
                  <c:v>0.15790436190157581</c:v>
                </c:pt>
                <c:pt idx="2">
                  <c:v>0.18458953722334004</c:v>
                </c:pt>
                <c:pt idx="3">
                  <c:v>0.1408463557804861</c:v>
                </c:pt>
                <c:pt idx="4" formatCode="General">
                  <c:v>0</c:v>
                </c:pt>
              </c:numCache>
            </c:numRef>
          </c:val>
          <c:extLst>
            <c:ext xmlns:c16="http://schemas.microsoft.com/office/drawing/2014/chart" uri="{C3380CC4-5D6E-409C-BE32-E72D297353CC}">
              <c16:uniqueId val="{00000001-05F2-B646-AF08-224C349658A6}"/>
            </c:ext>
          </c:extLst>
        </c:ser>
        <c:dLbls>
          <c:showLegendKey val="0"/>
          <c:showVal val="0"/>
          <c:showCatName val="0"/>
          <c:showSerName val="0"/>
          <c:showPercent val="0"/>
          <c:showBubbleSize val="0"/>
        </c:dLbls>
        <c:gapWidth val="60"/>
        <c:axId val="50040001"/>
        <c:axId val="50040002"/>
      </c:barChart>
      <c:catAx>
        <c:axId val="50040001"/>
        <c:scaling>
          <c:orientation val="maxMin"/>
        </c:scaling>
        <c:delete val="0"/>
        <c:axPos val="l"/>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min val="0"/>
        </c:scaling>
        <c:delete val="0"/>
        <c:axPos val="t"/>
        <c:majorGridlines>
          <c:spPr>
            <a:ln>
              <a:solidFill>
                <a:srgbClr val="E5E7EB"/>
              </a:solidFill>
            </a:ln>
          </c:spPr>
        </c:majorGridlines>
        <c:numFmt formatCode="0%" sourceLinked="0"/>
        <c:majorTickMark val="out"/>
        <c:minorTickMark val="none"/>
        <c:tickLblPos val="nextTo"/>
        <c:crossAx val="5004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Qui capte les vues ? Vues cumulées par créateur</a:t>
            </a:r>
            <a:endParaRPr lang="fr-FR" sz="1400" b="0" i="0" u="none" strike="noStrike" baseline="0">
              <a:solidFill>
                <a:sysClr val="windowText" lastClr="000000">
                  <a:lumMod val="65000"/>
                  <a:lumOff val="35000"/>
                </a:sysClr>
              </a:solidFill>
              <a:latin typeface="Calibri"/>
            </a:endParaRPr>
          </a:p>
        </cx:rich>
      </cx:tx>
    </cx:title>
    <cx:plotArea>
      <cx:plotAreaRegion>
        <cx:series layoutId="treemap" uniqueId="{00000000-99B0-5A48-8E73-FB00F3F54A16}">
          <cx:tx>
            <cx:txData>
              <cx:f>_xlchart.v1.4</cx:f>
              <cx:v>Vues cumulées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0</xdr:colOff>
      <xdr:row>23</xdr:row>
      <xdr:rowOff>0</xdr:rowOff>
    </xdr:from>
    <xdr:to>
      <xdr:col>12</xdr:col>
      <xdr:colOff>542925</xdr:colOff>
      <xdr:row>39</xdr:row>
      <xdr:rowOff>95250</xdr:rowOff>
    </xdr:to>
    <xdr:graphicFrame macro="">
      <xdr:nvGraphicFramePr>
        <xdr:cNvPr id="2" name="Chart 1" descr="Barres horizontales : écart de taux d'engagement médian entre vidéos avec et sans chaque caractéristique, pour les trois échantillons. Seule la durée supérieure à 15 secondes montre un écart net (+5,5 points), dans les tendances uniquemen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95250</xdr:colOff>
      <xdr:row>51</xdr:row>
      <xdr:rowOff>0</xdr:rowOff>
    </xdr:from>
    <xdr:to>
      <xdr:col>12</xdr:col>
      <xdr:colOff>257175</xdr:colOff>
      <xdr:row>64</xdr:row>
      <xdr:rowOff>95250</xdr:rowOff>
    </xdr:to>
    <xdr:graphicFrame macro="">
      <xdr:nvGraphicFramePr>
        <xdr:cNvPr id="3" name="Chart 2" descr="Colonnes : part de top performers par classe de durée, pour les trois échantillons. Dans les tendances, les vidéos de 16 à 30 secondes ont la plus forte part de top performers ; le schéma ne se répète pas ailleurs.">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31</xdr:row>
      <xdr:rowOff>0</xdr:rowOff>
    </xdr:from>
    <xdr:to>
      <xdr:col>6</xdr:col>
      <xdr:colOff>485775</xdr:colOff>
      <xdr:row>47</xdr:row>
      <xdr:rowOff>95250</xdr:rowOff>
    </xdr:to>
    <xdr:graphicFrame macro="">
      <xdr:nvGraphicFramePr>
        <xdr:cNvPr id="2" name="Chart 1" descr="Colonnes : vues médianes par tranche d'abonnés ; courbe : engagement médian. Les vues varient peu d'une tranche à l'autre alors que l'engagement baisse quand le compte grossi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71</xdr:row>
      <xdr:rowOff>0</xdr:rowOff>
    </xdr:from>
    <xdr:to>
      <xdr:col>10</xdr:col>
      <xdr:colOff>38100</xdr:colOff>
      <xdr:row>86</xdr:row>
      <xdr:rowOff>0</xdr:rowOff>
    </xdr:to>
    <xdr:graphicFrame macro="">
      <xdr:nvGraphicFramePr>
        <xdr:cNvPr id="2" name="Chart 1" descr="Barres : taux d'engagement médian par sujet, tendances et humour. Le classement des sujets change d'un échantillon à l'autre.">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430388</xdr:colOff>
      <xdr:row>41</xdr:row>
      <xdr:rowOff>18343</xdr:rowOff>
    </xdr:from>
    <xdr:to>
      <xdr:col>11</xdr:col>
      <xdr:colOff>14111</xdr:colOff>
      <xdr:row>69</xdr:row>
      <xdr:rowOff>141110</xdr:rowOff>
    </xdr:to>
    <mc:AlternateContent xmlns:mc="http://schemas.openxmlformats.org/markup-compatibility/2006">
      <mc:Choice xmlns:cx1="http://schemas.microsoft.com/office/drawing/2015/9/8/chartex" Requires="cx1">
        <xdr:graphicFrame macro="">
          <xdr:nvGraphicFramePr>
            <xdr:cNvPr id="3" name="Graphique 2" descr="TreeMap : chaque tuile est un créateur ; taille = vues cumulées (Tendances + Humour), couleur = sujet. Les créateurs non retenus sont regroupés par sujet.">
              <a:extLst>
                <a:ext uri="{FF2B5EF4-FFF2-40B4-BE49-F238E27FC236}">
                  <a16:creationId xmlns:a16="http://schemas.microsoft.com/office/drawing/2014/main" id="{C80EB100-627D-27F8-6F09-8DD7D1B12C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367388" y="13099343"/>
              <a:ext cx="9983612" cy="5837767"/>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46301.88637025463" createdVersion="6" refreshedVersion="8" minRefreshableVersion="3" recordCount="300" xr:uid="{00000000-000A-0000-FFFF-FFFF01000000}">
  <cacheSource type="worksheet">
    <worksheetSource name="Donnees"/>
  </cacheSource>
  <cacheFields count="37">
    <cacheField name="Échantillon" numFmtId="0">
      <sharedItems count="3">
        <s v="Tendances"/>
        <s v="Likées par @tiktok"/>
        <s v="Humour"/>
      </sharedItems>
    </cacheField>
    <cacheField name="Créateur" numFmtId="0">
      <sharedItems/>
    </cacheField>
    <cacheField name="Thème" numFmtId="0">
      <sharedItems count="5">
        <s v="Sujet non déclaré"/>
        <s v="Lifestyle, musique &amp; sport"/>
        <s v="Humour &amp; sketchs"/>
        <s v="Famille &amp; enfants"/>
        <s v="Animaux"/>
      </sharedItems>
    </cacheField>
    <cacheField name="Âge (jours)" numFmtId="0">
      <sharedItems containsSemiMixedTypes="0" containsString="0" containsNumber="1" containsInteger="1" minValue="0" maxValue="690"/>
    </cacheField>
    <cacheField name="Jour" numFmtId="0">
      <sharedItems/>
    </cacheField>
    <cacheField name="Week-end" numFmtId="0">
      <sharedItems/>
    </cacheField>
    <cacheField name="Heure UTC" numFmtId="0">
      <sharedItems containsSemiMixedTypes="0" containsString="0" containsNumber="1" containsInteger="1" minValue="0" maxValue="23"/>
    </cacheField>
    <cacheField name="Créneau UTC" numFmtId="0">
      <sharedItems/>
    </cacheField>
    <cacheField name="Durée (s)" numFmtId="0">
      <sharedItems containsSemiMixedTypes="0" containsString="0" containsNumber="1" containsInteger="1" minValue="6" maxValue="170"/>
    </cacheField>
    <cacheField name="Classe de durée" numFmtId="0">
      <sharedItems count="5">
        <s v="2. 11-15 s"/>
        <s v="4. 31-60 s"/>
        <s v="1. ≤ 10 s"/>
        <s v="3. 16-30 s"/>
        <s v="5. &gt; 60 s"/>
      </sharedItems>
    </cacheField>
    <cacheField name="Plus de 15 s" numFmtId="0">
      <sharedItems/>
    </cacheField>
    <cacheField name="Nb hashtags" numFmtId="0">
      <sharedItems containsSemiMixedTypes="0" containsString="0" containsNumber="1" containsInteger="1" minValue="0" maxValue="20"/>
    </cacheField>
    <cacheField name="Hashtags génériques" numFmtId="0">
      <sharedItems/>
    </cacheField>
    <cacheField name="Longueur du texte" numFmtId="0">
      <sharedItems containsSemiMixedTypes="0" containsString="0" containsNumber="1" containsInteger="1" minValue="0" maxValue="133"/>
    </cacheField>
    <cacheField name="Légende vide" numFmtId="0">
      <sharedItems/>
    </cacheField>
    <cacheField name="Mention duo stitch" numFmtId="0">
      <sharedItems/>
    </cacheField>
    <cacheField name="Question ou appel" numFmtId="0">
      <sharedItems/>
    </cacheField>
    <cacheField name="Son original" numFmtId="0">
      <sharedItems containsBlank="1"/>
    </cacheField>
    <cacheField name="Stitch autorisé" numFmtId="0">
      <sharedItems containsBlank="1"/>
    </cacheField>
    <cacheField name="Abonnés" numFmtId="3">
      <sharedItems containsString="0" containsBlank="1" containsNumber="1" containsInteger="1" minValue="74300" maxValue="33200000"/>
    </cacheField>
    <cacheField name="Tranche abonnés" numFmtId="0">
      <sharedItems containsBlank="1" count="6">
        <s v=""/>
        <s v="3. 3-8 M"/>
        <s v="2. 1-3 M"/>
        <s v="4. ≥ 8 M"/>
        <s v="1. &lt; 1 M"/>
        <m u="1"/>
      </sharedItems>
    </cacheField>
    <cacheField name="Vidéos publiées" numFmtId="3">
      <sharedItems containsString="0" containsBlank="1" containsNumber="1" containsInteger="1" minValue="1" maxValue="2613"/>
    </cacheField>
    <cacheField name="Vues" numFmtId="3">
      <sharedItems containsSemiMixedTypes="0" containsString="0" containsNumber="1" containsInteger="1" minValue="8689" maxValue="280900000"/>
    </cacheField>
    <cacheField name="Likes" numFmtId="3">
      <sharedItems containsSemiMixedTypes="0" containsString="0" containsNumber="1" containsInteger="1" minValue="326" maxValue="35600000"/>
    </cacheField>
    <cacheField name="Commentaires" numFmtId="3">
      <sharedItems containsSemiMixedTypes="0" containsString="0" containsNumber="1" containsInteger="1" minValue="0" maxValue="1500000"/>
    </cacheField>
    <cacheField name="Partages" numFmtId="3">
      <sharedItems containsSemiMixedTypes="0" containsString="0" containsNumber="1" containsInteger="1" minValue="3" maxValue="2700000"/>
    </cacheField>
    <cacheField name="Engagement" numFmtId="165">
      <sharedItems containsSemiMixedTypes="0" containsString="0" containsNumber="1" minValue="9.3911317008603581E-3" maxValue="0.40437113402061858"/>
    </cacheField>
    <cacheField name="Top performer" numFmtId="0">
      <sharedItems containsSemiMixedTypes="0" containsString="0" containsNumber="1" containsInteger="1" minValue="0" maxValue="1"/>
    </cacheField>
    <cacheField name="Vues par abonné" numFmtId="170">
      <sharedItems containsMixedTypes="1" containsNumber="1" minValue="1.6715328467153285" maxValue="423.95693135935397"/>
    </cacheField>
    <cacheField name="Compté dans les cumuls" numFmtId="0">
      <sharedItems/>
    </cacheField>
    <cacheField name="Rang engagement" numFmtId="170">
      <sharedItems containsSemiMixedTypes="0" containsString="0" containsNumber="1" containsInteger="1" minValue="1" maxValue="100"/>
    </cacheField>
    <cacheField name="Rang vues" numFmtId="170">
      <sharedItems containsSemiMixedTypes="0" containsString="0" containsNumber="1" minValue="1" maxValue="100"/>
    </cacheField>
    <cacheField name="Rang durée" numFmtId="170">
      <sharedItems containsSemiMixedTypes="0" containsString="0" containsNumber="1" minValue="1" maxValue="100"/>
    </cacheField>
    <cacheField name="Rang hashtags" numFmtId="170">
      <sharedItems containsSemiMixedTypes="0" containsString="0" containsNumber="1" minValue="1" maxValue="100"/>
    </cacheField>
    <cacheField name="Rang longueur" numFmtId="170">
      <sharedItems containsSemiMixedTypes="0" containsString="0" containsNumber="1" minValue="6" maxValue="100"/>
    </cacheField>
    <cacheField name="Rang abonnés" numFmtId="170">
      <sharedItems containsMixedTypes="1" containsNumber="1" minValue="1" maxValue="100"/>
    </cacheField>
    <cacheField name="Rang vidéos publiées" numFmtId="170">
      <sharedItems containsMixedTypes="1" containsNumber="1" minValue="1"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cacha.7.griselda"/>
    <x v="0"/>
    <n v="42"/>
    <s v="mardi"/>
    <s v="Non"/>
    <n v="18"/>
    <s v="18-23 h"/>
    <n v="12"/>
    <x v="0"/>
    <s v="Non"/>
    <n v="3"/>
    <s v="Oui"/>
    <n v="0"/>
    <s v="Non"/>
    <s v="Non"/>
    <s v="Non"/>
    <m/>
    <m/>
    <m/>
    <x v="0"/>
    <m/>
    <n v="222300000"/>
    <n v="28000000"/>
    <n v="1500000"/>
    <n v="2100000"/>
    <n v="0.14215024741340532"/>
    <n v="0"/>
    <s v=""/>
    <s v="Oui"/>
    <n v="71"/>
    <n v="100"/>
    <n v="56"/>
    <n v="52"/>
    <n v="16"/>
    <s v=""/>
    <s v=""/>
  </r>
  <r>
    <x v="0"/>
    <s v="@pimplepom"/>
    <x v="1"/>
    <n v="89"/>
    <s v="jeudi"/>
    <s v="Non"/>
    <n v="21"/>
    <s v="18-23 h"/>
    <n v="58"/>
    <x v="1"/>
    <s v="Oui"/>
    <n v="3"/>
    <s v="Non"/>
    <n v="0"/>
    <s v="Non"/>
    <s v="Non"/>
    <s v="Non"/>
    <m/>
    <m/>
    <m/>
    <x v="0"/>
    <m/>
    <n v="200200000"/>
    <n v="6100000"/>
    <n v="90200"/>
    <n v="108200"/>
    <n v="3.1460539460539463E-2"/>
    <n v="0"/>
    <s v=""/>
    <s v="Oui"/>
    <n v="4"/>
    <n v="99"/>
    <n v="97.5"/>
    <n v="52"/>
    <n v="16"/>
    <s v=""/>
    <s v=""/>
  </r>
  <r>
    <x v="0"/>
    <s v="Créateur 124"/>
    <x v="2"/>
    <n v="63"/>
    <s v="mardi"/>
    <s v="Non"/>
    <n v="14"/>
    <s v="12-17 h"/>
    <n v="8"/>
    <x v="2"/>
    <s v="Non"/>
    <n v="0"/>
    <s v="Non"/>
    <n v="5"/>
    <s v="Non"/>
    <s v="Non"/>
    <s v="Non"/>
    <m/>
    <m/>
    <m/>
    <x v="0"/>
    <m/>
    <n v="162200000"/>
    <n v="17100000"/>
    <n v="294300"/>
    <n v="110200"/>
    <n v="0.10791923551171394"/>
    <n v="0"/>
    <s v=""/>
    <s v="Oui"/>
    <n v="51"/>
    <n v="98"/>
    <n v="14"/>
    <n v="19"/>
    <n v="41.5"/>
    <s v=""/>
    <s v=""/>
  </r>
  <r>
    <x v="0"/>
    <s v="@hassankhadair"/>
    <x v="2"/>
    <n v="68"/>
    <s v="jeudi"/>
    <s v="Non"/>
    <n v="2"/>
    <s v="0-5 h"/>
    <n v="13"/>
    <x v="0"/>
    <s v="Non"/>
    <n v="5"/>
    <s v="Non"/>
    <n v="5"/>
    <s v="Non"/>
    <s v="Non"/>
    <s v="Non"/>
    <m/>
    <m/>
    <m/>
    <x v="0"/>
    <m/>
    <n v="106000000"/>
    <n v="15200000"/>
    <n v="114800"/>
    <n v="325300"/>
    <n v="0.14754811320754718"/>
    <n v="0"/>
    <s v=""/>
    <s v="Oui"/>
    <n v="73"/>
    <n v="97"/>
    <n v="64.5"/>
    <n v="70"/>
    <n v="41.5"/>
    <s v=""/>
    <s v=""/>
  </r>
  <r>
    <x v="0"/>
    <s v="Créateur 132"/>
    <x v="2"/>
    <n v="58"/>
    <s v="dimanche"/>
    <s v="Oui"/>
    <n v="1"/>
    <s v="0-5 h"/>
    <n v="27"/>
    <x v="3"/>
    <s v="Oui"/>
    <n v="4"/>
    <s v="Non"/>
    <n v="16"/>
    <s v="Non"/>
    <s v="Non"/>
    <s v="Non"/>
    <m/>
    <m/>
    <m/>
    <x v="0"/>
    <m/>
    <n v="101200000"/>
    <n v="11300000"/>
    <n v="125200"/>
    <n v="908100"/>
    <n v="0.12187055335968379"/>
    <n v="0"/>
    <s v=""/>
    <s v="Oui"/>
    <n v="62"/>
    <n v="96"/>
    <n v="91"/>
    <n v="62"/>
    <n v="52"/>
    <s v=""/>
    <s v=""/>
  </r>
  <r>
    <x v="0"/>
    <s v="Créateur 206"/>
    <x v="1"/>
    <n v="13"/>
    <s v="mercredi"/>
    <s v="Non"/>
    <n v="14"/>
    <s v="12-17 h"/>
    <n v="8"/>
    <x v="2"/>
    <s v="Non"/>
    <n v="2"/>
    <s v="Non"/>
    <n v="11"/>
    <s v="Non"/>
    <s v="Non"/>
    <s v="Non"/>
    <m/>
    <m/>
    <m/>
    <x v="0"/>
    <m/>
    <n v="90400000"/>
    <n v="10300000"/>
    <n v="75600"/>
    <n v="129900"/>
    <n v="0.1162112831858407"/>
    <n v="0"/>
    <s v=""/>
    <s v="Oui"/>
    <n v="59"/>
    <n v="95"/>
    <n v="14"/>
    <n v="43"/>
    <n v="47"/>
    <s v=""/>
    <s v=""/>
  </r>
  <r>
    <x v="0"/>
    <s v="@khaby.lame"/>
    <x v="2"/>
    <n v="2"/>
    <s v="dimanche"/>
    <s v="Oui"/>
    <n v="15"/>
    <s v="12-17 h"/>
    <n v="25"/>
    <x v="3"/>
    <s v="Oui"/>
    <n v="3"/>
    <s v="Non"/>
    <n v="66"/>
    <s v="Non"/>
    <s v="Oui"/>
    <s v="Oui"/>
    <m/>
    <m/>
    <m/>
    <x v="0"/>
    <m/>
    <n v="84500000"/>
    <n v="12000000"/>
    <n v="118500"/>
    <n v="63400"/>
    <n v="0.14416449704142012"/>
    <n v="0"/>
    <s v=""/>
    <s v="Oui"/>
    <n v="72"/>
    <n v="94"/>
    <n v="90"/>
    <n v="52"/>
    <n v="99"/>
    <s v=""/>
    <s v=""/>
  </r>
  <r>
    <x v="0"/>
    <s v="@mercuri_88"/>
    <x v="3"/>
    <n v="12"/>
    <s v="jeudi"/>
    <s v="Non"/>
    <n v="13"/>
    <s v="12-17 h"/>
    <n v="8"/>
    <x v="2"/>
    <s v="Non"/>
    <n v="18"/>
    <s v="Oui"/>
    <n v="14"/>
    <s v="Non"/>
    <s v="Non"/>
    <s v="Non"/>
    <m/>
    <m/>
    <m/>
    <x v="0"/>
    <m/>
    <n v="79800000"/>
    <n v="6000000"/>
    <n v="38700"/>
    <n v="82100"/>
    <n v="7.670175438596491E-2"/>
    <n v="0"/>
    <s v=""/>
    <s v="Oui"/>
    <n v="28"/>
    <n v="93"/>
    <n v="14"/>
    <n v="100"/>
    <n v="50"/>
    <s v=""/>
    <s v=""/>
  </r>
  <r>
    <x v="0"/>
    <s v="Créateur 201"/>
    <x v="3"/>
    <n v="41"/>
    <s v="mercredi"/>
    <s v="Non"/>
    <n v="21"/>
    <s v="18-23 h"/>
    <n v="47"/>
    <x v="1"/>
    <s v="Oui"/>
    <n v="7"/>
    <s v="Non"/>
    <n v="34"/>
    <s v="Non"/>
    <s v="Non"/>
    <s v="Non"/>
    <m/>
    <m/>
    <m/>
    <x v="0"/>
    <m/>
    <n v="56300000"/>
    <n v="8300000"/>
    <n v="55700"/>
    <n v="410900"/>
    <n v="0.15571225577264652"/>
    <n v="0"/>
    <s v=""/>
    <s v="Oui"/>
    <n v="75"/>
    <n v="92"/>
    <n v="95"/>
    <n v="80"/>
    <n v="75.5"/>
    <s v=""/>
    <s v=""/>
  </r>
  <r>
    <x v="0"/>
    <s v="Créateur 113"/>
    <x v="0"/>
    <n v="28"/>
    <s v="mardi"/>
    <s v="Non"/>
    <n v="17"/>
    <s v="12-17 h"/>
    <n v="9"/>
    <x v="2"/>
    <s v="Non"/>
    <n v="0"/>
    <s v="Non"/>
    <n v="0"/>
    <s v="Non"/>
    <s v="Oui"/>
    <s v="Non"/>
    <m/>
    <m/>
    <m/>
    <x v="0"/>
    <m/>
    <n v="54300000"/>
    <n v="4200000"/>
    <n v="18700"/>
    <n v="16400"/>
    <n v="7.799447513812155E-2"/>
    <n v="0"/>
    <s v=""/>
    <s v="Oui"/>
    <n v="33"/>
    <n v="91"/>
    <n v="28"/>
    <n v="19"/>
    <n v="16"/>
    <s v=""/>
    <s v=""/>
  </r>
  <r>
    <x v="0"/>
    <s v="@user4350486101671"/>
    <x v="0"/>
    <n v="68"/>
    <s v="jeudi"/>
    <s v="Non"/>
    <n v="1"/>
    <s v="0-5 h"/>
    <n v="13"/>
    <x v="0"/>
    <s v="Non"/>
    <n v="0"/>
    <s v="Non"/>
    <n v="0"/>
    <s v="Oui"/>
    <s v="Non"/>
    <s v="Non"/>
    <m/>
    <m/>
    <m/>
    <x v="0"/>
    <m/>
    <n v="50500000"/>
    <n v="9900000"/>
    <n v="73400"/>
    <n v="52800"/>
    <n v="0.19853861386138613"/>
    <n v="1"/>
    <s v=""/>
    <s v="Oui"/>
    <n v="91"/>
    <n v="90"/>
    <n v="64.5"/>
    <n v="19"/>
    <n v="16"/>
    <s v=""/>
    <s v=""/>
  </r>
  <r>
    <x v="0"/>
    <s v="Créateur 197"/>
    <x v="4"/>
    <n v="60"/>
    <s v="vendredi"/>
    <s v="Non"/>
    <n v="7"/>
    <s v="6-11 h"/>
    <n v="10"/>
    <x v="2"/>
    <s v="Non"/>
    <n v="11"/>
    <s v="Oui"/>
    <n v="20"/>
    <s v="Non"/>
    <s v="Non"/>
    <s v="Non"/>
    <m/>
    <m/>
    <m/>
    <x v="0"/>
    <m/>
    <n v="45100000"/>
    <n v="4000000"/>
    <n v="122500"/>
    <n v="306500"/>
    <n v="9.8203991130820401E-2"/>
    <n v="0"/>
    <s v=""/>
    <s v="Oui"/>
    <n v="43"/>
    <n v="89"/>
    <n v="38"/>
    <n v="96"/>
    <n v="59"/>
    <s v=""/>
    <s v=""/>
  </r>
  <r>
    <x v="0"/>
    <s v="Créateur 153"/>
    <x v="0"/>
    <n v="50"/>
    <s v="lundi"/>
    <s v="Non"/>
    <n v="18"/>
    <s v="18-23 h"/>
    <n v="10"/>
    <x v="2"/>
    <s v="Non"/>
    <n v="0"/>
    <s v="Non"/>
    <n v="0"/>
    <s v="Oui"/>
    <s v="Non"/>
    <s v="Non"/>
    <m/>
    <m/>
    <m/>
    <x v="0"/>
    <m/>
    <n v="44100000"/>
    <n v="3300000"/>
    <n v="25200"/>
    <n v="42900"/>
    <n v="7.6374149659863944E-2"/>
    <n v="0"/>
    <s v=""/>
    <s v="Oui"/>
    <n v="27"/>
    <n v="88"/>
    <n v="38"/>
    <n v="19"/>
    <n v="16"/>
    <s v=""/>
    <s v=""/>
  </r>
  <r>
    <x v="0"/>
    <s v="Créateur 105"/>
    <x v="1"/>
    <n v="50"/>
    <s v="lundi"/>
    <s v="Non"/>
    <n v="18"/>
    <s v="18-23 h"/>
    <n v="7"/>
    <x v="2"/>
    <s v="Non"/>
    <n v="3"/>
    <s v="Oui"/>
    <n v="38"/>
    <s v="Non"/>
    <s v="Non"/>
    <s v="Oui"/>
    <m/>
    <m/>
    <m/>
    <x v="0"/>
    <m/>
    <n v="43200000"/>
    <n v="4700000"/>
    <n v="26200"/>
    <n v="45100"/>
    <n v="0.11044675925925926"/>
    <n v="0"/>
    <s v=""/>
    <s v="Oui"/>
    <n v="53"/>
    <n v="87"/>
    <n v="3"/>
    <n v="52"/>
    <n v="81.5"/>
    <s v=""/>
    <s v=""/>
  </r>
  <r>
    <x v="0"/>
    <s v="@lights.are.off"/>
    <x v="1"/>
    <n v="8"/>
    <s v="lundi"/>
    <s v="Non"/>
    <n v="21"/>
    <s v="18-23 h"/>
    <n v="12"/>
    <x v="0"/>
    <s v="Non"/>
    <n v="2"/>
    <s v="Non"/>
    <n v="34"/>
    <s v="Non"/>
    <s v="Non"/>
    <s v="Non"/>
    <m/>
    <m/>
    <m/>
    <x v="0"/>
    <m/>
    <n v="38200000"/>
    <n v="5800000"/>
    <n v="83500"/>
    <n v="74900"/>
    <n v="0.15597905759162303"/>
    <n v="1"/>
    <s v=""/>
    <s v="Oui"/>
    <n v="76"/>
    <n v="86"/>
    <n v="56"/>
    <n v="43"/>
    <n v="75.5"/>
    <s v=""/>
    <s v=""/>
  </r>
  <r>
    <x v="0"/>
    <s v="Créateur 193"/>
    <x v="2"/>
    <n v="3"/>
    <s v="samedi"/>
    <s v="Oui"/>
    <n v="16"/>
    <s v="12-17 h"/>
    <n v="12"/>
    <x v="0"/>
    <s v="Non"/>
    <n v="8"/>
    <s v="Oui"/>
    <n v="0"/>
    <s v="Non"/>
    <s v="Oui"/>
    <s v="Non"/>
    <m/>
    <m/>
    <m/>
    <x v="0"/>
    <m/>
    <n v="35200000"/>
    <n v="2400000"/>
    <n v="25800"/>
    <n v="10500"/>
    <n v="6.9213068181818188E-2"/>
    <n v="0"/>
    <s v=""/>
    <s v="Oui"/>
    <n v="22"/>
    <n v="85"/>
    <n v="56"/>
    <n v="86"/>
    <n v="16"/>
    <s v=""/>
    <s v=""/>
  </r>
  <r>
    <x v="0"/>
    <s v="Créateur 089"/>
    <x v="2"/>
    <n v="29"/>
    <s v="lundi"/>
    <s v="Non"/>
    <n v="3"/>
    <s v="0-5 h"/>
    <n v="9"/>
    <x v="2"/>
    <s v="Non"/>
    <n v="0"/>
    <s v="Non"/>
    <n v="4"/>
    <s v="Non"/>
    <s v="Non"/>
    <s v="Non"/>
    <m/>
    <m/>
    <m/>
    <x v="0"/>
    <m/>
    <n v="34800000"/>
    <n v="2500000"/>
    <n v="31100"/>
    <n v="233300"/>
    <n v="7.94367816091954E-2"/>
    <n v="0"/>
    <s v=""/>
    <s v="Oui"/>
    <n v="34"/>
    <n v="84"/>
    <n v="28"/>
    <n v="19"/>
    <n v="39"/>
    <s v=""/>
    <s v=""/>
  </r>
  <r>
    <x v="0"/>
    <s v="@hayndkay_mom"/>
    <x v="3"/>
    <n v="17"/>
    <s v="samedi"/>
    <s v="Oui"/>
    <n v="18"/>
    <s v="18-23 h"/>
    <n v="9"/>
    <x v="2"/>
    <s v="Non"/>
    <n v="4"/>
    <s v="Oui"/>
    <n v="37"/>
    <s v="Non"/>
    <s v="Non"/>
    <s v="Non"/>
    <m/>
    <m/>
    <m/>
    <x v="0"/>
    <m/>
    <n v="33500000"/>
    <n v="5400000"/>
    <n v="73500"/>
    <n v="237700"/>
    <n v="0.17048358208955225"/>
    <n v="1"/>
    <s v=""/>
    <s v="Oui"/>
    <n v="83"/>
    <n v="83"/>
    <n v="28"/>
    <n v="62"/>
    <n v="79"/>
    <s v=""/>
    <s v=""/>
  </r>
  <r>
    <x v="0"/>
    <s v="Créateur 047"/>
    <x v="0"/>
    <n v="15"/>
    <s v="lundi"/>
    <s v="Non"/>
    <n v="17"/>
    <s v="12-17 h"/>
    <n v="11"/>
    <x v="0"/>
    <s v="Non"/>
    <n v="0"/>
    <s v="Non"/>
    <n v="0"/>
    <s v="Oui"/>
    <s v="Non"/>
    <s v="Non"/>
    <m/>
    <m/>
    <m/>
    <x v="0"/>
    <m/>
    <n v="32600000"/>
    <n v="3000000"/>
    <n v="28000"/>
    <n v="247000"/>
    <n v="0.10046012269938651"/>
    <n v="0"/>
    <s v=""/>
    <s v="Oui"/>
    <n v="45"/>
    <n v="82"/>
    <n v="47"/>
    <n v="19"/>
    <n v="16"/>
    <s v=""/>
    <s v=""/>
  </r>
  <r>
    <x v="0"/>
    <s v="Créateur 153"/>
    <x v="0"/>
    <n v="44"/>
    <s v="dimanche"/>
    <s v="Oui"/>
    <n v="16"/>
    <s v="12-17 h"/>
    <n v="8"/>
    <x v="2"/>
    <s v="Non"/>
    <n v="0"/>
    <s v="Non"/>
    <n v="0"/>
    <s v="Non"/>
    <s v="Oui"/>
    <s v="Non"/>
    <m/>
    <m/>
    <m/>
    <x v="0"/>
    <m/>
    <n v="32500000"/>
    <n v="3900000"/>
    <n v="19400"/>
    <n v="21300"/>
    <n v="0.12125230769230769"/>
    <n v="0"/>
    <s v=""/>
    <s v="Oui"/>
    <n v="61"/>
    <n v="81"/>
    <n v="14"/>
    <n v="19"/>
    <n v="16"/>
    <s v=""/>
    <s v=""/>
  </r>
  <r>
    <x v="0"/>
    <s v="@momma_mandy_plus7"/>
    <x v="3"/>
    <n v="20"/>
    <s v="mercredi"/>
    <s v="Non"/>
    <n v="0"/>
    <s v="0-5 h"/>
    <n v="8"/>
    <x v="2"/>
    <s v="Non"/>
    <n v="7"/>
    <s v="Oui"/>
    <n v="0"/>
    <s v="Non"/>
    <s v="Non"/>
    <s v="Non"/>
    <m/>
    <m/>
    <m/>
    <x v="0"/>
    <m/>
    <n v="32200000"/>
    <n v="4800000"/>
    <n v="56700"/>
    <n v="451600"/>
    <n v="0.16485403726708076"/>
    <n v="1"/>
    <s v=""/>
    <s v="Oui"/>
    <n v="79"/>
    <n v="80"/>
    <n v="14"/>
    <n v="80"/>
    <n v="16"/>
    <s v=""/>
    <s v=""/>
  </r>
  <r>
    <x v="0"/>
    <s v="Créateur 167"/>
    <x v="4"/>
    <n v="85"/>
    <s v="lundi"/>
    <s v="Non"/>
    <n v="6"/>
    <s v="6-11 h"/>
    <n v="9"/>
    <x v="2"/>
    <s v="Non"/>
    <n v="5"/>
    <s v="Oui"/>
    <n v="0"/>
    <s v="Non"/>
    <s v="Non"/>
    <s v="Non"/>
    <m/>
    <m/>
    <m/>
    <x v="0"/>
    <m/>
    <n v="31600000"/>
    <n v="2600000"/>
    <n v="100100"/>
    <n v="516600"/>
    <n v="0.10179430379746836"/>
    <n v="0"/>
    <s v=""/>
    <s v="Oui"/>
    <n v="48"/>
    <n v="79"/>
    <n v="28"/>
    <n v="70"/>
    <n v="16"/>
    <s v=""/>
    <s v=""/>
  </r>
  <r>
    <x v="0"/>
    <s v="Créateur 077"/>
    <x v="0"/>
    <n v="26"/>
    <s v="jeudi"/>
    <s v="Non"/>
    <n v="21"/>
    <s v="18-23 h"/>
    <n v="11"/>
    <x v="0"/>
    <s v="Non"/>
    <n v="0"/>
    <s v="Non"/>
    <n v="0"/>
    <s v="Oui"/>
    <s v="Non"/>
    <s v="Non"/>
    <m/>
    <m/>
    <m/>
    <x v="0"/>
    <m/>
    <n v="29800000"/>
    <n v="976900"/>
    <n v="10400"/>
    <n v="143400"/>
    <n v="3.7942953020134229E-2"/>
    <n v="0"/>
    <s v=""/>
    <s v="Oui"/>
    <n v="5"/>
    <n v="78"/>
    <n v="47"/>
    <n v="19"/>
    <n v="16"/>
    <s v=""/>
    <s v=""/>
  </r>
  <r>
    <x v="0"/>
    <s v="Créateur 153"/>
    <x v="0"/>
    <n v="88"/>
    <s v="vendredi"/>
    <s v="Non"/>
    <n v="16"/>
    <s v="12-17 h"/>
    <n v="8"/>
    <x v="2"/>
    <s v="Non"/>
    <n v="0"/>
    <s v="Non"/>
    <n v="1"/>
    <s v="Non"/>
    <s v="Non"/>
    <s v="Non"/>
    <m/>
    <m/>
    <m/>
    <x v="0"/>
    <m/>
    <n v="28700000"/>
    <n v="2200000"/>
    <n v="9354"/>
    <n v="22000"/>
    <n v="7.7747526132404182E-2"/>
    <n v="0"/>
    <s v=""/>
    <s v="Oui"/>
    <n v="30"/>
    <n v="77"/>
    <n v="14"/>
    <n v="19"/>
    <n v="33"/>
    <s v=""/>
    <s v=""/>
  </r>
  <r>
    <x v="0"/>
    <s v="Créateur 142"/>
    <x v="1"/>
    <n v="87"/>
    <s v="samedi"/>
    <s v="Oui"/>
    <n v="1"/>
    <s v="0-5 h"/>
    <n v="15"/>
    <x v="0"/>
    <s v="Non"/>
    <n v="1"/>
    <s v="Non"/>
    <n v="9"/>
    <s v="Non"/>
    <s v="Non"/>
    <s v="Non"/>
    <m/>
    <m/>
    <m/>
    <x v="0"/>
    <m/>
    <n v="27900000"/>
    <n v="2700000"/>
    <n v="59700"/>
    <n v="18300"/>
    <n v="9.9569892473118274E-2"/>
    <n v="0"/>
    <s v=""/>
    <s v="Oui"/>
    <n v="44"/>
    <n v="76"/>
    <n v="78"/>
    <n v="39"/>
    <n v="45.5"/>
    <s v=""/>
    <s v=""/>
  </r>
  <r>
    <x v="0"/>
    <s v="@roses_are_rosie"/>
    <x v="0"/>
    <n v="6"/>
    <s v="mercredi"/>
    <s v="Non"/>
    <n v="8"/>
    <s v="6-11 h"/>
    <n v="11"/>
    <x v="0"/>
    <s v="Non"/>
    <n v="0"/>
    <s v="Non"/>
    <n v="27"/>
    <s v="Non"/>
    <s v="Oui"/>
    <s v="Non"/>
    <m/>
    <m/>
    <m/>
    <x v="0"/>
    <m/>
    <n v="26700000"/>
    <n v="6600000"/>
    <n v="107100"/>
    <n v="49100"/>
    <n v="0.25304119850187268"/>
    <n v="1"/>
    <s v=""/>
    <s v="Oui"/>
    <n v="97"/>
    <n v="75"/>
    <n v="47"/>
    <n v="19"/>
    <n v="69"/>
    <s v=""/>
    <s v=""/>
  </r>
  <r>
    <x v="0"/>
    <s v="Créateur 108"/>
    <x v="4"/>
    <n v="19"/>
    <s v="jeudi"/>
    <s v="Non"/>
    <n v="22"/>
    <s v="18-23 h"/>
    <n v="10"/>
    <x v="2"/>
    <s v="Non"/>
    <n v="3"/>
    <s v="Oui"/>
    <n v="24"/>
    <s v="Non"/>
    <s v="Non"/>
    <s v="Non"/>
    <m/>
    <m/>
    <m/>
    <x v="0"/>
    <m/>
    <n v="26000000"/>
    <n v="3000000"/>
    <n v="31200"/>
    <n v="286900"/>
    <n v="0.12761923076923076"/>
    <n v="0"/>
    <s v=""/>
    <s v="Oui"/>
    <n v="65"/>
    <n v="74"/>
    <n v="38"/>
    <n v="52"/>
    <n v="66.5"/>
    <s v=""/>
    <s v=""/>
  </r>
  <r>
    <x v="0"/>
    <s v="@roses_are_rosie"/>
    <x v="0"/>
    <n v="14"/>
    <s v="mardi"/>
    <s v="Non"/>
    <n v="10"/>
    <s v="6-11 h"/>
    <n v="20"/>
    <x v="3"/>
    <s v="Oui"/>
    <n v="0"/>
    <s v="Non"/>
    <n v="38"/>
    <s v="Non"/>
    <s v="Non"/>
    <s v="Non"/>
    <m/>
    <m/>
    <m/>
    <x v="0"/>
    <m/>
    <n v="25200000"/>
    <n v="6200000"/>
    <n v="172900"/>
    <n v="70200"/>
    <n v="0.25567857142857142"/>
    <n v="1"/>
    <s v=""/>
    <s v="Oui"/>
    <n v="98"/>
    <n v="72.5"/>
    <n v="86.5"/>
    <n v="19"/>
    <n v="81.5"/>
    <s v=""/>
    <s v=""/>
  </r>
  <r>
    <x v="0"/>
    <s v="Créateur 079"/>
    <x v="3"/>
    <n v="61"/>
    <s v="jeudi"/>
    <s v="Non"/>
    <n v="0"/>
    <s v="0-5 h"/>
    <n v="9"/>
    <x v="2"/>
    <s v="Non"/>
    <n v="6"/>
    <s v="Oui"/>
    <n v="38"/>
    <s v="Non"/>
    <s v="Oui"/>
    <s v="Non"/>
    <m/>
    <m/>
    <m/>
    <x v="0"/>
    <m/>
    <n v="25200000"/>
    <n v="1600000"/>
    <n v="11400"/>
    <n v="18300"/>
    <n v="6.467063492063492E-2"/>
    <n v="0"/>
    <s v=""/>
    <s v="Oui"/>
    <n v="18"/>
    <n v="72.5"/>
    <n v="28"/>
    <n v="75.5"/>
    <n v="81.5"/>
    <s v=""/>
    <s v=""/>
  </r>
  <r>
    <x v="0"/>
    <s v="@relaxedbryan"/>
    <x v="3"/>
    <n v="82"/>
    <s v="jeudi"/>
    <s v="Non"/>
    <n v="23"/>
    <s v="18-23 h"/>
    <n v="21"/>
    <x v="3"/>
    <s v="Oui"/>
    <n v="9"/>
    <s v="Oui"/>
    <n v="59"/>
    <s v="Non"/>
    <s v="Oui"/>
    <s v="Oui"/>
    <m/>
    <m/>
    <m/>
    <x v="0"/>
    <m/>
    <n v="25000000"/>
    <n v="3600000"/>
    <n v="96600"/>
    <n v="457800"/>
    <n v="0.16617599999999999"/>
    <n v="1"/>
    <s v=""/>
    <s v="Oui"/>
    <n v="81"/>
    <n v="71"/>
    <n v="88"/>
    <n v="90.5"/>
    <n v="94.5"/>
    <s v=""/>
    <s v=""/>
  </r>
  <r>
    <x v="0"/>
    <s v="@miakhalifa"/>
    <x v="1"/>
    <n v="60"/>
    <s v="vendredi"/>
    <s v="Non"/>
    <n v="1"/>
    <s v="0-5 h"/>
    <n v="14"/>
    <x v="0"/>
    <s v="Non"/>
    <n v="0"/>
    <s v="Non"/>
    <n v="30"/>
    <s v="Non"/>
    <s v="Non"/>
    <s v="Non"/>
    <m/>
    <m/>
    <m/>
    <x v="0"/>
    <m/>
    <n v="24900000"/>
    <n v="4000000"/>
    <n v="18200"/>
    <n v="12300"/>
    <n v="0.16186746987951808"/>
    <n v="1"/>
    <s v=""/>
    <s v="Oui"/>
    <n v="78"/>
    <n v="70"/>
    <n v="70.5"/>
    <n v="19"/>
    <n v="72"/>
    <s v=""/>
    <s v=""/>
  </r>
  <r>
    <x v="0"/>
    <s v="@roses_are_rosie"/>
    <x v="0"/>
    <n v="6"/>
    <s v="mercredi"/>
    <s v="Non"/>
    <n v="8"/>
    <s v="6-11 h"/>
    <n v="12"/>
    <x v="0"/>
    <s v="Non"/>
    <n v="0"/>
    <s v="Non"/>
    <n v="39"/>
    <s v="Non"/>
    <s v="Non"/>
    <s v="Non"/>
    <m/>
    <m/>
    <m/>
    <x v="0"/>
    <m/>
    <n v="22000000"/>
    <n v="5200000"/>
    <n v="87200"/>
    <n v="37100"/>
    <n v="0.24201363636363638"/>
    <n v="1"/>
    <s v=""/>
    <s v="Oui"/>
    <n v="96"/>
    <n v="69"/>
    <n v="56"/>
    <n v="19"/>
    <n v="84"/>
    <s v=""/>
    <s v=""/>
  </r>
  <r>
    <x v="0"/>
    <s v="Créateur 178"/>
    <x v="0"/>
    <n v="8"/>
    <s v="lundi"/>
    <s v="Non"/>
    <n v="0"/>
    <s v="0-5 h"/>
    <n v="13"/>
    <x v="0"/>
    <s v="Non"/>
    <n v="0"/>
    <s v="Non"/>
    <n v="0"/>
    <s v="Oui"/>
    <s v="Non"/>
    <s v="Non"/>
    <m/>
    <m/>
    <m/>
    <x v="0"/>
    <m/>
    <n v="19800000"/>
    <n v="1600000"/>
    <n v="12400"/>
    <n v="44200"/>
    <n v="8.3666666666666667E-2"/>
    <n v="0"/>
    <s v=""/>
    <s v="Oui"/>
    <n v="37"/>
    <n v="68"/>
    <n v="64.5"/>
    <n v="19"/>
    <n v="16"/>
    <s v=""/>
    <s v=""/>
  </r>
  <r>
    <x v="0"/>
    <s v="Créateur 206"/>
    <x v="1"/>
    <n v="11"/>
    <s v="vendredi"/>
    <s v="Non"/>
    <n v="11"/>
    <s v="6-11 h"/>
    <n v="8"/>
    <x v="2"/>
    <s v="Non"/>
    <n v="3"/>
    <s v="Non"/>
    <n v="2"/>
    <s v="Non"/>
    <s v="Non"/>
    <s v="Non"/>
    <m/>
    <m/>
    <m/>
    <x v="0"/>
    <m/>
    <n v="18900000"/>
    <n v="2600000"/>
    <n v="10500"/>
    <n v="4745"/>
    <n v="0.13837275132275131"/>
    <n v="0"/>
    <s v=""/>
    <s v="Oui"/>
    <n v="69"/>
    <n v="66.5"/>
    <n v="14"/>
    <n v="52"/>
    <n v="35"/>
    <s v=""/>
    <s v=""/>
  </r>
  <r>
    <x v="0"/>
    <s v="Créateur 002"/>
    <x v="0"/>
    <n v="51"/>
    <s v="dimanche"/>
    <s v="Oui"/>
    <n v="20"/>
    <s v="18-23 h"/>
    <n v="7"/>
    <x v="2"/>
    <s v="Non"/>
    <n v="0"/>
    <s v="Non"/>
    <n v="0"/>
    <s v="Oui"/>
    <s v="Non"/>
    <s v="Non"/>
    <m/>
    <m/>
    <m/>
    <x v="0"/>
    <m/>
    <n v="18900000"/>
    <n v="2600000"/>
    <n v="20000"/>
    <n v="25700"/>
    <n v="0.13998412698412699"/>
    <n v="0"/>
    <s v=""/>
    <s v="Oui"/>
    <n v="70"/>
    <n v="66.5"/>
    <n v="3"/>
    <n v="19"/>
    <n v="16"/>
    <s v=""/>
    <s v=""/>
  </r>
  <r>
    <x v="0"/>
    <s v="Créateur 160"/>
    <x v="2"/>
    <n v="14"/>
    <s v="mardi"/>
    <s v="Non"/>
    <n v="20"/>
    <s v="18-23 h"/>
    <n v="15"/>
    <x v="0"/>
    <s v="Non"/>
    <n v="5"/>
    <s v="Oui"/>
    <n v="63"/>
    <s v="Non"/>
    <s v="Non"/>
    <s v="Non"/>
    <m/>
    <m/>
    <m/>
    <x v="0"/>
    <m/>
    <n v="17100000"/>
    <n v="1000000"/>
    <n v="12100"/>
    <n v="137100"/>
    <n v="6.72046783625731E-2"/>
    <n v="0"/>
    <s v=""/>
    <s v="Oui"/>
    <n v="20"/>
    <n v="65"/>
    <n v="78"/>
    <n v="70"/>
    <n v="96.5"/>
    <s v=""/>
    <s v=""/>
  </r>
  <r>
    <x v="0"/>
    <s v="@bts_official_bighit"/>
    <x v="1"/>
    <n v="3"/>
    <s v="samedi"/>
    <s v="Oui"/>
    <n v="6"/>
    <s v="6-11 h"/>
    <n v="20"/>
    <x v="3"/>
    <s v="Oui"/>
    <n v="1"/>
    <s v="Non"/>
    <n v="12"/>
    <s v="Non"/>
    <s v="Non"/>
    <s v="Non"/>
    <m/>
    <m/>
    <m/>
    <x v="0"/>
    <m/>
    <n v="17000000"/>
    <n v="5300000"/>
    <n v="255800"/>
    <n v="158300"/>
    <n v="0.33612352941176471"/>
    <n v="1"/>
    <s v=""/>
    <s v="Oui"/>
    <n v="99"/>
    <n v="64"/>
    <n v="86.5"/>
    <n v="39"/>
    <n v="48"/>
    <s v=""/>
    <s v=""/>
  </r>
  <r>
    <x v="0"/>
    <s v="Créateur 198"/>
    <x v="0"/>
    <n v="7"/>
    <s v="mardi"/>
    <s v="Non"/>
    <n v="20"/>
    <s v="18-23 h"/>
    <n v="14"/>
    <x v="0"/>
    <s v="Non"/>
    <n v="5"/>
    <s v="Oui"/>
    <n v="47"/>
    <s v="Non"/>
    <s v="Non"/>
    <s v="Non"/>
    <m/>
    <m/>
    <m/>
    <x v="0"/>
    <m/>
    <n v="15200000"/>
    <n v="1900000"/>
    <n v="68500"/>
    <n v="68500"/>
    <n v="0.13401315789473683"/>
    <n v="0"/>
    <s v=""/>
    <s v="Oui"/>
    <n v="68"/>
    <n v="63"/>
    <n v="70.5"/>
    <n v="70"/>
    <n v="89"/>
    <s v=""/>
    <s v=""/>
  </r>
  <r>
    <x v="0"/>
    <s v="Créateur 112"/>
    <x v="1"/>
    <n v="84"/>
    <s v="mardi"/>
    <s v="Non"/>
    <n v="18"/>
    <s v="18-23 h"/>
    <n v="9"/>
    <x v="2"/>
    <s v="Non"/>
    <n v="9"/>
    <s v="Oui"/>
    <n v="84"/>
    <s v="Non"/>
    <s v="Non"/>
    <s v="Oui"/>
    <m/>
    <m/>
    <m/>
    <x v="0"/>
    <m/>
    <n v="15000000"/>
    <n v="1800000"/>
    <n v="6751"/>
    <n v="5469"/>
    <n v="0.12081466666666667"/>
    <n v="0"/>
    <s v=""/>
    <s v="Oui"/>
    <n v="60"/>
    <n v="62"/>
    <n v="28"/>
    <n v="90.5"/>
    <n v="100"/>
    <s v=""/>
    <s v=""/>
  </r>
  <r>
    <x v="0"/>
    <s v="Créateur 049"/>
    <x v="2"/>
    <n v="47"/>
    <s v="jeudi"/>
    <s v="Non"/>
    <n v="4"/>
    <s v="0-5 h"/>
    <n v="15"/>
    <x v="0"/>
    <s v="Non"/>
    <n v="11"/>
    <s v="Oui"/>
    <n v="23"/>
    <s v="Non"/>
    <s v="Oui"/>
    <s v="Non"/>
    <m/>
    <m/>
    <m/>
    <x v="0"/>
    <m/>
    <n v="14900000"/>
    <n v="616300"/>
    <n v="9206"/>
    <n v="101300"/>
    <n v="4.8778926174496647E-2"/>
    <n v="0"/>
    <s v=""/>
    <s v="Oui"/>
    <n v="10"/>
    <n v="61"/>
    <n v="78"/>
    <n v="96"/>
    <n v="64"/>
    <s v=""/>
    <s v=""/>
  </r>
  <r>
    <x v="0"/>
    <s v="Créateur 153"/>
    <x v="0"/>
    <n v="7"/>
    <s v="mardi"/>
    <s v="Non"/>
    <n v="20"/>
    <s v="18-23 h"/>
    <n v="10"/>
    <x v="2"/>
    <s v="Non"/>
    <n v="0"/>
    <s v="Non"/>
    <n v="0"/>
    <s v="Non"/>
    <s v="Oui"/>
    <s v="Non"/>
    <m/>
    <m/>
    <m/>
    <x v="0"/>
    <m/>
    <n v="14400000"/>
    <n v="928700"/>
    <n v="3614"/>
    <n v="4936"/>
    <n v="6.5086805555555557E-2"/>
    <n v="0"/>
    <s v=""/>
    <s v="Oui"/>
    <n v="19"/>
    <n v="60"/>
    <n v="38"/>
    <n v="19"/>
    <n v="16"/>
    <s v=""/>
    <s v=""/>
  </r>
  <r>
    <x v="0"/>
    <s v="Créateur 153"/>
    <x v="0"/>
    <n v="9"/>
    <s v="dimanche"/>
    <s v="Oui"/>
    <n v="19"/>
    <s v="18-23 h"/>
    <n v="12"/>
    <x v="0"/>
    <s v="Non"/>
    <n v="0"/>
    <s v="Non"/>
    <n v="0"/>
    <s v="Non"/>
    <s v="Oui"/>
    <s v="Non"/>
    <m/>
    <m/>
    <m/>
    <x v="0"/>
    <m/>
    <n v="14300000"/>
    <n v="2800000"/>
    <n v="23000"/>
    <n v="15600"/>
    <n v="0.1985034965034965"/>
    <n v="1"/>
    <s v=""/>
    <s v="Oui"/>
    <n v="90"/>
    <n v="59"/>
    <n v="56"/>
    <n v="19"/>
    <n v="16"/>
    <s v=""/>
    <s v=""/>
  </r>
  <r>
    <x v="0"/>
    <s v="@gagesmellslikecabbage"/>
    <x v="0"/>
    <n v="21"/>
    <s v="mardi"/>
    <s v="Non"/>
    <n v="0"/>
    <s v="0-5 h"/>
    <n v="12"/>
    <x v="0"/>
    <s v="Non"/>
    <n v="0"/>
    <s v="Non"/>
    <n v="0"/>
    <s v="Oui"/>
    <s v="Non"/>
    <s v="Non"/>
    <m/>
    <m/>
    <m/>
    <x v="0"/>
    <m/>
    <n v="14100000"/>
    <n v="3300000"/>
    <n v="38800"/>
    <n v="17100"/>
    <n v="0.23800709219858157"/>
    <n v="1"/>
    <s v=""/>
    <s v="Oui"/>
    <n v="95"/>
    <n v="57.5"/>
    <n v="56"/>
    <n v="19"/>
    <n v="16"/>
    <s v=""/>
    <s v=""/>
  </r>
  <r>
    <x v="0"/>
    <s v="Créateur 159"/>
    <x v="3"/>
    <n v="5"/>
    <s v="jeudi"/>
    <s v="Non"/>
    <n v="20"/>
    <s v="18-23 h"/>
    <n v="12"/>
    <x v="0"/>
    <s v="Non"/>
    <n v="7"/>
    <s v="Oui"/>
    <n v="41"/>
    <s v="Non"/>
    <s v="Non"/>
    <s v="Non"/>
    <m/>
    <m/>
    <m/>
    <x v="0"/>
    <m/>
    <n v="14100000"/>
    <n v="951000"/>
    <n v="3828"/>
    <n v="6113"/>
    <n v="6.815184397163121E-2"/>
    <n v="0"/>
    <s v=""/>
    <s v="Oui"/>
    <n v="21"/>
    <n v="57.5"/>
    <n v="56"/>
    <n v="80"/>
    <n v="86"/>
    <s v=""/>
    <s v=""/>
  </r>
  <r>
    <x v="0"/>
    <s v="Créateur 156"/>
    <x v="0"/>
    <n v="51"/>
    <s v="dimanche"/>
    <s v="Oui"/>
    <n v="12"/>
    <s v="12-17 h"/>
    <n v="38"/>
    <x v="1"/>
    <s v="Oui"/>
    <n v="0"/>
    <s v="Non"/>
    <n v="0"/>
    <s v="Oui"/>
    <s v="Non"/>
    <s v="Non"/>
    <m/>
    <m/>
    <m/>
    <x v="0"/>
    <m/>
    <n v="13700000"/>
    <n v="1500000"/>
    <n v="30200"/>
    <n v="222600"/>
    <n v="0.12794160583941605"/>
    <n v="0"/>
    <s v=""/>
    <s v="Oui"/>
    <n v="66"/>
    <n v="56"/>
    <n v="93"/>
    <n v="19"/>
    <n v="16"/>
    <s v=""/>
    <s v=""/>
  </r>
  <r>
    <x v="0"/>
    <s v="@thepetcollective"/>
    <x v="4"/>
    <n v="27"/>
    <s v="mercredi"/>
    <s v="Non"/>
    <n v="17"/>
    <s v="12-17 h"/>
    <n v="8"/>
    <x v="2"/>
    <s v="Non"/>
    <n v="4"/>
    <s v="Non"/>
    <n v="65"/>
    <s v="Non"/>
    <s v="Non"/>
    <s v="Oui"/>
    <m/>
    <m/>
    <m/>
    <x v="0"/>
    <m/>
    <n v="13200000"/>
    <n v="2200000"/>
    <n v="28100"/>
    <n v="140200"/>
    <n v="0.17941666666666667"/>
    <n v="1"/>
    <s v=""/>
    <s v="Oui"/>
    <n v="86"/>
    <n v="55"/>
    <n v="14"/>
    <n v="62"/>
    <n v="98"/>
    <s v=""/>
    <s v=""/>
  </r>
  <r>
    <x v="0"/>
    <s v="Créateur 163"/>
    <x v="3"/>
    <n v="10"/>
    <s v="samedi"/>
    <s v="Oui"/>
    <n v="5"/>
    <s v="0-5 h"/>
    <n v="12"/>
    <x v="0"/>
    <s v="Non"/>
    <n v="10"/>
    <s v="Oui"/>
    <n v="19"/>
    <s v="Non"/>
    <s v="Non"/>
    <s v="Non"/>
    <m/>
    <m/>
    <m/>
    <x v="0"/>
    <m/>
    <n v="13100000"/>
    <n v="1200000"/>
    <n v="27200"/>
    <n v="91000"/>
    <n v="0.10062595419847328"/>
    <n v="0"/>
    <s v=""/>
    <s v="Oui"/>
    <n v="46"/>
    <n v="54"/>
    <n v="56"/>
    <n v="93.5"/>
    <n v="56.5"/>
    <s v=""/>
    <s v=""/>
  </r>
  <r>
    <x v="0"/>
    <s v="@www9781"/>
    <x v="4"/>
    <n v="5"/>
    <s v="jeudi"/>
    <s v="Non"/>
    <n v="18"/>
    <s v="18-23 h"/>
    <n v="9"/>
    <x v="2"/>
    <s v="Non"/>
    <n v="8"/>
    <s v="Non"/>
    <n v="3"/>
    <s v="Non"/>
    <s v="Non"/>
    <s v="Non"/>
    <m/>
    <m/>
    <m/>
    <x v="0"/>
    <m/>
    <n v="11400000"/>
    <n v="2100000"/>
    <n v="25000"/>
    <n v="110300"/>
    <n v="0.19607894736842105"/>
    <n v="1"/>
    <s v=""/>
    <s v="Oui"/>
    <n v="89"/>
    <n v="53"/>
    <n v="28"/>
    <n v="86"/>
    <n v="36.5"/>
    <s v=""/>
    <s v=""/>
  </r>
  <r>
    <x v="0"/>
    <s v="Créateur 008"/>
    <x v="0"/>
    <n v="85"/>
    <s v="lundi"/>
    <s v="Non"/>
    <n v="9"/>
    <s v="6-11 h"/>
    <n v="13"/>
    <x v="0"/>
    <s v="Non"/>
    <n v="0"/>
    <s v="Non"/>
    <n v="0"/>
    <s v="Oui"/>
    <s v="Non"/>
    <s v="Non"/>
    <m/>
    <m/>
    <m/>
    <x v="0"/>
    <m/>
    <n v="11000000"/>
    <n v="417300"/>
    <n v="6307"/>
    <n v="56600"/>
    <n v="4.3655181818181815E-2"/>
    <n v="0"/>
    <s v=""/>
    <s v="Oui"/>
    <n v="9"/>
    <n v="52"/>
    <n v="64.5"/>
    <n v="19"/>
    <n v="16"/>
    <s v=""/>
    <s v=""/>
  </r>
  <r>
    <x v="0"/>
    <s v="Créateur 143"/>
    <x v="0"/>
    <n v="15"/>
    <s v="lundi"/>
    <s v="Non"/>
    <n v="20"/>
    <s v="18-23 h"/>
    <n v="23"/>
    <x v="3"/>
    <s v="Oui"/>
    <n v="3"/>
    <s v="Oui"/>
    <n v="34"/>
    <s v="Non"/>
    <s v="Non"/>
    <s v="Non"/>
    <m/>
    <m/>
    <m/>
    <x v="0"/>
    <m/>
    <n v="10500000"/>
    <n v="1800000"/>
    <n v="24000"/>
    <n v="130600"/>
    <n v="0.18615238095238096"/>
    <n v="1"/>
    <s v=""/>
    <s v="Oui"/>
    <n v="87"/>
    <n v="51"/>
    <n v="89"/>
    <n v="52"/>
    <n v="75.5"/>
    <s v=""/>
    <s v=""/>
  </r>
  <r>
    <x v="0"/>
    <s v="Créateur 062"/>
    <x v="0"/>
    <n v="57"/>
    <s v="lundi"/>
    <s v="Non"/>
    <n v="23"/>
    <s v="18-23 h"/>
    <n v="9"/>
    <x v="2"/>
    <s v="Non"/>
    <n v="0"/>
    <s v="Non"/>
    <n v="1"/>
    <s v="Non"/>
    <s v="Non"/>
    <s v="Non"/>
    <m/>
    <m/>
    <m/>
    <x v="0"/>
    <m/>
    <n v="10300000"/>
    <n v="551600"/>
    <n v="0"/>
    <n v="227100"/>
    <n v="7.5601941747572815E-2"/>
    <n v="0"/>
    <s v=""/>
    <s v="Oui"/>
    <n v="25"/>
    <n v="50"/>
    <n v="28"/>
    <n v="19"/>
    <n v="33"/>
    <s v=""/>
    <s v=""/>
  </r>
  <r>
    <x v="0"/>
    <s v="Créateur 064"/>
    <x v="4"/>
    <n v="11"/>
    <s v="vendredi"/>
    <s v="Non"/>
    <n v="22"/>
    <s v="18-23 h"/>
    <n v="8"/>
    <x v="2"/>
    <s v="Non"/>
    <n v="3"/>
    <s v="Non"/>
    <n v="40"/>
    <s v="Non"/>
    <s v="Oui"/>
    <s v="Oui"/>
    <m/>
    <m/>
    <m/>
    <x v="0"/>
    <m/>
    <n v="10100000"/>
    <n v="778100"/>
    <n v="5106"/>
    <n v="118900"/>
    <n v="8.9317425742574258E-2"/>
    <n v="0"/>
    <s v=""/>
    <s v="Oui"/>
    <n v="38"/>
    <n v="49"/>
    <n v="14"/>
    <n v="52"/>
    <n v="85"/>
    <s v=""/>
    <s v=""/>
  </r>
  <r>
    <x v="0"/>
    <s v="@bts_official_bighit"/>
    <x v="1"/>
    <n v="0"/>
    <s v="mardi"/>
    <s v="Non"/>
    <n v="9"/>
    <s v="6-11 h"/>
    <n v="18"/>
    <x v="3"/>
    <s v="Oui"/>
    <n v="2"/>
    <s v="Non"/>
    <n v="13"/>
    <s v="Non"/>
    <s v="Non"/>
    <s v="Non"/>
    <m/>
    <m/>
    <m/>
    <x v="0"/>
    <m/>
    <n v="9700000"/>
    <n v="3600000"/>
    <n v="212900"/>
    <n v="109500"/>
    <n v="0.40437113402061858"/>
    <n v="1"/>
    <s v=""/>
    <s v="Oui"/>
    <n v="100"/>
    <n v="48"/>
    <n v="85"/>
    <n v="43"/>
    <n v="49"/>
    <s v=""/>
    <s v=""/>
  </r>
  <r>
    <x v="0"/>
    <s v="Créateur 070"/>
    <x v="0"/>
    <n v="6"/>
    <s v="mercredi"/>
    <s v="Non"/>
    <n v="23"/>
    <s v="18-23 h"/>
    <n v="15"/>
    <x v="0"/>
    <s v="Non"/>
    <n v="0"/>
    <s v="Non"/>
    <n v="0"/>
    <s v="Oui"/>
    <s v="Non"/>
    <s v="Non"/>
    <m/>
    <m/>
    <m/>
    <x v="0"/>
    <m/>
    <n v="9300000"/>
    <n v="1600000"/>
    <n v="23400"/>
    <n v="229200"/>
    <n v="0.19920430107526882"/>
    <n v="1"/>
    <s v=""/>
    <s v="Oui"/>
    <n v="92"/>
    <n v="47"/>
    <n v="78"/>
    <n v="19"/>
    <n v="16"/>
    <s v=""/>
    <s v=""/>
  </r>
  <r>
    <x v="0"/>
    <s v="Créateur 072"/>
    <x v="2"/>
    <n v="76"/>
    <s v="mercredi"/>
    <s v="Non"/>
    <n v="22"/>
    <s v="18-23 h"/>
    <n v="14"/>
    <x v="0"/>
    <s v="Non"/>
    <n v="5"/>
    <s v="Oui"/>
    <n v="55"/>
    <s v="Non"/>
    <s v="Non"/>
    <s v="Non"/>
    <m/>
    <m/>
    <m/>
    <x v="0"/>
    <m/>
    <n v="8100000"/>
    <n v="818300"/>
    <n v="22600"/>
    <n v="64000"/>
    <n v="0.11171604938271605"/>
    <n v="0"/>
    <s v=""/>
    <s v="Oui"/>
    <n v="54"/>
    <n v="46"/>
    <n v="70.5"/>
    <n v="70"/>
    <n v="92"/>
    <s v=""/>
    <s v=""/>
  </r>
  <r>
    <x v="0"/>
    <s v="Créateur 059"/>
    <x v="4"/>
    <n v="6"/>
    <s v="mercredi"/>
    <s v="Non"/>
    <n v="12"/>
    <s v="12-17 h"/>
    <n v="15"/>
    <x v="0"/>
    <s v="Non"/>
    <n v="3"/>
    <s v="Non"/>
    <n v="23"/>
    <s v="Non"/>
    <s v="Non"/>
    <s v="Non"/>
    <m/>
    <m/>
    <m/>
    <x v="0"/>
    <m/>
    <n v="8000000"/>
    <n v="800700"/>
    <n v="23800"/>
    <n v="100700"/>
    <n v="0.11565"/>
    <n v="0"/>
    <s v=""/>
    <s v="Oui"/>
    <n v="58"/>
    <n v="45"/>
    <n v="78"/>
    <n v="52"/>
    <n v="64"/>
    <s v=""/>
    <s v=""/>
  </r>
  <r>
    <x v="0"/>
    <s v="Créateur 217"/>
    <x v="4"/>
    <n v="9"/>
    <s v="dimanche"/>
    <s v="Oui"/>
    <n v="3"/>
    <s v="0-5 h"/>
    <n v="7"/>
    <x v="2"/>
    <s v="Non"/>
    <n v="3"/>
    <s v="Oui"/>
    <n v="19"/>
    <s v="Non"/>
    <s v="Non"/>
    <s v="Non"/>
    <m/>
    <m/>
    <m/>
    <x v="0"/>
    <m/>
    <n v="7700000"/>
    <n v="944600"/>
    <n v="6370"/>
    <n v="41600"/>
    <n v="0.1289051948051948"/>
    <n v="0"/>
    <s v=""/>
    <s v="Oui"/>
    <n v="67"/>
    <n v="44"/>
    <n v="3"/>
    <n v="52"/>
    <n v="56.5"/>
    <s v=""/>
    <s v=""/>
  </r>
  <r>
    <x v="0"/>
    <s v="Créateur 200"/>
    <x v="2"/>
    <n v="7"/>
    <s v="mardi"/>
    <s v="Non"/>
    <n v="21"/>
    <s v="18-23 h"/>
    <n v="16"/>
    <x v="3"/>
    <s v="Oui"/>
    <n v="14"/>
    <s v="Oui"/>
    <n v="20"/>
    <s v="Non"/>
    <s v="Oui"/>
    <s v="Non"/>
    <m/>
    <m/>
    <m/>
    <x v="0"/>
    <m/>
    <n v="6700000"/>
    <n v="215800"/>
    <n v="5923"/>
    <n v="45800"/>
    <n v="3.992880597014925E-2"/>
    <n v="0"/>
    <s v=""/>
    <s v="Oui"/>
    <n v="6"/>
    <n v="43"/>
    <n v="84"/>
    <n v="99"/>
    <n v="59"/>
    <s v=""/>
    <s v=""/>
  </r>
  <r>
    <x v="0"/>
    <s v="Créateur 211"/>
    <x v="3"/>
    <n v="32"/>
    <s v="vendredi"/>
    <s v="Non"/>
    <n v="1"/>
    <s v="0-5 h"/>
    <n v="66"/>
    <x v="4"/>
    <s v="Oui"/>
    <n v="12"/>
    <s v="Oui"/>
    <n v="35"/>
    <s v="Non"/>
    <s v="Non"/>
    <s v="Oui"/>
    <m/>
    <m/>
    <m/>
    <x v="0"/>
    <m/>
    <n v="6200000"/>
    <n v="1000000"/>
    <n v="15300"/>
    <n v="36400"/>
    <n v="0.16962903225806453"/>
    <n v="1"/>
    <s v=""/>
    <s v="Oui"/>
    <n v="82"/>
    <n v="42"/>
    <n v="99"/>
    <n v="98"/>
    <n v="78"/>
    <s v=""/>
    <s v=""/>
  </r>
  <r>
    <x v="0"/>
    <s v="Créateur 216"/>
    <x v="2"/>
    <n v="53"/>
    <s v="vendredi"/>
    <s v="Non"/>
    <n v="1"/>
    <s v="0-5 h"/>
    <n v="8"/>
    <x v="2"/>
    <s v="Non"/>
    <n v="4"/>
    <s v="Oui"/>
    <n v="0"/>
    <s v="Non"/>
    <s v="Non"/>
    <s v="Non"/>
    <m/>
    <m/>
    <m/>
    <x v="0"/>
    <m/>
    <n v="6100000"/>
    <n v="247500"/>
    <n v="1524"/>
    <n v="80600"/>
    <n v="5.4036721311475411E-2"/>
    <n v="0"/>
    <s v=""/>
    <s v="Oui"/>
    <n v="14"/>
    <n v="41"/>
    <n v="14"/>
    <n v="62"/>
    <n v="16"/>
    <s v=""/>
    <s v=""/>
  </r>
  <r>
    <x v="0"/>
    <s v="Créateur 101"/>
    <x v="4"/>
    <n v="25"/>
    <s v="vendredi"/>
    <s v="Non"/>
    <n v="16"/>
    <s v="12-17 h"/>
    <n v="8"/>
    <x v="2"/>
    <s v="Non"/>
    <n v="5"/>
    <s v="Non"/>
    <n v="0"/>
    <s v="Non"/>
    <s v="Non"/>
    <s v="Non"/>
    <m/>
    <m/>
    <m/>
    <x v="0"/>
    <m/>
    <n v="5700000"/>
    <n v="310300"/>
    <n v="3955"/>
    <n v="112500"/>
    <n v="7.486929824561403E-2"/>
    <n v="0"/>
    <s v=""/>
    <s v="Oui"/>
    <n v="24"/>
    <n v="40"/>
    <n v="14"/>
    <n v="70"/>
    <n v="16"/>
    <s v=""/>
    <s v=""/>
  </r>
  <r>
    <x v="0"/>
    <s v="Créateur 221"/>
    <x v="0"/>
    <n v="11"/>
    <s v="vendredi"/>
    <s v="Non"/>
    <n v="23"/>
    <s v="18-23 h"/>
    <n v="14"/>
    <x v="0"/>
    <s v="Non"/>
    <n v="1"/>
    <s v="Non"/>
    <n v="0"/>
    <s v="Non"/>
    <s v="Non"/>
    <s v="Non"/>
    <m/>
    <m/>
    <m/>
    <x v="0"/>
    <m/>
    <n v="5600000"/>
    <n v="228000"/>
    <n v="0"/>
    <n v="9693"/>
    <n v="4.2445178571428571E-2"/>
    <n v="0"/>
    <s v=""/>
    <s v="Oui"/>
    <n v="8"/>
    <n v="39"/>
    <n v="70.5"/>
    <n v="39"/>
    <n v="16"/>
    <s v=""/>
    <s v=""/>
  </r>
  <r>
    <x v="0"/>
    <s v="Créateur 210"/>
    <x v="0"/>
    <n v="19"/>
    <s v="jeudi"/>
    <s v="Non"/>
    <n v="17"/>
    <s v="12-17 h"/>
    <n v="15"/>
    <x v="0"/>
    <s v="Non"/>
    <n v="0"/>
    <s v="Non"/>
    <n v="63"/>
    <s v="Non"/>
    <s v="Non"/>
    <s v="Non"/>
    <m/>
    <m/>
    <m/>
    <x v="0"/>
    <m/>
    <n v="5500000"/>
    <n v="55900"/>
    <n v="8431"/>
    <n v="15800"/>
    <n v="1.4569272727272728E-2"/>
    <n v="0"/>
    <s v=""/>
    <s v="Oui"/>
    <n v="2"/>
    <n v="37.5"/>
    <n v="78"/>
    <n v="19"/>
    <n v="96.5"/>
    <s v=""/>
    <s v=""/>
  </r>
  <r>
    <x v="0"/>
    <s v="Créateur 227"/>
    <x v="0"/>
    <n v="24"/>
    <s v="samedi"/>
    <s v="Oui"/>
    <n v="4"/>
    <s v="0-5 h"/>
    <n v="13"/>
    <x v="0"/>
    <s v="Non"/>
    <n v="8"/>
    <s v="Oui"/>
    <n v="57"/>
    <s v="Non"/>
    <s v="Non"/>
    <s v="Non"/>
    <m/>
    <m/>
    <m/>
    <x v="0"/>
    <m/>
    <n v="5500000"/>
    <n v="283100"/>
    <n v="6966"/>
    <n v="7464"/>
    <n v="5.4096363636363637E-2"/>
    <n v="0"/>
    <s v=""/>
    <s v="Oui"/>
    <n v="15"/>
    <n v="37.5"/>
    <n v="64.5"/>
    <n v="86"/>
    <n v="93"/>
    <s v=""/>
    <s v=""/>
  </r>
  <r>
    <x v="0"/>
    <s v="Créateur 153"/>
    <x v="0"/>
    <n v="7"/>
    <s v="mardi"/>
    <s v="Non"/>
    <n v="16"/>
    <s v="12-17 h"/>
    <n v="10"/>
    <x v="2"/>
    <s v="Non"/>
    <n v="0"/>
    <s v="Non"/>
    <n v="0"/>
    <s v="Non"/>
    <s v="Oui"/>
    <s v="Non"/>
    <m/>
    <m/>
    <m/>
    <x v="0"/>
    <m/>
    <n v="5300000"/>
    <n v="926100"/>
    <n v="9661"/>
    <n v="5052"/>
    <n v="0.17751188679245283"/>
    <n v="1"/>
    <s v=""/>
    <s v="Oui"/>
    <n v="85"/>
    <n v="36"/>
    <n v="38"/>
    <n v="19"/>
    <n v="16"/>
    <s v=""/>
    <s v=""/>
  </r>
  <r>
    <x v="0"/>
    <s v="Créateur 032"/>
    <x v="1"/>
    <n v="14"/>
    <s v="mardi"/>
    <s v="Non"/>
    <n v="1"/>
    <s v="0-5 h"/>
    <n v="58"/>
    <x v="1"/>
    <s v="Oui"/>
    <n v="9"/>
    <s v="Oui"/>
    <n v="54"/>
    <s v="Non"/>
    <s v="Non"/>
    <s v="Non"/>
    <m/>
    <m/>
    <m/>
    <x v="0"/>
    <m/>
    <n v="4800000"/>
    <n v="270600"/>
    <n v="1114"/>
    <n v="79000"/>
    <n v="7.306541666666666E-2"/>
    <n v="0"/>
    <s v=""/>
    <s v="Oui"/>
    <n v="23"/>
    <n v="34"/>
    <n v="97.5"/>
    <n v="90.5"/>
    <n v="91"/>
    <s v=""/>
    <s v=""/>
  </r>
  <r>
    <x v="0"/>
    <s v="Créateur 120"/>
    <x v="1"/>
    <n v="15"/>
    <s v="lundi"/>
    <s v="Non"/>
    <n v="22"/>
    <s v="18-23 h"/>
    <n v="43"/>
    <x v="1"/>
    <s v="Oui"/>
    <n v="3"/>
    <s v="Oui"/>
    <n v="23"/>
    <s v="Non"/>
    <s v="Non"/>
    <s v="Non"/>
    <m/>
    <m/>
    <m/>
    <x v="0"/>
    <m/>
    <n v="4800000"/>
    <n v="769700"/>
    <n v="1809"/>
    <n v="3881"/>
    <n v="0.16153958333333332"/>
    <n v="1"/>
    <s v=""/>
    <s v="Oui"/>
    <n v="77"/>
    <n v="34"/>
    <n v="94"/>
    <n v="52"/>
    <n v="64"/>
    <s v=""/>
    <s v=""/>
  </r>
  <r>
    <x v="0"/>
    <s v="Créateur 131"/>
    <x v="0"/>
    <n v="38"/>
    <s v="samedi"/>
    <s v="Oui"/>
    <n v="10"/>
    <s v="6-11 h"/>
    <n v="10"/>
    <x v="2"/>
    <s v="Non"/>
    <n v="0"/>
    <s v="Non"/>
    <n v="38"/>
    <s v="Non"/>
    <s v="Non"/>
    <s v="Non"/>
    <m/>
    <m/>
    <m/>
    <x v="0"/>
    <m/>
    <n v="4800000"/>
    <n v="502900"/>
    <n v="2617"/>
    <n v="1480"/>
    <n v="0.10562437500000001"/>
    <n v="0"/>
    <s v=""/>
    <s v="Oui"/>
    <n v="50"/>
    <n v="34"/>
    <n v="38"/>
    <n v="19"/>
    <n v="81.5"/>
    <s v=""/>
    <s v=""/>
  </r>
  <r>
    <x v="0"/>
    <s v="Créateur 148"/>
    <x v="3"/>
    <n v="40"/>
    <s v="jeudi"/>
    <s v="Non"/>
    <n v="12"/>
    <s v="12-17 h"/>
    <n v="56"/>
    <x v="1"/>
    <s v="Oui"/>
    <n v="10"/>
    <s v="Oui"/>
    <n v="17"/>
    <s v="Non"/>
    <s v="Non"/>
    <s v="Oui"/>
    <m/>
    <m/>
    <m/>
    <x v="0"/>
    <m/>
    <n v="4200000"/>
    <n v="265100"/>
    <n v="3599"/>
    <n v="72400"/>
    <n v="8.1214047619047616E-2"/>
    <n v="0"/>
    <s v=""/>
    <s v="Oui"/>
    <n v="35"/>
    <n v="32"/>
    <n v="96"/>
    <n v="93.5"/>
    <n v="54"/>
    <s v=""/>
    <s v=""/>
  </r>
  <r>
    <x v="0"/>
    <s v="Créateur 026"/>
    <x v="4"/>
    <n v="64"/>
    <s v="lundi"/>
    <s v="Non"/>
    <n v="22"/>
    <s v="18-23 h"/>
    <n v="83"/>
    <x v="4"/>
    <s v="Oui"/>
    <n v="7"/>
    <s v="Oui"/>
    <n v="28"/>
    <s v="Non"/>
    <s v="Non"/>
    <s v="Oui"/>
    <m/>
    <m/>
    <m/>
    <x v="0"/>
    <m/>
    <n v="4100000"/>
    <n v="364100"/>
    <n v="12300"/>
    <n v="96600"/>
    <n v="0.11536585365853659"/>
    <n v="0"/>
    <s v=""/>
    <s v="Oui"/>
    <n v="57"/>
    <n v="31"/>
    <n v="100"/>
    <n v="80"/>
    <n v="70"/>
    <s v=""/>
    <s v=""/>
  </r>
  <r>
    <x v="0"/>
    <s v="Créateur 020"/>
    <x v="4"/>
    <n v="49"/>
    <s v="mardi"/>
    <s v="Non"/>
    <n v="8"/>
    <s v="6-11 h"/>
    <n v="11"/>
    <x v="0"/>
    <s v="Non"/>
    <n v="5"/>
    <s v="Oui"/>
    <n v="52"/>
    <s v="Non"/>
    <s v="Non"/>
    <s v="Oui"/>
    <m/>
    <m/>
    <m/>
    <x v="0"/>
    <m/>
    <n v="4000000"/>
    <n v="399100"/>
    <n v="4824"/>
    <n v="45200"/>
    <n v="0.11228100000000001"/>
    <n v="0"/>
    <s v=""/>
    <s v="Oui"/>
    <n v="55"/>
    <n v="30"/>
    <n v="47"/>
    <n v="70"/>
    <n v="90"/>
    <s v=""/>
    <s v=""/>
  </r>
  <r>
    <x v="0"/>
    <s v="Créateur 134"/>
    <x v="4"/>
    <n v="8"/>
    <s v="lundi"/>
    <s v="Non"/>
    <n v="17"/>
    <s v="12-17 h"/>
    <n v="29"/>
    <x v="3"/>
    <s v="Oui"/>
    <n v="8"/>
    <s v="Oui"/>
    <n v="46"/>
    <s v="Non"/>
    <s v="Oui"/>
    <s v="Oui"/>
    <m/>
    <m/>
    <m/>
    <x v="0"/>
    <m/>
    <n v="3700000"/>
    <n v="531700"/>
    <n v="8147"/>
    <n v="73800"/>
    <n v="0.16585054054054055"/>
    <n v="1"/>
    <s v=""/>
    <s v="Oui"/>
    <n v="80"/>
    <n v="29"/>
    <n v="92"/>
    <n v="86"/>
    <n v="88"/>
    <s v=""/>
    <s v=""/>
  </r>
  <r>
    <x v="0"/>
    <s v="Créateur 214"/>
    <x v="4"/>
    <n v="25"/>
    <s v="vendredi"/>
    <s v="Non"/>
    <n v="18"/>
    <s v="18-23 h"/>
    <n v="10"/>
    <x v="2"/>
    <s v="Non"/>
    <n v="7"/>
    <s v="Oui"/>
    <n v="24"/>
    <s v="Non"/>
    <s v="Non"/>
    <s v="Non"/>
    <m/>
    <m/>
    <m/>
    <x v="0"/>
    <m/>
    <n v="3500000"/>
    <n v="314600"/>
    <n v="4375"/>
    <n v="19400"/>
    <n v="9.6678571428571433E-2"/>
    <n v="0"/>
    <s v=""/>
    <s v="Oui"/>
    <n v="41"/>
    <n v="28"/>
    <n v="38"/>
    <n v="80"/>
    <n v="66.5"/>
    <s v=""/>
    <s v=""/>
  </r>
  <r>
    <x v="0"/>
    <s v="Créateur 014"/>
    <x v="3"/>
    <n v="19"/>
    <s v="jeudi"/>
    <s v="Non"/>
    <n v="0"/>
    <s v="0-5 h"/>
    <n v="15"/>
    <x v="0"/>
    <s v="Non"/>
    <n v="0"/>
    <s v="Non"/>
    <n v="44"/>
    <s v="Non"/>
    <s v="Non"/>
    <s v="Non"/>
    <m/>
    <m/>
    <m/>
    <x v="0"/>
    <m/>
    <n v="3400000"/>
    <n v="320400"/>
    <n v="2289"/>
    <n v="870"/>
    <n v="9.5164411764705886E-2"/>
    <n v="0"/>
    <s v=""/>
    <s v="Oui"/>
    <n v="40"/>
    <n v="26.5"/>
    <n v="78"/>
    <n v="19"/>
    <n v="87"/>
    <s v=""/>
    <s v=""/>
  </r>
  <r>
    <x v="0"/>
    <s v="Créateur 010"/>
    <x v="0"/>
    <n v="41"/>
    <s v="mercredi"/>
    <s v="Non"/>
    <n v="21"/>
    <s v="18-23 h"/>
    <n v="15"/>
    <x v="0"/>
    <s v="Non"/>
    <n v="4"/>
    <s v="Oui"/>
    <n v="25"/>
    <s v="Non"/>
    <s v="Non"/>
    <s v="Non"/>
    <m/>
    <m/>
    <m/>
    <x v="0"/>
    <m/>
    <n v="3400000"/>
    <n v="66300"/>
    <n v="2219"/>
    <n v="24900"/>
    <n v="2.7476176470588237E-2"/>
    <n v="0"/>
    <s v=""/>
    <s v="Oui"/>
    <n v="3"/>
    <n v="26.5"/>
    <n v="78"/>
    <n v="62"/>
    <n v="68"/>
    <s v=""/>
    <s v=""/>
  </r>
  <r>
    <x v="0"/>
    <s v="Créateur 088"/>
    <x v="1"/>
    <n v="4"/>
    <s v="vendredi"/>
    <s v="Non"/>
    <n v="23"/>
    <s v="18-23 h"/>
    <n v="9"/>
    <x v="2"/>
    <s v="Non"/>
    <n v="8"/>
    <s v="Oui"/>
    <n v="34"/>
    <s v="Non"/>
    <s v="Non"/>
    <s v="Non"/>
    <m/>
    <m/>
    <m/>
    <x v="0"/>
    <m/>
    <n v="3300000"/>
    <n v="492600"/>
    <n v="5326"/>
    <n v="10000"/>
    <n v="0.15391696969696969"/>
    <n v="0"/>
    <s v=""/>
    <s v="Oui"/>
    <n v="74"/>
    <n v="25"/>
    <n v="28"/>
    <n v="86"/>
    <n v="75.5"/>
    <s v=""/>
    <s v=""/>
  </r>
  <r>
    <x v="0"/>
    <s v="Créateur 085"/>
    <x v="4"/>
    <n v="8"/>
    <s v="lundi"/>
    <s v="Non"/>
    <n v="20"/>
    <s v="18-23 h"/>
    <n v="9"/>
    <x v="2"/>
    <s v="Non"/>
    <n v="4"/>
    <s v="Non"/>
    <n v="8"/>
    <s v="Non"/>
    <s v="Oui"/>
    <s v="Oui"/>
    <m/>
    <m/>
    <m/>
    <x v="0"/>
    <m/>
    <n v="3200000"/>
    <n v="288400"/>
    <n v="5609"/>
    <n v="31600"/>
    <n v="0.1017528125"/>
    <n v="0"/>
    <s v=""/>
    <s v="Oui"/>
    <n v="47"/>
    <n v="24"/>
    <n v="28"/>
    <n v="62"/>
    <n v="44"/>
    <s v=""/>
    <s v=""/>
  </r>
  <r>
    <x v="0"/>
    <s v="Créateur 124"/>
    <x v="2"/>
    <n v="51"/>
    <s v="dimanche"/>
    <s v="Oui"/>
    <n v="11"/>
    <s v="6-11 h"/>
    <n v="9"/>
    <x v="2"/>
    <s v="Non"/>
    <n v="0"/>
    <s v="Non"/>
    <n v="9"/>
    <s v="Non"/>
    <s v="Non"/>
    <s v="Non"/>
    <m/>
    <m/>
    <m/>
    <x v="0"/>
    <m/>
    <n v="3100000"/>
    <n v="316500"/>
    <n v="5038"/>
    <n v="896"/>
    <n v="0.10401096774193548"/>
    <n v="0"/>
    <s v=""/>
    <s v="Oui"/>
    <n v="49"/>
    <n v="22"/>
    <n v="28"/>
    <n v="19"/>
    <n v="45.5"/>
    <s v=""/>
    <s v=""/>
  </r>
  <r>
    <x v="0"/>
    <s v="Créateur 104"/>
    <x v="4"/>
    <n v="63"/>
    <s v="mardi"/>
    <s v="Non"/>
    <n v="13"/>
    <s v="12-17 h"/>
    <n v="13"/>
    <x v="0"/>
    <s v="Non"/>
    <n v="5"/>
    <s v="Oui"/>
    <n v="0"/>
    <s v="Non"/>
    <s v="Non"/>
    <s v="Non"/>
    <m/>
    <m/>
    <m/>
    <x v="0"/>
    <m/>
    <n v="3100000"/>
    <n v="547100"/>
    <n v="8800"/>
    <n v="22200"/>
    <n v="0.18648387096774194"/>
    <n v="1"/>
    <s v=""/>
    <s v="Oui"/>
    <n v="88"/>
    <n v="22"/>
    <n v="64.5"/>
    <n v="70"/>
    <n v="16"/>
    <s v=""/>
    <s v=""/>
  </r>
  <r>
    <x v="0"/>
    <s v="Créateur 165"/>
    <x v="1"/>
    <n v="59"/>
    <s v="samedi"/>
    <s v="Oui"/>
    <n v="17"/>
    <s v="12-17 h"/>
    <n v="13"/>
    <x v="0"/>
    <s v="Non"/>
    <n v="2"/>
    <s v="Non"/>
    <n v="0"/>
    <s v="Non"/>
    <s v="Non"/>
    <s v="Non"/>
    <m/>
    <m/>
    <m/>
    <x v="0"/>
    <m/>
    <n v="3100000"/>
    <n v="121800"/>
    <n v="1662"/>
    <n v="42300"/>
    <n v="5.3471612903225808E-2"/>
    <n v="0"/>
    <s v=""/>
    <s v="Oui"/>
    <n v="13"/>
    <n v="22"/>
    <n v="64.5"/>
    <n v="43"/>
    <n v="16"/>
    <s v=""/>
    <s v=""/>
  </r>
  <r>
    <x v="0"/>
    <s v="Créateur 003"/>
    <x v="3"/>
    <n v="4"/>
    <s v="vendredi"/>
    <s v="Non"/>
    <n v="19"/>
    <s v="18-23 h"/>
    <n v="8"/>
    <x v="2"/>
    <s v="Non"/>
    <n v="4"/>
    <s v="Oui"/>
    <n v="21"/>
    <s v="Non"/>
    <s v="Non"/>
    <s v="Non"/>
    <m/>
    <m/>
    <m/>
    <x v="0"/>
    <m/>
    <n v="3000000"/>
    <n v="217700"/>
    <n v="6076"/>
    <n v="26200"/>
    <n v="8.3325333333333335E-2"/>
    <n v="0"/>
    <s v=""/>
    <s v="Oui"/>
    <n v="36"/>
    <n v="20"/>
    <n v="14"/>
    <n v="62"/>
    <n v="61.5"/>
    <s v=""/>
    <s v=""/>
  </r>
  <r>
    <x v="0"/>
    <s v="Créateur 131"/>
    <x v="0"/>
    <n v="24"/>
    <s v="samedi"/>
    <s v="Oui"/>
    <n v="17"/>
    <s v="12-17 h"/>
    <n v="8"/>
    <x v="2"/>
    <s v="Non"/>
    <n v="0"/>
    <s v="Non"/>
    <n v="20"/>
    <s v="Non"/>
    <s v="Non"/>
    <s v="Oui"/>
    <m/>
    <m/>
    <m/>
    <x v="0"/>
    <m/>
    <n v="2900000"/>
    <n v="342000"/>
    <n v="21500"/>
    <n v="1687"/>
    <n v="0.12592655172413794"/>
    <n v="0"/>
    <s v=""/>
    <s v="Oui"/>
    <n v="63"/>
    <n v="19"/>
    <n v="14"/>
    <n v="19"/>
    <n v="59"/>
    <s v=""/>
    <s v=""/>
  </r>
  <r>
    <x v="0"/>
    <s v="Créateur 122"/>
    <x v="0"/>
    <n v="0"/>
    <s v="mardi"/>
    <s v="Non"/>
    <n v="1"/>
    <s v="0-5 h"/>
    <n v="8"/>
    <x v="2"/>
    <s v="Non"/>
    <n v="3"/>
    <s v="Oui"/>
    <n v="29"/>
    <s v="Non"/>
    <s v="Non"/>
    <s v="Non"/>
    <m/>
    <m/>
    <m/>
    <x v="0"/>
    <m/>
    <n v="2800000"/>
    <n v="250500"/>
    <n v="1781"/>
    <n v="4295"/>
    <n v="9.163428571428571E-2"/>
    <n v="0"/>
    <s v=""/>
    <s v="Oui"/>
    <n v="39"/>
    <n v="18"/>
    <n v="14"/>
    <n v="52"/>
    <n v="71"/>
    <s v=""/>
    <s v=""/>
  </r>
  <r>
    <x v="0"/>
    <s v="Créateur 139"/>
    <x v="3"/>
    <n v="3"/>
    <s v="samedi"/>
    <s v="Oui"/>
    <n v="2"/>
    <s v="0-5 h"/>
    <n v="11"/>
    <x v="0"/>
    <s v="Non"/>
    <n v="9"/>
    <s v="Oui"/>
    <n v="32"/>
    <s v="Non"/>
    <s v="Oui"/>
    <s v="Non"/>
    <m/>
    <m/>
    <m/>
    <x v="0"/>
    <m/>
    <n v="2400000"/>
    <n v="488800"/>
    <n v="4119"/>
    <n v="9253"/>
    <n v="0.20923833333333333"/>
    <n v="1"/>
    <s v=""/>
    <s v="Oui"/>
    <n v="93"/>
    <n v="16.5"/>
    <n v="47"/>
    <n v="90.5"/>
    <n v="73"/>
    <s v=""/>
    <s v=""/>
  </r>
  <r>
    <x v="0"/>
    <s v="Créateur 042"/>
    <x v="2"/>
    <n v="60"/>
    <s v="vendredi"/>
    <s v="Non"/>
    <n v="3"/>
    <s v="0-5 h"/>
    <n v="11"/>
    <x v="0"/>
    <s v="Non"/>
    <n v="0"/>
    <s v="Non"/>
    <n v="4"/>
    <s v="Non"/>
    <s v="Non"/>
    <s v="Non"/>
    <m/>
    <m/>
    <m/>
    <x v="0"/>
    <m/>
    <n v="2400000"/>
    <n v="475300"/>
    <n v="4790"/>
    <n v="34500"/>
    <n v="0.21441250000000001"/>
    <n v="1"/>
    <s v=""/>
    <s v="Oui"/>
    <n v="94"/>
    <n v="16.5"/>
    <n v="47"/>
    <n v="19"/>
    <n v="39"/>
    <s v=""/>
    <s v=""/>
  </r>
  <r>
    <x v="0"/>
    <s v="Créateur 107"/>
    <x v="1"/>
    <n v="15"/>
    <s v="lundi"/>
    <s v="Non"/>
    <n v="0"/>
    <s v="0-5 h"/>
    <n v="15"/>
    <x v="0"/>
    <s v="Non"/>
    <n v="7"/>
    <s v="Oui"/>
    <n v="59"/>
    <s v="Non"/>
    <s v="Non"/>
    <s v="Oui"/>
    <m/>
    <m/>
    <m/>
    <x v="0"/>
    <m/>
    <n v="2300000"/>
    <n v="227100"/>
    <n v="9704"/>
    <n v="23200"/>
    <n v="0.11304521739130435"/>
    <n v="0"/>
    <s v=""/>
    <s v="Oui"/>
    <n v="56"/>
    <n v="15"/>
    <n v="78"/>
    <n v="80"/>
    <n v="94.5"/>
    <s v=""/>
    <s v=""/>
  </r>
  <r>
    <x v="0"/>
    <s v="Créateur 022"/>
    <x v="0"/>
    <n v="50"/>
    <s v="lundi"/>
    <s v="Non"/>
    <n v="20"/>
    <s v="18-23 h"/>
    <n v="15"/>
    <x v="0"/>
    <s v="Non"/>
    <n v="0"/>
    <s v="Non"/>
    <n v="0"/>
    <s v="Oui"/>
    <s v="Non"/>
    <s v="Non"/>
    <m/>
    <m/>
    <m/>
    <x v="0"/>
    <m/>
    <n v="2200000"/>
    <n v="140700"/>
    <n v="3056"/>
    <n v="27600"/>
    <n v="7.7889090909090908E-2"/>
    <n v="0"/>
    <s v=""/>
    <s v="Oui"/>
    <n v="32"/>
    <n v="14"/>
    <n v="78"/>
    <n v="19"/>
    <n v="16"/>
    <s v=""/>
    <s v=""/>
  </r>
  <r>
    <x v="0"/>
    <s v="Créateur 065"/>
    <x v="0"/>
    <n v="2"/>
    <s v="dimanche"/>
    <s v="Oui"/>
    <n v="22"/>
    <s v="18-23 h"/>
    <n v="11"/>
    <x v="0"/>
    <s v="Non"/>
    <n v="0"/>
    <s v="Non"/>
    <n v="0"/>
    <s v="Oui"/>
    <s v="Non"/>
    <s v="Non"/>
    <m/>
    <m/>
    <m/>
    <x v="0"/>
    <m/>
    <n v="2100000"/>
    <n v="147300"/>
    <n v="1335"/>
    <n v="13000"/>
    <n v="7.6969047619047617E-2"/>
    <n v="0"/>
    <s v=""/>
    <s v="Oui"/>
    <n v="29"/>
    <n v="13"/>
    <n v="47"/>
    <n v="19"/>
    <n v="16"/>
    <s v=""/>
    <s v=""/>
  </r>
  <r>
    <x v="0"/>
    <s v="Créateur 041"/>
    <x v="4"/>
    <n v="21"/>
    <s v="mardi"/>
    <s v="Non"/>
    <n v="14"/>
    <s v="12-17 h"/>
    <n v="8"/>
    <x v="2"/>
    <s v="Non"/>
    <n v="7"/>
    <s v="Oui"/>
    <n v="0"/>
    <s v="Non"/>
    <s v="Non"/>
    <s v="Non"/>
    <m/>
    <m/>
    <m/>
    <x v="0"/>
    <m/>
    <n v="2000000"/>
    <n v="70700"/>
    <n v="1474"/>
    <n v="31300"/>
    <n v="5.1736999999999998E-2"/>
    <n v="0"/>
    <s v=""/>
    <s v="Oui"/>
    <n v="12"/>
    <n v="12"/>
    <n v="14"/>
    <n v="80"/>
    <n v="16"/>
    <s v=""/>
    <s v=""/>
  </r>
  <r>
    <x v="0"/>
    <s v="Créateur 131"/>
    <x v="0"/>
    <n v="30"/>
    <s v="dimanche"/>
    <s v="Oui"/>
    <n v="17"/>
    <s v="12-17 h"/>
    <n v="12"/>
    <x v="0"/>
    <s v="Non"/>
    <n v="0"/>
    <s v="Non"/>
    <n v="16"/>
    <s v="Non"/>
    <s v="Non"/>
    <s v="Non"/>
    <m/>
    <m/>
    <m/>
    <x v="0"/>
    <m/>
    <n v="1700000"/>
    <n v="182500"/>
    <n v="1155"/>
    <n v="865"/>
    <n v="0.10854117647058824"/>
    <n v="0"/>
    <s v=""/>
    <s v="Oui"/>
    <n v="52"/>
    <n v="11"/>
    <n v="56"/>
    <n v="19"/>
    <n v="52"/>
    <s v=""/>
    <s v=""/>
  </r>
  <r>
    <x v="0"/>
    <s v="Créateur 131"/>
    <x v="0"/>
    <n v="31"/>
    <s v="samedi"/>
    <s v="Oui"/>
    <n v="15"/>
    <s v="12-17 h"/>
    <n v="10"/>
    <x v="2"/>
    <s v="Non"/>
    <n v="0"/>
    <s v="Non"/>
    <n v="16"/>
    <s v="Non"/>
    <s v="Non"/>
    <s v="Non"/>
    <m/>
    <m/>
    <m/>
    <x v="0"/>
    <m/>
    <n v="1600000"/>
    <n v="155400"/>
    <n v="933"/>
    <n v="472"/>
    <n v="9.8003124999999996E-2"/>
    <n v="0"/>
    <s v=""/>
    <s v="Oui"/>
    <n v="42"/>
    <n v="10"/>
    <n v="38"/>
    <n v="19"/>
    <n v="52"/>
    <s v=""/>
    <s v=""/>
  </r>
  <r>
    <x v="0"/>
    <s v="Créateur 011"/>
    <x v="4"/>
    <n v="20"/>
    <s v="mercredi"/>
    <s v="Non"/>
    <n v="9"/>
    <s v="6-11 h"/>
    <n v="11"/>
    <x v="0"/>
    <s v="Non"/>
    <n v="3"/>
    <s v="Oui"/>
    <n v="0"/>
    <s v="Non"/>
    <s v="Non"/>
    <s v="Non"/>
    <m/>
    <m/>
    <m/>
    <x v="0"/>
    <m/>
    <n v="1300000"/>
    <n v="95000"/>
    <n v="1134"/>
    <n v="3150"/>
    <n v="7.6372307692307698E-2"/>
    <n v="0"/>
    <s v=""/>
    <s v="Oui"/>
    <n v="26"/>
    <n v="9"/>
    <n v="47"/>
    <n v="52"/>
    <n v="16"/>
    <s v=""/>
    <s v=""/>
  </r>
  <r>
    <x v="0"/>
    <s v="Créateur 071"/>
    <x v="4"/>
    <n v="5"/>
    <s v="jeudi"/>
    <s v="Non"/>
    <n v="20"/>
    <s v="18-23 h"/>
    <n v="10"/>
    <x v="2"/>
    <s v="Non"/>
    <n v="5"/>
    <s v="Oui"/>
    <n v="21"/>
    <s v="Non"/>
    <s v="Non"/>
    <s v="Oui"/>
    <m/>
    <m/>
    <m/>
    <x v="0"/>
    <m/>
    <n v="1200000"/>
    <n v="186200"/>
    <n v="2161"/>
    <n v="17200"/>
    <n v="0.17130083333333335"/>
    <n v="1"/>
    <s v=""/>
    <s v="Oui"/>
    <n v="84"/>
    <n v="7.5"/>
    <n v="38"/>
    <n v="70"/>
    <n v="61.5"/>
    <s v=""/>
    <s v=""/>
  </r>
  <r>
    <x v="0"/>
    <s v="Créateur 138"/>
    <x v="2"/>
    <n v="16"/>
    <s v="dimanche"/>
    <s v="Oui"/>
    <n v="6"/>
    <s v="6-11 h"/>
    <n v="8"/>
    <x v="2"/>
    <s v="Non"/>
    <n v="0"/>
    <s v="Non"/>
    <n v="4"/>
    <s v="Non"/>
    <s v="Non"/>
    <s v="Non"/>
    <m/>
    <m/>
    <m/>
    <x v="0"/>
    <m/>
    <n v="1200000"/>
    <n v="60900"/>
    <n v="1205"/>
    <n v="11900"/>
    <n v="6.1670833333333334E-2"/>
    <n v="0"/>
    <s v=""/>
    <s v="Oui"/>
    <n v="17"/>
    <n v="7.5"/>
    <n v="14"/>
    <n v="19"/>
    <n v="39"/>
    <s v=""/>
    <s v=""/>
  </r>
  <r>
    <x v="0"/>
    <s v="Créateur 153"/>
    <x v="0"/>
    <n v="84"/>
    <s v="mardi"/>
    <s v="Non"/>
    <n v="14"/>
    <s v="12-17 h"/>
    <n v="13"/>
    <x v="0"/>
    <s v="Non"/>
    <n v="0"/>
    <s v="Non"/>
    <n v="0"/>
    <s v="Oui"/>
    <s v="Non"/>
    <s v="Non"/>
    <m/>
    <m/>
    <m/>
    <x v="0"/>
    <m/>
    <n v="1000000"/>
    <n v="40000"/>
    <n v="341"/>
    <n v="323"/>
    <n v="4.0663999999999999E-2"/>
    <n v="0"/>
    <s v=""/>
    <s v="Oui"/>
    <n v="7"/>
    <n v="6"/>
    <n v="64.5"/>
    <n v="19"/>
    <n v="16"/>
    <s v=""/>
    <s v=""/>
  </r>
  <r>
    <x v="0"/>
    <s v="Créateur 135"/>
    <x v="2"/>
    <n v="2"/>
    <s v="dimanche"/>
    <s v="Oui"/>
    <n v="17"/>
    <s v="12-17 h"/>
    <n v="7"/>
    <x v="2"/>
    <s v="Non"/>
    <n v="11"/>
    <s v="Oui"/>
    <n v="0"/>
    <s v="Non"/>
    <s v="Non"/>
    <s v="Non"/>
    <m/>
    <m/>
    <m/>
    <x v="0"/>
    <m/>
    <n v="954700"/>
    <n v="42700"/>
    <n v="738"/>
    <n v="5468"/>
    <n v="5.1226563318319894E-2"/>
    <n v="0"/>
    <s v=""/>
    <s v="Oui"/>
    <n v="11"/>
    <n v="5"/>
    <n v="3"/>
    <n v="96"/>
    <n v="16"/>
    <s v=""/>
    <s v=""/>
  </r>
  <r>
    <x v="0"/>
    <s v="Créateur 153"/>
    <x v="0"/>
    <n v="3"/>
    <s v="samedi"/>
    <s v="Oui"/>
    <n v="19"/>
    <s v="18-23 h"/>
    <n v="11"/>
    <x v="0"/>
    <s v="Non"/>
    <n v="0"/>
    <s v="Non"/>
    <n v="1"/>
    <s v="Non"/>
    <s v="Non"/>
    <s v="Non"/>
    <m/>
    <m/>
    <m/>
    <x v="0"/>
    <m/>
    <n v="919800"/>
    <n v="115500"/>
    <n v="1136"/>
    <n v="249"/>
    <n v="0.12707653837790825"/>
    <n v="0"/>
    <s v=""/>
    <s v="Oui"/>
    <n v="64"/>
    <n v="4"/>
    <n v="47"/>
    <n v="19"/>
    <n v="33"/>
    <s v=""/>
    <s v=""/>
  </r>
  <r>
    <x v="0"/>
    <s v="Créateur 189"/>
    <x v="2"/>
    <n v="3"/>
    <s v="samedi"/>
    <s v="Oui"/>
    <n v="1"/>
    <s v="0-5 h"/>
    <n v="8"/>
    <x v="2"/>
    <s v="Non"/>
    <n v="2"/>
    <s v="Oui"/>
    <n v="3"/>
    <s v="Non"/>
    <s v="Non"/>
    <s v="Non"/>
    <m/>
    <m/>
    <m/>
    <x v="0"/>
    <m/>
    <n v="882800"/>
    <n v="60300"/>
    <n v="694"/>
    <n v="7656"/>
    <n v="7.7763932940643404E-2"/>
    <n v="0"/>
    <s v=""/>
    <s v="Oui"/>
    <n v="31"/>
    <n v="3"/>
    <n v="14"/>
    <n v="43"/>
    <n v="36.5"/>
    <s v=""/>
    <s v=""/>
  </r>
  <r>
    <x v="0"/>
    <s v="Créateur 210"/>
    <x v="0"/>
    <n v="0"/>
    <s v="mardi"/>
    <s v="Non"/>
    <n v="19"/>
    <s v="18-23 h"/>
    <n v="15"/>
    <x v="0"/>
    <s v="Non"/>
    <n v="0"/>
    <s v="Non"/>
    <n v="6"/>
    <s v="Non"/>
    <s v="Non"/>
    <s v="Non"/>
    <m/>
    <m/>
    <m/>
    <x v="0"/>
    <m/>
    <n v="342500"/>
    <n v="3438"/>
    <n v="489"/>
    <n v="484"/>
    <n v="1.2878832116788322E-2"/>
    <n v="0"/>
    <s v=""/>
    <s v="Oui"/>
    <n v="1"/>
    <n v="2"/>
    <n v="78"/>
    <n v="19"/>
    <n v="43"/>
    <s v=""/>
    <s v=""/>
  </r>
  <r>
    <x v="0"/>
    <s v="Créateur 090"/>
    <x v="4"/>
    <n v="58"/>
    <s v="dimanche"/>
    <s v="Oui"/>
    <n v="2"/>
    <s v="0-5 h"/>
    <n v="7"/>
    <x v="2"/>
    <s v="Non"/>
    <n v="6"/>
    <s v="Oui"/>
    <n v="18"/>
    <s v="Non"/>
    <s v="Non"/>
    <s v="Non"/>
    <m/>
    <m/>
    <m/>
    <x v="0"/>
    <m/>
    <n v="291300"/>
    <n v="12200"/>
    <n v="220"/>
    <n v="5130"/>
    <n v="6.0247167868177139E-2"/>
    <n v="0"/>
    <s v=""/>
    <s v="Oui"/>
    <n v="16"/>
    <n v="1"/>
    <n v="3"/>
    <n v="75.5"/>
    <n v="55"/>
    <s v=""/>
    <s v=""/>
  </r>
  <r>
    <x v="1"/>
    <s v="@khaby.lame"/>
    <x v="2"/>
    <n v="91"/>
    <s v="samedi"/>
    <s v="Oui"/>
    <n v="14"/>
    <s v="12-17 h"/>
    <n v="11"/>
    <x v="0"/>
    <s v="Non"/>
    <n v="2"/>
    <s v="Non"/>
    <n v="27"/>
    <s v="Non"/>
    <s v="Oui"/>
    <s v="Non"/>
    <m/>
    <m/>
    <m/>
    <x v="0"/>
    <m/>
    <n v="181100000"/>
    <n v="23900000"/>
    <n v="274500"/>
    <n v="85800"/>
    <n v="0.13396079514080619"/>
    <n v="0"/>
    <s v=""/>
    <s v="Oui"/>
    <n v="30"/>
    <n v="100"/>
    <n v="18"/>
    <n v="61"/>
    <n v="43.5"/>
    <s v=""/>
    <s v=""/>
  </r>
  <r>
    <x v="1"/>
    <s v="Créateur 164"/>
    <x v="0"/>
    <n v="69"/>
    <s v="dimanche"/>
    <s v="Oui"/>
    <n v="0"/>
    <s v="0-5 h"/>
    <n v="10"/>
    <x v="2"/>
    <s v="Non"/>
    <n v="0"/>
    <s v="Non"/>
    <n v="37"/>
    <s v="Non"/>
    <s v="Non"/>
    <s v="Oui"/>
    <m/>
    <m/>
    <m/>
    <x v="0"/>
    <m/>
    <n v="141700000"/>
    <n v="21000000"/>
    <n v="186700"/>
    <n v="1900000"/>
    <n v="0.16292660550458715"/>
    <n v="0"/>
    <s v=""/>
    <s v="Oui"/>
    <n v="39"/>
    <n v="99"/>
    <n v="11"/>
    <n v="18.5"/>
    <n v="56"/>
    <s v=""/>
    <s v=""/>
  </r>
  <r>
    <x v="1"/>
    <s v="Créateur 043"/>
    <x v="0"/>
    <n v="14"/>
    <s v="samedi"/>
    <s v="Oui"/>
    <n v="5"/>
    <s v="0-5 h"/>
    <n v="14"/>
    <x v="0"/>
    <s v="Non"/>
    <n v="0"/>
    <s v="Non"/>
    <n v="63"/>
    <s v="Non"/>
    <s v="Oui"/>
    <s v="Non"/>
    <m/>
    <m/>
    <m/>
    <x v="0"/>
    <m/>
    <n v="107100000"/>
    <n v="16400000"/>
    <n v="126100"/>
    <n v="134600"/>
    <n v="0.15556209150326797"/>
    <n v="0"/>
    <s v=""/>
    <s v="Oui"/>
    <n v="35"/>
    <n v="98"/>
    <n v="31.5"/>
    <n v="18.5"/>
    <n v="80"/>
    <s v=""/>
    <s v=""/>
  </r>
  <r>
    <x v="1"/>
    <s v="Créateur 161"/>
    <x v="0"/>
    <n v="125"/>
    <s v="dimanche"/>
    <s v="Oui"/>
    <n v="2"/>
    <s v="0-5 h"/>
    <n v="11"/>
    <x v="0"/>
    <s v="Non"/>
    <n v="0"/>
    <s v="Non"/>
    <n v="15"/>
    <s v="Non"/>
    <s v="Non"/>
    <s v="Non"/>
    <m/>
    <m/>
    <m/>
    <x v="0"/>
    <m/>
    <n v="91500000"/>
    <n v="16000000"/>
    <n v="134400"/>
    <n v="248300"/>
    <n v="0.17904590163934425"/>
    <n v="0"/>
    <s v=""/>
    <s v="Oui"/>
    <n v="49"/>
    <n v="97"/>
    <n v="18"/>
    <n v="18.5"/>
    <n v="22.5"/>
    <s v=""/>
    <s v=""/>
  </r>
  <r>
    <x v="1"/>
    <s v="Créateur 075"/>
    <x v="0"/>
    <n v="18"/>
    <s v="mardi"/>
    <s v="Non"/>
    <n v="23"/>
    <s v="18-23 h"/>
    <n v="11"/>
    <x v="0"/>
    <s v="Non"/>
    <n v="0"/>
    <s v="Non"/>
    <n v="39"/>
    <s v="Non"/>
    <s v="Non"/>
    <s v="Non"/>
    <m/>
    <m/>
    <m/>
    <x v="0"/>
    <m/>
    <n v="67300000"/>
    <n v="15100000"/>
    <n v="136800"/>
    <n v="326100"/>
    <n v="0.23124665676077266"/>
    <n v="0"/>
    <s v=""/>
    <s v="Oui"/>
    <n v="70"/>
    <n v="96"/>
    <n v="18"/>
    <n v="18.5"/>
    <n v="58"/>
    <s v=""/>
    <s v=""/>
  </r>
  <r>
    <x v="1"/>
    <s v="Créateur 006"/>
    <x v="0"/>
    <n v="95"/>
    <s v="mardi"/>
    <s v="Non"/>
    <n v="6"/>
    <s v="6-11 h"/>
    <n v="18"/>
    <x v="3"/>
    <s v="Oui"/>
    <n v="1"/>
    <s v="Non"/>
    <n v="0"/>
    <s v="Non"/>
    <s v="Non"/>
    <s v="Non"/>
    <m/>
    <m/>
    <m/>
    <x v="0"/>
    <m/>
    <n v="49500000"/>
    <n v="12500000"/>
    <n v="167500"/>
    <n v="265000"/>
    <n v="0.26126262626262625"/>
    <n v="1"/>
    <s v=""/>
    <s v="Oui"/>
    <n v="84"/>
    <n v="95"/>
    <n v="56"/>
    <n v="45.5"/>
    <n v="6"/>
    <s v=""/>
    <s v=""/>
  </r>
  <r>
    <x v="1"/>
    <s v="Créateur 114"/>
    <x v="0"/>
    <n v="74"/>
    <s v="mardi"/>
    <s v="Non"/>
    <n v="5"/>
    <s v="0-5 h"/>
    <n v="8"/>
    <x v="2"/>
    <s v="Non"/>
    <n v="1"/>
    <s v="Non"/>
    <n v="86"/>
    <s v="Non"/>
    <s v="Non"/>
    <s v="Non"/>
    <m/>
    <m/>
    <m/>
    <x v="0"/>
    <m/>
    <n v="41500000"/>
    <n v="8700000"/>
    <n v="69200"/>
    <n v="76200"/>
    <n v="0.21314216867469879"/>
    <n v="0"/>
    <s v=""/>
    <s v="Oui"/>
    <n v="62"/>
    <n v="94"/>
    <n v="3"/>
    <n v="45.5"/>
    <n v="88.5"/>
    <s v=""/>
    <s v=""/>
  </r>
  <r>
    <x v="1"/>
    <s v="@khaby.lame"/>
    <x v="2"/>
    <n v="11"/>
    <s v="mardi"/>
    <s v="Non"/>
    <n v="16"/>
    <s v="12-17 h"/>
    <n v="18"/>
    <x v="3"/>
    <s v="Oui"/>
    <n v="1"/>
    <s v="Non"/>
    <n v="125"/>
    <s v="Non"/>
    <s v="Non"/>
    <s v="Non"/>
    <m/>
    <m/>
    <m/>
    <x v="0"/>
    <m/>
    <n v="38900000"/>
    <n v="5500000"/>
    <n v="153700"/>
    <n v="19000"/>
    <n v="0.14582776349614396"/>
    <n v="0"/>
    <s v=""/>
    <s v="Oui"/>
    <n v="33"/>
    <n v="93"/>
    <n v="56"/>
    <n v="45.5"/>
    <n v="98"/>
    <s v=""/>
    <s v=""/>
  </r>
  <r>
    <x v="1"/>
    <s v="Créateur 027"/>
    <x v="0"/>
    <n v="61"/>
    <s v="lundi"/>
    <s v="Non"/>
    <n v="18"/>
    <s v="18-23 h"/>
    <n v="27"/>
    <x v="3"/>
    <s v="Oui"/>
    <n v="0"/>
    <s v="Non"/>
    <n v="0"/>
    <s v="Oui"/>
    <s v="Non"/>
    <s v="Non"/>
    <m/>
    <m/>
    <m/>
    <x v="0"/>
    <m/>
    <n v="33000000"/>
    <n v="6600000"/>
    <n v="152200"/>
    <n v="272500"/>
    <n v="0.21286969696969696"/>
    <n v="0"/>
    <s v=""/>
    <s v="Oui"/>
    <n v="61"/>
    <n v="92"/>
    <n v="70.5"/>
    <n v="18.5"/>
    <n v="6"/>
    <s v=""/>
    <s v=""/>
  </r>
  <r>
    <x v="1"/>
    <s v="Créateur 035"/>
    <x v="0"/>
    <n v="23"/>
    <s v="jeudi"/>
    <s v="Non"/>
    <n v="4"/>
    <s v="0-5 h"/>
    <n v="129"/>
    <x v="4"/>
    <s v="Oui"/>
    <n v="6"/>
    <s v="Oui"/>
    <n v="28"/>
    <s v="Non"/>
    <s v="Non"/>
    <s v="Non"/>
    <m/>
    <m/>
    <m/>
    <x v="0"/>
    <m/>
    <n v="29800000"/>
    <n v="5000000"/>
    <n v="31900"/>
    <n v="14700"/>
    <n v="0.1693489932885906"/>
    <n v="0"/>
    <s v=""/>
    <s v="Oui"/>
    <n v="45"/>
    <n v="91"/>
    <n v="99.5"/>
    <n v="94.5"/>
    <n v="45"/>
    <s v=""/>
    <s v=""/>
  </r>
  <r>
    <x v="1"/>
    <s v="Créateur 196"/>
    <x v="0"/>
    <n v="30"/>
    <s v="jeudi"/>
    <s v="Non"/>
    <n v="22"/>
    <s v="18-23 h"/>
    <n v="27"/>
    <x v="3"/>
    <s v="Oui"/>
    <n v="2"/>
    <s v="Non"/>
    <n v="50"/>
    <s v="Non"/>
    <s v="Non"/>
    <s v="Non"/>
    <m/>
    <m/>
    <m/>
    <x v="0"/>
    <m/>
    <n v="27800000"/>
    <n v="5000000"/>
    <n v="25000"/>
    <n v="21700"/>
    <n v="0.18153597122302159"/>
    <n v="0"/>
    <s v=""/>
    <s v="Oui"/>
    <n v="50"/>
    <n v="90"/>
    <n v="70.5"/>
    <n v="61"/>
    <n v="69"/>
    <s v=""/>
    <s v=""/>
  </r>
  <r>
    <x v="1"/>
    <s v="Créateur 152"/>
    <x v="3"/>
    <n v="6"/>
    <s v="dimanche"/>
    <s v="Oui"/>
    <n v="17"/>
    <s v="12-17 h"/>
    <n v="23"/>
    <x v="3"/>
    <s v="Oui"/>
    <n v="4"/>
    <s v="Oui"/>
    <n v="19"/>
    <s v="Non"/>
    <s v="Non"/>
    <s v="Non"/>
    <m/>
    <m/>
    <m/>
    <x v="0"/>
    <m/>
    <n v="27000000"/>
    <n v="6600000"/>
    <n v="58700"/>
    <n v="110800"/>
    <n v="0.25072222222222224"/>
    <n v="1"/>
    <s v=""/>
    <s v="Oui"/>
    <n v="79"/>
    <n v="89"/>
    <n v="62.5"/>
    <n v="84.5"/>
    <n v="29.5"/>
    <s v=""/>
    <s v=""/>
  </r>
  <r>
    <x v="1"/>
    <s v="Créateur 176"/>
    <x v="0"/>
    <n v="38"/>
    <s v="mercredi"/>
    <s v="Non"/>
    <n v="2"/>
    <s v="0-5 h"/>
    <n v="41"/>
    <x v="1"/>
    <s v="Oui"/>
    <n v="16"/>
    <s v="Non"/>
    <n v="9"/>
    <s v="Non"/>
    <s v="Non"/>
    <s v="Oui"/>
    <m/>
    <m/>
    <m/>
    <x v="0"/>
    <m/>
    <n v="26000000"/>
    <n v="3200000"/>
    <n v="40900"/>
    <n v="146900"/>
    <n v="0.1303"/>
    <n v="0"/>
    <s v=""/>
    <s v="Oui"/>
    <n v="28"/>
    <n v="88"/>
    <n v="80"/>
    <n v="100"/>
    <n v="17.5"/>
    <s v=""/>
    <s v=""/>
  </r>
  <r>
    <x v="1"/>
    <s v="Créateur 053"/>
    <x v="0"/>
    <n v="79"/>
    <s v="jeudi"/>
    <s v="Non"/>
    <n v="17"/>
    <s v="12-17 h"/>
    <n v="12"/>
    <x v="0"/>
    <s v="Non"/>
    <n v="1"/>
    <s v="Non"/>
    <n v="0"/>
    <s v="Non"/>
    <s v="Oui"/>
    <s v="Non"/>
    <m/>
    <m/>
    <m/>
    <x v="0"/>
    <m/>
    <n v="25900000"/>
    <n v="3500000"/>
    <n v="45000"/>
    <n v="28400"/>
    <n v="0.13796911196911196"/>
    <n v="0"/>
    <s v=""/>
    <s v="Oui"/>
    <n v="31"/>
    <n v="87"/>
    <n v="23"/>
    <n v="45.5"/>
    <n v="6"/>
    <s v=""/>
    <s v=""/>
  </r>
  <r>
    <x v="1"/>
    <s v="Créateur 185"/>
    <x v="1"/>
    <n v="89"/>
    <s v="lundi"/>
    <s v="Non"/>
    <n v="11"/>
    <s v="6-11 h"/>
    <n v="50"/>
    <x v="1"/>
    <s v="Oui"/>
    <n v="2"/>
    <s v="Non"/>
    <n v="51"/>
    <s v="Non"/>
    <s v="Oui"/>
    <s v="Non"/>
    <m/>
    <m/>
    <m/>
    <x v="0"/>
    <m/>
    <n v="25400000"/>
    <n v="2000000"/>
    <n v="44500"/>
    <n v="7653"/>
    <n v="8.0793425196850399E-2"/>
    <n v="0"/>
    <s v=""/>
    <s v="Oui"/>
    <n v="11"/>
    <n v="86"/>
    <n v="88.5"/>
    <n v="61"/>
    <n v="70.5"/>
    <s v=""/>
    <s v=""/>
  </r>
  <r>
    <x v="1"/>
    <s v="Créateur 141"/>
    <x v="2"/>
    <n v="99"/>
    <s v="vendredi"/>
    <s v="Non"/>
    <n v="19"/>
    <s v="18-23 h"/>
    <n v="58"/>
    <x v="1"/>
    <s v="Oui"/>
    <n v="6"/>
    <s v="Oui"/>
    <n v="51"/>
    <s v="Non"/>
    <s v="Oui"/>
    <s v="Oui"/>
    <m/>
    <m/>
    <m/>
    <x v="0"/>
    <m/>
    <n v="23000000"/>
    <n v="3600000"/>
    <n v="107800"/>
    <n v="99300"/>
    <n v="0.16552608695652174"/>
    <n v="0"/>
    <s v=""/>
    <s v="Oui"/>
    <n v="43"/>
    <n v="85"/>
    <n v="93.5"/>
    <n v="94.5"/>
    <n v="70.5"/>
    <s v=""/>
    <s v=""/>
  </r>
  <r>
    <x v="1"/>
    <s v="Créateur 044"/>
    <x v="0"/>
    <n v="135"/>
    <s v="jeudi"/>
    <s v="Non"/>
    <n v="19"/>
    <s v="18-23 h"/>
    <n v="9"/>
    <x v="2"/>
    <s v="Non"/>
    <n v="0"/>
    <s v="Non"/>
    <n v="60"/>
    <s v="Non"/>
    <s v="Non"/>
    <s v="Oui"/>
    <m/>
    <m/>
    <m/>
    <x v="0"/>
    <m/>
    <n v="22900000"/>
    <n v="5200000"/>
    <n v="96600"/>
    <n v="112600"/>
    <n v="0.23620960698689955"/>
    <n v="0"/>
    <s v=""/>
    <s v="Oui"/>
    <n v="71"/>
    <n v="84"/>
    <n v="6"/>
    <n v="18.5"/>
    <n v="78"/>
    <s v=""/>
    <s v=""/>
  </r>
  <r>
    <x v="1"/>
    <s v="Créateur 051"/>
    <x v="0"/>
    <n v="162"/>
    <s v="vendredi"/>
    <s v="Non"/>
    <n v="2"/>
    <s v="0-5 h"/>
    <n v="30"/>
    <x v="3"/>
    <s v="Oui"/>
    <n v="3"/>
    <s v="Non"/>
    <n v="23"/>
    <s v="Non"/>
    <s v="Non"/>
    <s v="Oui"/>
    <m/>
    <m/>
    <m/>
    <x v="0"/>
    <m/>
    <n v="21700000"/>
    <n v="3800000"/>
    <n v="100300"/>
    <n v="112500"/>
    <n v="0.1849216589861751"/>
    <n v="0"/>
    <s v=""/>
    <s v="Oui"/>
    <n v="51"/>
    <n v="83"/>
    <n v="73.5"/>
    <n v="74"/>
    <n v="35.5"/>
    <s v=""/>
    <s v=""/>
  </r>
  <r>
    <x v="1"/>
    <s v="Créateur 037"/>
    <x v="0"/>
    <n v="177"/>
    <s v="jeudi"/>
    <s v="Non"/>
    <n v="0"/>
    <s v="0-5 h"/>
    <n v="9"/>
    <x v="2"/>
    <s v="Non"/>
    <n v="0"/>
    <s v="Non"/>
    <n v="0"/>
    <s v="Oui"/>
    <s v="Non"/>
    <s v="Non"/>
    <m/>
    <m/>
    <m/>
    <x v="0"/>
    <m/>
    <n v="21500000"/>
    <n v="3600000"/>
    <n v="81300"/>
    <n v="334400"/>
    <n v="0.18677674418604651"/>
    <n v="0"/>
    <s v=""/>
    <s v="Oui"/>
    <n v="53"/>
    <n v="82"/>
    <n v="6"/>
    <n v="18.5"/>
    <n v="6"/>
    <s v=""/>
    <s v=""/>
  </r>
  <r>
    <x v="1"/>
    <s v="Créateur 015"/>
    <x v="0"/>
    <n v="160"/>
    <s v="dimanche"/>
    <s v="Oui"/>
    <n v="23"/>
    <s v="18-23 h"/>
    <n v="12"/>
    <x v="0"/>
    <s v="Non"/>
    <n v="3"/>
    <s v="Oui"/>
    <n v="27"/>
    <s v="Non"/>
    <s v="Non"/>
    <s v="Non"/>
    <m/>
    <m/>
    <m/>
    <x v="0"/>
    <m/>
    <n v="20600000"/>
    <n v="4700000"/>
    <n v="80400"/>
    <n v="186100"/>
    <n v="0.24109223300970875"/>
    <n v="0"/>
    <s v=""/>
    <s v="Oui"/>
    <n v="74"/>
    <n v="81"/>
    <n v="23"/>
    <n v="74"/>
    <n v="43.5"/>
    <s v=""/>
    <s v=""/>
  </r>
  <r>
    <x v="1"/>
    <s v="Créateur 016"/>
    <x v="4"/>
    <n v="114"/>
    <s v="jeudi"/>
    <s v="Non"/>
    <n v="23"/>
    <s v="18-23 h"/>
    <n v="15"/>
    <x v="0"/>
    <s v="Non"/>
    <n v="6"/>
    <s v="Oui"/>
    <n v="0"/>
    <s v="Non"/>
    <s v="Oui"/>
    <s v="Non"/>
    <m/>
    <m/>
    <m/>
    <x v="0"/>
    <m/>
    <n v="19500000"/>
    <n v="5300000"/>
    <n v="74900"/>
    <n v="208800"/>
    <n v="0.28634358974358975"/>
    <n v="1"/>
    <s v=""/>
    <s v="Oui"/>
    <n v="91"/>
    <n v="80"/>
    <n v="43.5"/>
    <n v="94.5"/>
    <n v="6"/>
    <s v=""/>
    <s v=""/>
  </r>
  <r>
    <x v="1"/>
    <s v="Créateur 023"/>
    <x v="4"/>
    <n v="108"/>
    <s v="mercredi"/>
    <s v="Non"/>
    <n v="16"/>
    <s v="12-17 h"/>
    <n v="43"/>
    <x v="1"/>
    <s v="Oui"/>
    <n v="1"/>
    <s v="Non"/>
    <n v="35"/>
    <s v="Non"/>
    <s v="Non"/>
    <s v="Oui"/>
    <m/>
    <m/>
    <m/>
    <x v="0"/>
    <m/>
    <n v="17800000"/>
    <n v="5300000"/>
    <n v="108600"/>
    <n v="409900"/>
    <n v="0.32688202247191012"/>
    <n v="1"/>
    <s v=""/>
    <s v="Oui"/>
    <n v="96"/>
    <n v="79"/>
    <n v="82"/>
    <n v="45.5"/>
    <n v="52.5"/>
    <s v=""/>
    <s v=""/>
  </r>
  <r>
    <x v="1"/>
    <s v="Créateur 034"/>
    <x v="4"/>
    <n v="31"/>
    <s v="mercredi"/>
    <s v="Non"/>
    <n v="1"/>
    <s v="0-5 h"/>
    <n v="17"/>
    <x v="3"/>
    <s v="Oui"/>
    <n v="0"/>
    <s v="Non"/>
    <n v="19"/>
    <s v="Non"/>
    <s v="Oui"/>
    <s v="Oui"/>
    <m/>
    <m/>
    <m/>
    <x v="0"/>
    <m/>
    <n v="14400000"/>
    <n v="3400000"/>
    <n v="36000"/>
    <n v="30900"/>
    <n v="0.24075694444444445"/>
    <n v="0"/>
    <s v=""/>
    <s v="Oui"/>
    <n v="73"/>
    <n v="77.5"/>
    <n v="53.5"/>
    <n v="18.5"/>
    <n v="29.5"/>
    <s v=""/>
    <s v=""/>
  </r>
  <r>
    <x v="1"/>
    <s v="Créateur 144"/>
    <x v="2"/>
    <n v="78"/>
    <s v="vendredi"/>
    <s v="Non"/>
    <n v="22"/>
    <s v="18-23 h"/>
    <n v="14"/>
    <x v="0"/>
    <s v="Non"/>
    <n v="8"/>
    <s v="Non"/>
    <n v="43"/>
    <s v="Non"/>
    <s v="Non"/>
    <s v="Non"/>
    <m/>
    <m/>
    <m/>
    <x v="0"/>
    <m/>
    <n v="14400000"/>
    <n v="2100000"/>
    <n v="12400"/>
    <n v="67200"/>
    <n v="0.15136111111111111"/>
    <n v="0"/>
    <s v=""/>
    <s v="Oui"/>
    <n v="34"/>
    <n v="77.5"/>
    <n v="31.5"/>
    <n v="97.5"/>
    <n v="62"/>
    <s v=""/>
    <s v=""/>
  </r>
  <r>
    <x v="1"/>
    <s v="Créateur 061"/>
    <x v="0"/>
    <n v="122"/>
    <s v="mercredi"/>
    <s v="Non"/>
    <n v="17"/>
    <s v="12-17 h"/>
    <n v="15"/>
    <x v="0"/>
    <s v="Non"/>
    <n v="0"/>
    <s v="Non"/>
    <n v="15"/>
    <s v="Non"/>
    <s v="Non"/>
    <s v="Non"/>
    <m/>
    <m/>
    <m/>
    <x v="0"/>
    <m/>
    <n v="13300000"/>
    <n v="4200000"/>
    <n v="88300"/>
    <n v="213700"/>
    <n v="0.33849624060150374"/>
    <n v="1"/>
    <s v=""/>
    <s v="Oui"/>
    <n v="99"/>
    <n v="76"/>
    <n v="43.5"/>
    <n v="18.5"/>
    <n v="22.5"/>
    <s v=""/>
    <s v=""/>
  </r>
  <r>
    <x v="1"/>
    <s v="Créateur 218"/>
    <x v="0"/>
    <n v="118"/>
    <s v="dimanche"/>
    <s v="Oui"/>
    <n v="4"/>
    <s v="0-5 h"/>
    <n v="23"/>
    <x v="3"/>
    <s v="Oui"/>
    <n v="1"/>
    <s v="Non"/>
    <n v="16"/>
    <s v="Non"/>
    <s v="Oui"/>
    <s v="Non"/>
    <m/>
    <m/>
    <m/>
    <x v="0"/>
    <m/>
    <n v="13100000"/>
    <n v="3300000"/>
    <n v="40700"/>
    <n v="30400"/>
    <n v="0.25733587786259543"/>
    <n v="1"/>
    <s v=""/>
    <s v="Oui"/>
    <n v="82"/>
    <n v="75"/>
    <n v="62.5"/>
    <n v="45.5"/>
    <n v="24"/>
    <s v=""/>
    <s v=""/>
  </r>
  <r>
    <x v="1"/>
    <s v="Créateur 168"/>
    <x v="0"/>
    <n v="155"/>
    <s v="vendredi"/>
    <s v="Non"/>
    <n v="22"/>
    <s v="18-23 h"/>
    <n v="11"/>
    <x v="0"/>
    <s v="Non"/>
    <n v="0"/>
    <s v="Non"/>
    <n v="24"/>
    <s v="Non"/>
    <s v="Oui"/>
    <s v="Non"/>
    <m/>
    <m/>
    <m/>
    <x v="0"/>
    <m/>
    <n v="12900000"/>
    <n v="3100000"/>
    <n v="15800"/>
    <n v="11200"/>
    <n v="0.24240310077519381"/>
    <n v="0"/>
    <s v=""/>
    <s v="Oui"/>
    <n v="75"/>
    <n v="74"/>
    <n v="18"/>
    <n v="18.5"/>
    <n v="38.5"/>
    <s v=""/>
    <s v=""/>
  </r>
  <r>
    <x v="1"/>
    <s v="Créateur 157"/>
    <x v="0"/>
    <n v="52"/>
    <s v="mercredi"/>
    <s v="Non"/>
    <n v="17"/>
    <s v="12-17 h"/>
    <n v="14"/>
    <x v="0"/>
    <s v="Non"/>
    <n v="0"/>
    <s v="Non"/>
    <n v="23"/>
    <s v="Non"/>
    <s v="Oui"/>
    <s v="Non"/>
    <m/>
    <m/>
    <m/>
    <x v="0"/>
    <m/>
    <n v="12300000"/>
    <n v="1200000"/>
    <n v="11400"/>
    <n v="5580"/>
    <n v="9.894146341463414E-2"/>
    <n v="0"/>
    <s v=""/>
    <s v="Oui"/>
    <n v="20"/>
    <n v="73"/>
    <n v="31.5"/>
    <n v="18.5"/>
    <n v="35.5"/>
    <s v=""/>
    <s v=""/>
  </r>
  <r>
    <x v="1"/>
    <s v="Créateur 054"/>
    <x v="0"/>
    <n v="19"/>
    <s v="lundi"/>
    <s v="Non"/>
    <n v="18"/>
    <s v="18-23 h"/>
    <n v="14"/>
    <x v="0"/>
    <s v="Non"/>
    <n v="0"/>
    <s v="Non"/>
    <n v="1"/>
    <s v="Non"/>
    <s v="Non"/>
    <s v="Non"/>
    <m/>
    <m/>
    <m/>
    <x v="0"/>
    <m/>
    <n v="11000000"/>
    <n v="2500000"/>
    <n v="40600"/>
    <n v="95600"/>
    <n v="0.23965454545454545"/>
    <n v="0"/>
    <s v=""/>
    <s v="Oui"/>
    <n v="72"/>
    <n v="71.5"/>
    <n v="31.5"/>
    <n v="18.5"/>
    <n v="12"/>
    <s v=""/>
    <s v=""/>
  </r>
  <r>
    <x v="1"/>
    <s v="Créateur 140"/>
    <x v="0"/>
    <n v="117"/>
    <s v="lundi"/>
    <s v="Non"/>
    <n v="19"/>
    <s v="18-23 h"/>
    <n v="6"/>
    <x v="2"/>
    <s v="Non"/>
    <n v="3"/>
    <s v="Oui"/>
    <n v="12"/>
    <s v="Non"/>
    <s v="Non"/>
    <s v="Non"/>
    <m/>
    <m/>
    <m/>
    <x v="0"/>
    <m/>
    <n v="11000000"/>
    <n v="1800000"/>
    <n v="24900"/>
    <n v="37700"/>
    <n v="0.16932727272727272"/>
    <n v="0"/>
    <s v=""/>
    <s v="Oui"/>
    <n v="44"/>
    <n v="71.5"/>
    <n v="1"/>
    <n v="74"/>
    <n v="19"/>
    <s v=""/>
    <s v=""/>
  </r>
  <r>
    <x v="1"/>
    <s v="Créateur 129"/>
    <x v="0"/>
    <n v="108"/>
    <s v="mercredi"/>
    <s v="Non"/>
    <n v="17"/>
    <s v="12-17 h"/>
    <n v="10"/>
    <x v="2"/>
    <s v="Non"/>
    <n v="0"/>
    <s v="Non"/>
    <n v="64"/>
    <s v="Non"/>
    <s v="Non"/>
    <s v="Non"/>
    <m/>
    <m/>
    <m/>
    <x v="0"/>
    <m/>
    <n v="10900000"/>
    <n v="2900000"/>
    <n v="10700"/>
    <n v="10200"/>
    <n v="0.26797247706422017"/>
    <n v="1"/>
    <s v=""/>
    <s v="Oui"/>
    <n v="88"/>
    <n v="70"/>
    <n v="11"/>
    <n v="18.5"/>
    <n v="81"/>
    <s v=""/>
    <s v=""/>
  </r>
  <r>
    <x v="1"/>
    <s v="Créateur 182"/>
    <x v="0"/>
    <n v="175"/>
    <s v="samedi"/>
    <s v="Oui"/>
    <n v="2"/>
    <s v="0-5 h"/>
    <n v="13"/>
    <x v="0"/>
    <s v="Non"/>
    <n v="0"/>
    <s v="Non"/>
    <n v="25"/>
    <s v="Non"/>
    <s v="Non"/>
    <s v="Non"/>
    <m/>
    <m/>
    <m/>
    <x v="0"/>
    <m/>
    <n v="10500000"/>
    <n v="2000000"/>
    <n v="33600"/>
    <n v="66200"/>
    <n v="0.19998095238095237"/>
    <n v="0"/>
    <s v=""/>
    <s v="Oui"/>
    <n v="58"/>
    <n v="68.5"/>
    <n v="26"/>
    <n v="18.5"/>
    <n v="40.5"/>
    <s v=""/>
    <s v=""/>
  </r>
  <r>
    <x v="1"/>
    <s v="Créateur 115"/>
    <x v="1"/>
    <n v="181"/>
    <s v="dimanche"/>
    <s v="Oui"/>
    <n v="17"/>
    <s v="12-17 h"/>
    <n v="46"/>
    <x v="1"/>
    <s v="Oui"/>
    <n v="3"/>
    <s v="Oui"/>
    <n v="22"/>
    <s v="Non"/>
    <s v="Oui"/>
    <s v="Oui"/>
    <m/>
    <m/>
    <m/>
    <x v="0"/>
    <m/>
    <n v="10500000"/>
    <n v="1900000"/>
    <n v="12000"/>
    <n v="61500"/>
    <n v="0.18795238095238095"/>
    <n v="0"/>
    <s v=""/>
    <s v="Oui"/>
    <n v="54"/>
    <n v="68.5"/>
    <n v="85.5"/>
    <n v="74"/>
    <n v="33"/>
    <s v=""/>
    <s v=""/>
  </r>
  <r>
    <x v="1"/>
    <s v="Créateur 157"/>
    <x v="0"/>
    <n v="52"/>
    <s v="mercredi"/>
    <s v="Non"/>
    <n v="13"/>
    <s v="12-17 h"/>
    <n v="14"/>
    <x v="0"/>
    <s v="Non"/>
    <n v="0"/>
    <s v="Non"/>
    <n v="6"/>
    <s v="Non"/>
    <s v="Oui"/>
    <s v="Non"/>
    <m/>
    <m/>
    <m/>
    <x v="0"/>
    <m/>
    <n v="9800000"/>
    <n v="831100"/>
    <n v="6128"/>
    <n v="3263"/>
    <n v="8.5764387755102034E-2"/>
    <n v="0"/>
    <s v=""/>
    <s v="Oui"/>
    <n v="13"/>
    <n v="67"/>
    <n v="31.5"/>
    <n v="18.5"/>
    <n v="15.5"/>
    <s v=""/>
    <s v=""/>
  </r>
  <r>
    <x v="1"/>
    <s v="Créateur 086"/>
    <x v="0"/>
    <n v="128"/>
    <s v="jeudi"/>
    <s v="Non"/>
    <n v="6"/>
    <s v="6-11 h"/>
    <n v="42"/>
    <x v="1"/>
    <s v="Oui"/>
    <n v="1"/>
    <s v="Non"/>
    <n v="37"/>
    <s v="Non"/>
    <s v="Non"/>
    <s v="Non"/>
    <m/>
    <m/>
    <m/>
    <x v="0"/>
    <m/>
    <n v="9500000"/>
    <n v="2100000"/>
    <n v="31000"/>
    <n v="26000"/>
    <n v="0.22705263157894737"/>
    <n v="0"/>
    <s v=""/>
    <s v="Oui"/>
    <n v="66"/>
    <n v="66"/>
    <n v="81"/>
    <n v="45.5"/>
    <n v="56"/>
    <s v=""/>
    <s v=""/>
  </r>
  <r>
    <x v="1"/>
    <s v="Créateur 128"/>
    <x v="0"/>
    <n v="89"/>
    <s v="lundi"/>
    <s v="Non"/>
    <n v="18"/>
    <s v="18-23 h"/>
    <n v="24"/>
    <x v="3"/>
    <s v="Oui"/>
    <n v="4"/>
    <s v="Oui"/>
    <n v="41"/>
    <s v="Non"/>
    <s v="Oui"/>
    <s v="Oui"/>
    <m/>
    <m/>
    <m/>
    <x v="0"/>
    <m/>
    <n v="9300000"/>
    <n v="2200000"/>
    <n v="53800"/>
    <n v="50000"/>
    <n v="0.2477204301075269"/>
    <n v="1"/>
    <s v=""/>
    <s v="Oui"/>
    <n v="78"/>
    <n v="64.5"/>
    <n v="65.5"/>
    <n v="84.5"/>
    <n v="60.5"/>
    <s v=""/>
    <s v=""/>
  </r>
  <r>
    <x v="1"/>
    <s v="Créateur 190"/>
    <x v="0"/>
    <n v="121"/>
    <s v="jeudi"/>
    <s v="Non"/>
    <n v="4"/>
    <s v="0-5 h"/>
    <n v="8"/>
    <x v="2"/>
    <s v="Non"/>
    <n v="0"/>
    <s v="Non"/>
    <n v="0"/>
    <s v="Oui"/>
    <s v="Non"/>
    <s v="Non"/>
    <m/>
    <m/>
    <m/>
    <x v="0"/>
    <m/>
    <n v="9300000"/>
    <n v="1500000"/>
    <n v="25200"/>
    <n v="62500"/>
    <n v="0.17072043010752688"/>
    <n v="0"/>
    <s v=""/>
    <s v="Oui"/>
    <n v="46"/>
    <n v="64.5"/>
    <n v="3"/>
    <n v="18.5"/>
    <n v="6"/>
    <s v=""/>
    <s v=""/>
  </r>
  <r>
    <x v="1"/>
    <s v="Créateur 205"/>
    <x v="1"/>
    <n v="134"/>
    <s v="vendredi"/>
    <s v="Non"/>
    <n v="17"/>
    <s v="12-17 h"/>
    <n v="12"/>
    <x v="0"/>
    <s v="Non"/>
    <n v="11"/>
    <s v="Non"/>
    <n v="0"/>
    <s v="Non"/>
    <s v="Non"/>
    <s v="Non"/>
    <m/>
    <m/>
    <m/>
    <x v="0"/>
    <m/>
    <n v="9000000"/>
    <n v="2000000"/>
    <n v="4425"/>
    <n v="13600"/>
    <n v="0.22422500000000001"/>
    <n v="0"/>
    <s v=""/>
    <s v="Oui"/>
    <n v="65"/>
    <n v="63"/>
    <n v="23"/>
    <n v="99"/>
    <n v="6"/>
    <s v=""/>
    <s v=""/>
  </r>
  <r>
    <x v="1"/>
    <s v="Créateur 121"/>
    <x v="0"/>
    <n v="110"/>
    <s v="lundi"/>
    <s v="Non"/>
    <n v="17"/>
    <s v="12-17 h"/>
    <n v="15"/>
    <x v="0"/>
    <s v="Non"/>
    <n v="4"/>
    <s v="Oui"/>
    <n v="26"/>
    <s v="Non"/>
    <s v="Non"/>
    <s v="Oui"/>
    <m/>
    <m/>
    <m/>
    <x v="0"/>
    <m/>
    <n v="8600000"/>
    <n v="1300000"/>
    <n v="12700"/>
    <n v="41800"/>
    <n v="0.1575"/>
    <n v="0"/>
    <s v=""/>
    <s v="Oui"/>
    <n v="36"/>
    <n v="62"/>
    <n v="43.5"/>
    <n v="84.5"/>
    <n v="42"/>
    <s v=""/>
    <s v=""/>
  </r>
  <r>
    <x v="1"/>
    <s v="Créateur 048"/>
    <x v="0"/>
    <n v="192"/>
    <s v="mercredi"/>
    <s v="Non"/>
    <n v="2"/>
    <s v="0-5 h"/>
    <n v="15"/>
    <x v="0"/>
    <s v="Non"/>
    <n v="1"/>
    <s v="Non"/>
    <n v="35"/>
    <s v="Non"/>
    <s v="Oui"/>
    <s v="Non"/>
    <m/>
    <m/>
    <m/>
    <x v="0"/>
    <m/>
    <n v="8100000"/>
    <n v="2300000"/>
    <n v="55500"/>
    <n v="48000"/>
    <n v="0.29672839506172838"/>
    <n v="1"/>
    <s v=""/>
    <s v="Oui"/>
    <n v="94"/>
    <n v="61"/>
    <n v="43.5"/>
    <n v="45.5"/>
    <n v="52.5"/>
    <s v=""/>
    <s v=""/>
  </r>
  <r>
    <x v="1"/>
    <s v="Créateur 125"/>
    <x v="0"/>
    <n v="37"/>
    <s v="jeudi"/>
    <s v="Non"/>
    <n v="17"/>
    <s v="12-17 h"/>
    <n v="23"/>
    <x v="3"/>
    <s v="Oui"/>
    <n v="2"/>
    <s v="Non"/>
    <n v="86"/>
    <s v="Non"/>
    <s v="Non"/>
    <s v="Non"/>
    <m/>
    <m/>
    <m/>
    <x v="0"/>
    <m/>
    <n v="7500000"/>
    <n v="897700"/>
    <n v="30100"/>
    <n v="5822"/>
    <n v="0.12448293333333334"/>
    <n v="0"/>
    <s v=""/>
    <s v="Oui"/>
    <n v="27"/>
    <n v="60"/>
    <n v="62.5"/>
    <n v="61"/>
    <n v="88.5"/>
    <s v=""/>
    <s v=""/>
  </r>
  <r>
    <x v="1"/>
    <s v="Créateur 053"/>
    <x v="0"/>
    <n v="78"/>
    <s v="vendredi"/>
    <s v="Non"/>
    <n v="6"/>
    <s v="6-11 h"/>
    <n v="44"/>
    <x v="1"/>
    <s v="Oui"/>
    <n v="1"/>
    <s v="Non"/>
    <n v="108"/>
    <s v="Non"/>
    <s v="Oui"/>
    <s v="Non"/>
    <m/>
    <m/>
    <m/>
    <x v="0"/>
    <m/>
    <n v="7200000"/>
    <n v="652700"/>
    <n v="12900"/>
    <n v="5041"/>
    <n v="9.3144583333333336E-2"/>
    <n v="0"/>
    <s v=""/>
    <s v="Oui"/>
    <n v="17"/>
    <n v="59"/>
    <n v="83.5"/>
    <n v="45.5"/>
    <n v="95"/>
    <s v=""/>
    <s v=""/>
  </r>
  <r>
    <x v="1"/>
    <s v="Créateur 012"/>
    <x v="0"/>
    <n v="170"/>
    <s v="jeudi"/>
    <s v="Non"/>
    <n v="19"/>
    <s v="18-23 h"/>
    <n v="15"/>
    <x v="0"/>
    <s v="Non"/>
    <n v="3"/>
    <s v="Non"/>
    <n v="100"/>
    <s v="Non"/>
    <s v="Oui"/>
    <s v="Non"/>
    <m/>
    <m/>
    <m/>
    <x v="0"/>
    <m/>
    <n v="6900000"/>
    <n v="1300000"/>
    <n v="12000"/>
    <n v="17800"/>
    <n v="0.19272463768115941"/>
    <n v="0"/>
    <s v=""/>
    <s v="Oui"/>
    <n v="57"/>
    <n v="58"/>
    <n v="43.5"/>
    <n v="74"/>
    <n v="92"/>
    <s v=""/>
    <s v=""/>
  </r>
  <r>
    <x v="1"/>
    <s v="Créateur 029"/>
    <x v="3"/>
    <n v="36"/>
    <s v="vendredi"/>
    <s v="Non"/>
    <n v="22"/>
    <s v="18-23 h"/>
    <n v="38"/>
    <x v="1"/>
    <s v="Oui"/>
    <n v="0"/>
    <s v="Non"/>
    <n v="48"/>
    <s v="Non"/>
    <s v="Non"/>
    <s v="Oui"/>
    <m/>
    <m/>
    <m/>
    <x v="0"/>
    <m/>
    <n v="6500000"/>
    <n v="1400000"/>
    <n v="14900"/>
    <n v="16700"/>
    <n v="0.22024615384615384"/>
    <n v="0"/>
    <s v=""/>
    <s v="Oui"/>
    <n v="64"/>
    <n v="57"/>
    <n v="77.5"/>
    <n v="18.5"/>
    <n v="66.5"/>
    <s v=""/>
    <s v=""/>
  </r>
  <r>
    <x v="1"/>
    <s v="Créateur 180"/>
    <x v="0"/>
    <n v="151"/>
    <s v="mardi"/>
    <s v="Non"/>
    <n v="16"/>
    <s v="12-17 h"/>
    <n v="24"/>
    <x v="3"/>
    <s v="Oui"/>
    <n v="1"/>
    <s v="Non"/>
    <n v="0"/>
    <s v="Non"/>
    <s v="Non"/>
    <s v="Non"/>
    <m/>
    <m/>
    <m/>
    <x v="0"/>
    <m/>
    <n v="6400000"/>
    <n v="594000"/>
    <n v="8489"/>
    <n v="5097"/>
    <n v="9.4935312499999994E-2"/>
    <n v="0"/>
    <s v=""/>
    <s v="Oui"/>
    <n v="18"/>
    <n v="56"/>
    <n v="65.5"/>
    <n v="45.5"/>
    <n v="6"/>
    <s v=""/>
    <s v=""/>
  </r>
  <r>
    <x v="1"/>
    <s v="Créateur 186"/>
    <x v="0"/>
    <n v="116"/>
    <s v="mardi"/>
    <s v="Non"/>
    <n v="19"/>
    <s v="18-23 h"/>
    <n v="11"/>
    <x v="0"/>
    <s v="Non"/>
    <n v="3"/>
    <s v="Non"/>
    <n v="33"/>
    <s v="Non"/>
    <s v="Non"/>
    <s v="Non"/>
    <m/>
    <m/>
    <m/>
    <x v="0"/>
    <m/>
    <n v="6200000"/>
    <n v="1100000"/>
    <n v="3503"/>
    <n v="1629"/>
    <n v="0.17824709677419354"/>
    <n v="0"/>
    <s v=""/>
    <s v="Oui"/>
    <n v="48"/>
    <n v="55"/>
    <n v="18"/>
    <n v="74"/>
    <n v="48"/>
    <s v=""/>
    <s v=""/>
  </r>
  <r>
    <x v="1"/>
    <s v="Créateur 050"/>
    <x v="0"/>
    <n v="4"/>
    <s v="mardi"/>
    <s v="Non"/>
    <n v="19"/>
    <s v="18-23 h"/>
    <n v="8"/>
    <x v="2"/>
    <s v="Non"/>
    <n v="0"/>
    <s v="Non"/>
    <n v="0"/>
    <s v="Oui"/>
    <s v="Non"/>
    <s v="Non"/>
    <m/>
    <m/>
    <m/>
    <x v="0"/>
    <m/>
    <n v="6100000"/>
    <n v="1100000"/>
    <n v="8186"/>
    <n v="21200"/>
    <n v="0.18514524590163933"/>
    <n v="0"/>
    <s v=""/>
    <s v="Oui"/>
    <n v="52"/>
    <n v="53"/>
    <n v="3"/>
    <n v="18.5"/>
    <n v="6"/>
    <s v=""/>
    <s v=""/>
  </r>
  <r>
    <x v="1"/>
    <s v="Créateur 052"/>
    <x v="1"/>
    <n v="89"/>
    <s v="lundi"/>
    <s v="Non"/>
    <n v="12"/>
    <s v="12-17 h"/>
    <n v="50"/>
    <x v="1"/>
    <s v="Oui"/>
    <n v="2"/>
    <s v="Non"/>
    <n v="95"/>
    <s v="Non"/>
    <s v="Oui"/>
    <s v="Non"/>
    <m/>
    <m/>
    <m/>
    <x v="0"/>
    <m/>
    <n v="6100000"/>
    <n v="161100"/>
    <n v="1595"/>
    <n v="304"/>
    <n v="2.6721147540983606E-2"/>
    <n v="0"/>
    <s v=""/>
    <s v="Oui"/>
    <n v="2"/>
    <n v="53"/>
    <n v="88.5"/>
    <n v="61"/>
    <n v="91"/>
    <s v=""/>
    <s v=""/>
  </r>
  <r>
    <x v="1"/>
    <s v="Créateur 091"/>
    <x v="1"/>
    <n v="136"/>
    <s v="mercredi"/>
    <s v="Non"/>
    <n v="22"/>
    <s v="18-23 h"/>
    <n v="36"/>
    <x v="1"/>
    <s v="Oui"/>
    <n v="5"/>
    <s v="Oui"/>
    <n v="62"/>
    <s v="Non"/>
    <s v="Non"/>
    <s v="Non"/>
    <m/>
    <m/>
    <m/>
    <x v="0"/>
    <m/>
    <n v="6100000"/>
    <n v="1500000"/>
    <n v="23400"/>
    <n v="38600"/>
    <n v="0.25606557377049183"/>
    <n v="1"/>
    <s v=""/>
    <s v="Oui"/>
    <n v="81"/>
    <n v="53"/>
    <n v="76"/>
    <n v="90.5"/>
    <n v="79"/>
    <s v=""/>
    <s v=""/>
  </r>
  <r>
    <x v="1"/>
    <s v="Créateur 073"/>
    <x v="0"/>
    <n v="86"/>
    <s v="jeudi"/>
    <s v="Non"/>
    <n v="1"/>
    <s v="0-5 h"/>
    <n v="47"/>
    <x v="1"/>
    <s v="Oui"/>
    <n v="1"/>
    <s v="Non"/>
    <n v="6"/>
    <s v="Non"/>
    <s v="Oui"/>
    <s v="Non"/>
    <m/>
    <m/>
    <m/>
    <x v="0"/>
    <m/>
    <n v="5800000"/>
    <n v="1000000"/>
    <n v="8713"/>
    <n v="6067"/>
    <n v="0.17496206896551725"/>
    <n v="0"/>
    <s v=""/>
    <s v="Oui"/>
    <n v="47"/>
    <n v="51"/>
    <n v="87"/>
    <n v="45.5"/>
    <n v="15.5"/>
    <s v=""/>
    <s v=""/>
  </r>
  <r>
    <x v="1"/>
    <s v="Créateur 192"/>
    <x v="0"/>
    <n v="110"/>
    <s v="lundi"/>
    <s v="Non"/>
    <n v="18"/>
    <s v="18-23 h"/>
    <n v="15"/>
    <x v="0"/>
    <s v="Non"/>
    <n v="0"/>
    <s v="Non"/>
    <n v="0"/>
    <s v="Oui"/>
    <s v="Non"/>
    <s v="Non"/>
    <m/>
    <m/>
    <m/>
    <x v="0"/>
    <m/>
    <n v="5600000"/>
    <n v="1600000"/>
    <n v="3845"/>
    <n v="3147"/>
    <n v="0.28696285714285713"/>
    <n v="1"/>
    <s v=""/>
    <s v="Oui"/>
    <n v="92"/>
    <n v="50"/>
    <n v="43.5"/>
    <n v="18.5"/>
    <n v="6"/>
    <s v=""/>
    <s v=""/>
  </r>
  <r>
    <x v="1"/>
    <s v="Créateur 146"/>
    <x v="1"/>
    <n v="78"/>
    <s v="vendredi"/>
    <s v="Non"/>
    <n v="6"/>
    <s v="6-11 h"/>
    <n v="44"/>
    <x v="1"/>
    <s v="Oui"/>
    <n v="0"/>
    <s v="Non"/>
    <n v="71"/>
    <s v="Non"/>
    <s v="Oui"/>
    <s v="Non"/>
    <m/>
    <m/>
    <m/>
    <x v="0"/>
    <m/>
    <n v="5400000"/>
    <n v="712800"/>
    <n v="3560"/>
    <n v="1534"/>
    <n v="0.13294333333333333"/>
    <n v="0"/>
    <s v=""/>
    <s v="Oui"/>
    <n v="29"/>
    <n v="49"/>
    <n v="83.5"/>
    <n v="18.5"/>
    <n v="83"/>
    <s v=""/>
    <s v=""/>
  </r>
  <r>
    <x v="1"/>
    <s v="Créateur 045"/>
    <x v="1"/>
    <n v="21"/>
    <s v="samedi"/>
    <s v="Oui"/>
    <n v="6"/>
    <s v="6-11 h"/>
    <n v="67"/>
    <x v="4"/>
    <s v="Oui"/>
    <n v="8"/>
    <s v="Non"/>
    <n v="54"/>
    <s v="Non"/>
    <s v="Non"/>
    <s v="Non"/>
    <m/>
    <m/>
    <m/>
    <x v="0"/>
    <m/>
    <n v="5300000"/>
    <n v="771100"/>
    <n v="14400"/>
    <n v="79800"/>
    <n v="0.16326415094339622"/>
    <n v="0"/>
    <s v=""/>
    <s v="Oui"/>
    <n v="40"/>
    <n v="47.5"/>
    <n v="96"/>
    <n v="97.5"/>
    <n v="73"/>
    <s v=""/>
    <s v=""/>
  </r>
  <r>
    <x v="1"/>
    <s v="Créateur 013"/>
    <x v="2"/>
    <n v="110"/>
    <s v="lundi"/>
    <s v="Non"/>
    <n v="15"/>
    <s v="12-17 h"/>
    <n v="11"/>
    <x v="0"/>
    <s v="Non"/>
    <n v="4"/>
    <s v="Oui"/>
    <n v="14"/>
    <s v="Non"/>
    <s v="Non"/>
    <s v="Non"/>
    <m/>
    <m/>
    <m/>
    <x v="0"/>
    <m/>
    <n v="5300000"/>
    <n v="928700"/>
    <n v="39400"/>
    <n v="46800"/>
    <n v="0.19149056603773584"/>
    <n v="0"/>
    <s v=""/>
    <s v="Oui"/>
    <n v="56"/>
    <n v="47.5"/>
    <n v="18"/>
    <n v="84.5"/>
    <n v="21"/>
    <s v=""/>
    <s v=""/>
  </r>
  <r>
    <x v="1"/>
    <s v="Créateur 111"/>
    <x v="0"/>
    <n v="88"/>
    <s v="mardi"/>
    <s v="Non"/>
    <n v="12"/>
    <s v="12-17 h"/>
    <n v="21"/>
    <x v="3"/>
    <s v="Oui"/>
    <n v="0"/>
    <s v="Non"/>
    <n v="56"/>
    <s v="Non"/>
    <s v="Non"/>
    <s v="Non"/>
    <m/>
    <m/>
    <m/>
    <x v="0"/>
    <m/>
    <n v="5000000"/>
    <n v="922400"/>
    <n v="77200"/>
    <n v="12600"/>
    <n v="0.20244000000000001"/>
    <n v="0"/>
    <s v=""/>
    <s v="Oui"/>
    <n v="59"/>
    <n v="45.5"/>
    <n v="59"/>
    <n v="18.5"/>
    <n v="76.5"/>
    <s v=""/>
    <s v=""/>
  </r>
  <r>
    <x v="1"/>
    <s v="Créateur 150"/>
    <x v="0"/>
    <n v="183"/>
    <s v="vendredi"/>
    <s v="Non"/>
    <n v="23"/>
    <s v="18-23 h"/>
    <n v="30"/>
    <x v="3"/>
    <s v="Oui"/>
    <n v="2"/>
    <s v="Oui"/>
    <n v="18"/>
    <s v="Non"/>
    <s v="Non"/>
    <s v="Non"/>
    <m/>
    <m/>
    <m/>
    <x v="0"/>
    <m/>
    <n v="5000000"/>
    <n v="1100000"/>
    <n v="10700"/>
    <n v="31700"/>
    <n v="0.22847999999999999"/>
    <n v="0"/>
    <s v=""/>
    <s v="Oui"/>
    <n v="69"/>
    <n v="45.5"/>
    <n v="73.5"/>
    <n v="61"/>
    <n v="26"/>
    <s v=""/>
    <s v=""/>
  </r>
  <r>
    <x v="1"/>
    <s v="Créateur 164"/>
    <x v="0"/>
    <n v="4"/>
    <s v="mardi"/>
    <s v="Non"/>
    <n v="17"/>
    <s v="12-17 h"/>
    <n v="10"/>
    <x v="2"/>
    <s v="Non"/>
    <n v="0"/>
    <s v="Non"/>
    <n v="33"/>
    <s v="Non"/>
    <s v="Oui"/>
    <s v="Non"/>
    <m/>
    <m/>
    <m/>
    <x v="0"/>
    <m/>
    <n v="4900000"/>
    <n v="592800"/>
    <n v="4703"/>
    <n v="1206"/>
    <n v="0.12218551020408164"/>
    <n v="0"/>
    <s v=""/>
    <s v="Oui"/>
    <n v="26"/>
    <n v="44"/>
    <n v="11"/>
    <n v="18.5"/>
    <n v="48"/>
    <s v=""/>
    <s v=""/>
  </r>
  <r>
    <x v="1"/>
    <s v="Créateur 099"/>
    <x v="0"/>
    <n v="41"/>
    <s v="dimanche"/>
    <s v="Oui"/>
    <n v="23"/>
    <s v="18-23 h"/>
    <n v="14"/>
    <x v="0"/>
    <s v="Non"/>
    <n v="2"/>
    <s v="Oui"/>
    <n v="35"/>
    <s v="Non"/>
    <s v="Oui"/>
    <s v="Non"/>
    <m/>
    <m/>
    <m/>
    <x v="0"/>
    <m/>
    <n v="4700000"/>
    <n v="1300000"/>
    <n v="27400"/>
    <n v="25000"/>
    <n v="0.28774468085106381"/>
    <n v="1"/>
    <s v=""/>
    <s v="Oui"/>
    <n v="93"/>
    <n v="43"/>
    <n v="31.5"/>
    <n v="61"/>
    <n v="52.5"/>
    <s v=""/>
    <s v=""/>
  </r>
  <r>
    <x v="1"/>
    <s v="Créateur 213"/>
    <x v="0"/>
    <n v="99"/>
    <s v="vendredi"/>
    <s v="Non"/>
    <n v="3"/>
    <s v="0-5 h"/>
    <n v="15"/>
    <x v="0"/>
    <s v="Non"/>
    <n v="3"/>
    <s v="Non"/>
    <n v="19"/>
    <s v="Non"/>
    <s v="Non"/>
    <s v="Non"/>
    <m/>
    <m/>
    <m/>
    <x v="0"/>
    <m/>
    <n v="4400000"/>
    <n v="1200000"/>
    <n v="18100"/>
    <n v="40700"/>
    <n v="0.28609090909090912"/>
    <n v="1"/>
    <s v=""/>
    <s v="Oui"/>
    <n v="90"/>
    <n v="42"/>
    <n v="43.5"/>
    <n v="74"/>
    <n v="29.5"/>
    <s v=""/>
    <s v=""/>
  </r>
  <r>
    <x v="1"/>
    <s v="Créateur 057"/>
    <x v="0"/>
    <n v="135"/>
    <s v="jeudi"/>
    <s v="Non"/>
    <n v="12"/>
    <s v="12-17 h"/>
    <n v="16"/>
    <x v="3"/>
    <s v="Oui"/>
    <n v="1"/>
    <s v="Non"/>
    <n v="105"/>
    <s v="Non"/>
    <s v="Oui"/>
    <s v="Oui"/>
    <m/>
    <m/>
    <m/>
    <x v="0"/>
    <m/>
    <n v="4300000"/>
    <n v="1300000"/>
    <n v="17900"/>
    <n v="29600"/>
    <n v="0.3133720930232558"/>
    <n v="1"/>
    <s v=""/>
    <s v="Oui"/>
    <n v="95"/>
    <n v="41"/>
    <n v="52"/>
    <n v="45.5"/>
    <n v="94"/>
    <s v=""/>
    <s v=""/>
  </r>
  <r>
    <x v="1"/>
    <s v="Créateur 007"/>
    <x v="0"/>
    <n v="17"/>
    <s v="mercredi"/>
    <s v="Non"/>
    <n v="18"/>
    <s v="18-23 h"/>
    <n v="23"/>
    <x v="3"/>
    <s v="Oui"/>
    <n v="4"/>
    <s v="Oui"/>
    <n v="18"/>
    <s v="Non"/>
    <s v="Non"/>
    <s v="Non"/>
    <m/>
    <m/>
    <m/>
    <x v="0"/>
    <m/>
    <n v="4200000"/>
    <n v="1300000"/>
    <n v="46700"/>
    <n v="28600"/>
    <n v="0.32745238095238094"/>
    <n v="1"/>
    <s v=""/>
    <s v="Oui"/>
    <n v="97"/>
    <n v="40"/>
    <n v="62.5"/>
    <n v="84.5"/>
    <n v="26"/>
    <s v=""/>
    <s v=""/>
  </r>
  <r>
    <x v="1"/>
    <s v="Créateur 109"/>
    <x v="0"/>
    <n v="55"/>
    <s v="dimanche"/>
    <s v="Oui"/>
    <n v="3"/>
    <s v="0-5 h"/>
    <n v="15"/>
    <x v="0"/>
    <s v="Non"/>
    <n v="1"/>
    <s v="Non"/>
    <n v="133"/>
    <s v="Non"/>
    <s v="Non"/>
    <s v="Non"/>
    <m/>
    <m/>
    <m/>
    <x v="0"/>
    <m/>
    <n v="3600000"/>
    <n v="941200"/>
    <n v="7391"/>
    <n v="4361"/>
    <n v="0.26470888888888888"/>
    <n v="1"/>
    <s v=""/>
    <s v="Oui"/>
    <n v="85"/>
    <n v="39"/>
    <n v="43.5"/>
    <n v="45.5"/>
    <n v="99.5"/>
    <s v=""/>
    <s v=""/>
  </r>
  <r>
    <x v="1"/>
    <s v="Créateur 056"/>
    <x v="0"/>
    <n v="59"/>
    <s v="mercredi"/>
    <s v="Non"/>
    <n v="2"/>
    <s v="0-5 h"/>
    <n v="57"/>
    <x v="1"/>
    <s v="Oui"/>
    <n v="6"/>
    <s v="Non"/>
    <n v="4"/>
    <s v="Non"/>
    <s v="Oui"/>
    <s v="Non"/>
    <m/>
    <m/>
    <m/>
    <x v="0"/>
    <m/>
    <n v="3500000"/>
    <n v="874100"/>
    <n v="5257"/>
    <n v="13000"/>
    <n v="0.25495914285714288"/>
    <n v="1"/>
    <s v=""/>
    <s v="Oui"/>
    <n v="80"/>
    <n v="38"/>
    <n v="92"/>
    <n v="94.5"/>
    <n v="13.5"/>
    <s v=""/>
    <s v=""/>
  </r>
  <r>
    <x v="1"/>
    <s v="Créateur 219"/>
    <x v="0"/>
    <n v="53"/>
    <s v="mardi"/>
    <s v="Non"/>
    <n v="19"/>
    <s v="18-23 h"/>
    <n v="11"/>
    <x v="0"/>
    <s v="Non"/>
    <n v="0"/>
    <s v="Non"/>
    <n v="46"/>
    <s v="Non"/>
    <s v="Non"/>
    <s v="Non"/>
    <m/>
    <m/>
    <m/>
    <x v="0"/>
    <m/>
    <n v="3000000"/>
    <n v="321800"/>
    <n v="2988"/>
    <n v="2041"/>
    <n v="0.108943"/>
    <n v="0"/>
    <s v=""/>
    <s v="Oui"/>
    <n v="23"/>
    <n v="36.5"/>
    <n v="18"/>
    <n v="18.5"/>
    <n v="64"/>
    <s v=""/>
    <s v=""/>
  </r>
  <r>
    <x v="1"/>
    <s v="Créateur 170"/>
    <x v="0"/>
    <n v="178"/>
    <s v="mercredi"/>
    <s v="Non"/>
    <n v="3"/>
    <s v="0-5 h"/>
    <n v="15"/>
    <x v="0"/>
    <s v="Non"/>
    <n v="1"/>
    <s v="Non"/>
    <n v="4"/>
    <s v="Non"/>
    <s v="Oui"/>
    <s v="Non"/>
    <m/>
    <m/>
    <m/>
    <x v="0"/>
    <m/>
    <n v="3000000"/>
    <n v="768900"/>
    <n v="11000"/>
    <n v="18000"/>
    <n v="0.26596666666666668"/>
    <n v="1"/>
    <s v=""/>
    <s v="Oui"/>
    <n v="86"/>
    <n v="36.5"/>
    <n v="43.5"/>
    <n v="45.5"/>
    <n v="13.5"/>
    <s v=""/>
    <s v=""/>
  </r>
  <r>
    <x v="1"/>
    <s v="Créateur 130"/>
    <x v="1"/>
    <n v="34"/>
    <s v="dimanche"/>
    <s v="Oui"/>
    <n v="15"/>
    <s v="12-17 h"/>
    <n v="9"/>
    <x v="2"/>
    <s v="Non"/>
    <n v="3"/>
    <s v="Non"/>
    <n v="56"/>
    <s v="Non"/>
    <s v="Oui"/>
    <s v="Non"/>
    <m/>
    <m/>
    <m/>
    <x v="0"/>
    <m/>
    <n v="2000000"/>
    <n v="323700"/>
    <n v="2103"/>
    <n v="1932"/>
    <n v="0.1638675"/>
    <n v="0"/>
    <s v=""/>
    <s v="Oui"/>
    <n v="41"/>
    <n v="35"/>
    <n v="6"/>
    <n v="74"/>
    <n v="76.5"/>
    <s v=""/>
    <s v=""/>
  </r>
  <r>
    <x v="1"/>
    <s v="Créateur 151"/>
    <x v="0"/>
    <n v="64"/>
    <s v="vendredi"/>
    <s v="Non"/>
    <n v="2"/>
    <s v="0-5 h"/>
    <n v="15"/>
    <x v="0"/>
    <s v="Non"/>
    <n v="4"/>
    <s v="Non"/>
    <n v="31"/>
    <s v="Non"/>
    <s v="Non"/>
    <s v="Non"/>
    <m/>
    <m/>
    <m/>
    <x v="0"/>
    <m/>
    <n v="1800000"/>
    <n v="275800"/>
    <n v="5293"/>
    <n v="10400"/>
    <n v="0.16194055555555556"/>
    <n v="0"/>
    <s v=""/>
    <s v="Oui"/>
    <n v="38"/>
    <n v="34"/>
    <n v="43.5"/>
    <n v="84.5"/>
    <n v="46"/>
    <s v=""/>
    <s v=""/>
  </r>
  <r>
    <x v="1"/>
    <s v="Créateur 063"/>
    <x v="0"/>
    <n v="143"/>
    <s v="mercredi"/>
    <s v="Non"/>
    <n v="23"/>
    <s v="18-23 h"/>
    <n v="53"/>
    <x v="1"/>
    <s v="Oui"/>
    <n v="0"/>
    <s v="Non"/>
    <n v="37"/>
    <s v="Non"/>
    <s v="Non"/>
    <s v="Non"/>
    <m/>
    <m/>
    <m/>
    <x v="0"/>
    <m/>
    <n v="1700000"/>
    <n v="475400"/>
    <n v="2246"/>
    <n v="4665"/>
    <n v="0.28371235294117647"/>
    <n v="1"/>
    <s v=""/>
    <s v="Oui"/>
    <n v="89"/>
    <n v="32.5"/>
    <n v="90"/>
    <n v="18.5"/>
    <n v="56"/>
    <s v=""/>
    <s v=""/>
  </r>
  <r>
    <x v="1"/>
    <s v="Créateur 182"/>
    <x v="0"/>
    <n v="176"/>
    <s v="vendredi"/>
    <s v="Non"/>
    <n v="3"/>
    <s v="0-5 h"/>
    <n v="13"/>
    <x v="0"/>
    <s v="Non"/>
    <n v="0"/>
    <s v="Non"/>
    <n v="24"/>
    <s v="Non"/>
    <s v="Non"/>
    <s v="Non"/>
    <m/>
    <m/>
    <m/>
    <x v="0"/>
    <m/>
    <n v="1700000"/>
    <n v="249600"/>
    <n v="6757"/>
    <n v="17900"/>
    <n v="0.16132764705882352"/>
    <n v="0"/>
    <s v=""/>
    <s v="Oui"/>
    <n v="37"/>
    <n v="32.5"/>
    <n v="26"/>
    <n v="18.5"/>
    <n v="38.5"/>
    <s v=""/>
    <s v=""/>
  </r>
  <r>
    <x v="1"/>
    <s v="Créateur 116"/>
    <x v="0"/>
    <n v="127"/>
    <s v="vendredi"/>
    <s v="Non"/>
    <n v="22"/>
    <s v="18-23 h"/>
    <n v="15"/>
    <x v="0"/>
    <s v="Non"/>
    <n v="2"/>
    <s v="Non"/>
    <n v="33"/>
    <s v="Non"/>
    <s v="Oui"/>
    <s v="Non"/>
    <m/>
    <m/>
    <m/>
    <x v="0"/>
    <m/>
    <n v="1500000"/>
    <n v="284400"/>
    <n v="1283"/>
    <n v="1380"/>
    <n v="0.19137533333333334"/>
    <n v="0"/>
    <s v=""/>
    <s v="Oui"/>
    <n v="55"/>
    <n v="31"/>
    <n v="43.5"/>
    <n v="61"/>
    <n v="48"/>
    <s v=""/>
    <s v=""/>
  </r>
  <r>
    <x v="1"/>
    <s v="Créateur 068"/>
    <x v="0"/>
    <n v="104"/>
    <s v="dimanche"/>
    <s v="Oui"/>
    <n v="0"/>
    <s v="0-5 h"/>
    <n v="14"/>
    <x v="0"/>
    <s v="Non"/>
    <n v="0"/>
    <s v="Non"/>
    <n v="0"/>
    <s v="Oui"/>
    <s v="Non"/>
    <s v="Non"/>
    <m/>
    <m/>
    <m/>
    <x v="0"/>
    <m/>
    <n v="1400000"/>
    <n v="453500"/>
    <n v="5971"/>
    <n v="6593"/>
    <n v="0.33290285714285717"/>
    <n v="1"/>
    <s v=""/>
    <s v="Oui"/>
    <n v="98"/>
    <n v="29.5"/>
    <n v="31.5"/>
    <n v="18.5"/>
    <n v="6"/>
    <s v=""/>
    <s v=""/>
  </r>
  <r>
    <x v="1"/>
    <s v="Créateur 126"/>
    <x v="0"/>
    <n v="160"/>
    <s v="dimanche"/>
    <s v="Oui"/>
    <n v="20"/>
    <s v="18-23 h"/>
    <n v="58"/>
    <x v="1"/>
    <s v="Oui"/>
    <n v="1"/>
    <s v="Non"/>
    <n v="23"/>
    <s v="Non"/>
    <s v="Oui"/>
    <s v="Oui"/>
    <m/>
    <m/>
    <m/>
    <x v="0"/>
    <m/>
    <n v="1400000"/>
    <n v="293800"/>
    <n v="6947"/>
    <n v="18300"/>
    <n v="0.22789071428571428"/>
    <n v="0"/>
    <s v=""/>
    <s v="Oui"/>
    <n v="68"/>
    <n v="29.5"/>
    <n v="93.5"/>
    <n v="45.5"/>
    <n v="35.5"/>
    <s v=""/>
    <s v=""/>
  </r>
  <r>
    <x v="1"/>
    <s v="Créateur 097"/>
    <x v="2"/>
    <n v="0"/>
    <s v="samedi"/>
    <s v="Oui"/>
    <n v="18"/>
    <s v="18-23 h"/>
    <n v="14"/>
    <x v="0"/>
    <s v="Non"/>
    <n v="0"/>
    <s v="Non"/>
    <n v="48"/>
    <s v="Non"/>
    <s v="Non"/>
    <s v="Non"/>
    <m/>
    <m/>
    <m/>
    <x v="0"/>
    <m/>
    <n v="1300000"/>
    <n v="289300"/>
    <n v="3340"/>
    <n v="2860"/>
    <n v="0.22730769230769229"/>
    <n v="0"/>
    <s v=""/>
    <s v="Oui"/>
    <n v="67"/>
    <n v="28"/>
    <n v="31.5"/>
    <n v="18.5"/>
    <n v="66.5"/>
    <s v=""/>
    <s v=""/>
  </r>
  <r>
    <x v="1"/>
    <s v="Créateur 171"/>
    <x v="0"/>
    <n v="19"/>
    <s v="lundi"/>
    <s v="Non"/>
    <n v="20"/>
    <s v="18-23 h"/>
    <n v="18"/>
    <x v="3"/>
    <s v="Oui"/>
    <n v="0"/>
    <s v="Non"/>
    <n v="19"/>
    <s v="Non"/>
    <s v="Non"/>
    <s v="Non"/>
    <m/>
    <m/>
    <m/>
    <x v="0"/>
    <m/>
    <n v="1200000"/>
    <n v="285000"/>
    <n v="4399"/>
    <n v="2433"/>
    <n v="0.24319333333333334"/>
    <n v="1"/>
    <s v=""/>
    <s v="Oui"/>
    <n v="76"/>
    <n v="26.5"/>
    <n v="56"/>
    <n v="18.5"/>
    <n v="29.5"/>
    <s v=""/>
    <s v=""/>
  </r>
  <r>
    <x v="1"/>
    <s v="Créateur 117"/>
    <x v="0"/>
    <n v="180"/>
    <s v="lundi"/>
    <s v="Non"/>
    <n v="23"/>
    <s v="18-23 h"/>
    <n v="10"/>
    <x v="2"/>
    <s v="Non"/>
    <n v="4"/>
    <s v="Oui"/>
    <n v="25"/>
    <s v="Non"/>
    <s v="Non"/>
    <s v="Oui"/>
    <m/>
    <m/>
    <m/>
    <x v="0"/>
    <m/>
    <n v="1200000"/>
    <n v="453600"/>
    <n v="6616"/>
    <n v="6579"/>
    <n v="0.38899583333333332"/>
    <n v="1"/>
    <s v=""/>
    <s v="Oui"/>
    <n v="100"/>
    <n v="26.5"/>
    <n v="11"/>
    <n v="84.5"/>
    <n v="40.5"/>
    <s v=""/>
    <s v=""/>
  </r>
  <r>
    <x v="1"/>
    <s v="Créateur 001"/>
    <x v="3"/>
    <n v="20"/>
    <s v="dimanche"/>
    <s v="Oui"/>
    <n v="23"/>
    <s v="18-23 h"/>
    <n v="10"/>
    <x v="2"/>
    <s v="Non"/>
    <n v="0"/>
    <s v="Non"/>
    <n v="54"/>
    <s v="Non"/>
    <s v="Non"/>
    <s v="Non"/>
    <m/>
    <m/>
    <m/>
    <x v="0"/>
    <m/>
    <n v="1100000"/>
    <n v="268900"/>
    <n v="2381"/>
    <n v="538"/>
    <n v="0.24710818181818181"/>
    <n v="1"/>
    <s v=""/>
    <s v="Oui"/>
    <n v="77"/>
    <n v="24.5"/>
    <n v="11"/>
    <n v="18.5"/>
    <n v="73"/>
    <s v=""/>
    <s v=""/>
  </r>
  <r>
    <x v="1"/>
    <s v="Créateur 098"/>
    <x v="0"/>
    <n v="73"/>
    <s v="mercredi"/>
    <s v="Non"/>
    <n v="19"/>
    <s v="18-23 h"/>
    <n v="15"/>
    <x v="0"/>
    <s v="Non"/>
    <n v="0"/>
    <s v="Non"/>
    <n v="70"/>
    <s v="Non"/>
    <s v="Non"/>
    <s v="Non"/>
    <m/>
    <m/>
    <m/>
    <x v="0"/>
    <m/>
    <n v="1100000"/>
    <n v="38700"/>
    <n v="351"/>
    <n v="138"/>
    <n v="3.5626363636363637E-2"/>
    <n v="0"/>
    <s v=""/>
    <s v="Oui"/>
    <n v="5"/>
    <n v="24.5"/>
    <n v="43.5"/>
    <n v="18.5"/>
    <n v="82"/>
    <s v=""/>
    <s v=""/>
  </r>
  <r>
    <x v="1"/>
    <s v="Créateur 106"/>
    <x v="0"/>
    <n v="78"/>
    <s v="vendredi"/>
    <s v="Non"/>
    <n v="20"/>
    <s v="18-23 h"/>
    <n v="15"/>
    <x v="0"/>
    <s v="Non"/>
    <n v="0"/>
    <s v="Non"/>
    <n v="46"/>
    <s v="Non"/>
    <s v="Non"/>
    <s v="Oui"/>
    <m/>
    <m/>
    <m/>
    <x v="0"/>
    <m/>
    <n v="1000000"/>
    <n v="81200"/>
    <n v="2312"/>
    <n v="483"/>
    <n v="8.3995E-2"/>
    <n v="0"/>
    <s v=""/>
    <s v="Oui"/>
    <n v="12"/>
    <n v="23"/>
    <n v="43.5"/>
    <n v="18.5"/>
    <n v="64"/>
    <s v=""/>
    <s v=""/>
  </r>
  <r>
    <x v="1"/>
    <s v="Créateur 078"/>
    <x v="0"/>
    <n v="12"/>
    <s v="lundi"/>
    <s v="Non"/>
    <n v="20"/>
    <s v="18-23 h"/>
    <n v="46"/>
    <x v="1"/>
    <s v="Oui"/>
    <n v="0"/>
    <s v="Non"/>
    <n v="133"/>
    <s v="Non"/>
    <s v="Non"/>
    <s v="Non"/>
    <m/>
    <m/>
    <m/>
    <x v="0"/>
    <m/>
    <n v="963000"/>
    <n v="40600"/>
    <n v="6552"/>
    <n v="1765"/>
    <n v="5.0796469366562826E-2"/>
    <n v="0"/>
    <s v=""/>
    <s v="Oui"/>
    <n v="9"/>
    <n v="22"/>
    <n v="85.5"/>
    <n v="18.5"/>
    <n v="99.5"/>
    <s v=""/>
    <s v=""/>
  </r>
  <r>
    <x v="1"/>
    <s v="Créateur 203"/>
    <x v="0"/>
    <n v="81"/>
    <s v="mardi"/>
    <s v="Non"/>
    <n v="0"/>
    <s v="0-5 h"/>
    <n v="25"/>
    <x v="3"/>
    <s v="Oui"/>
    <n v="0"/>
    <s v="Non"/>
    <n v="23"/>
    <s v="Non"/>
    <s v="Non"/>
    <s v="Non"/>
    <m/>
    <m/>
    <m/>
    <x v="0"/>
    <m/>
    <n v="758200"/>
    <n v="181800"/>
    <n v="3222"/>
    <n v="17300"/>
    <n v="0.26684515958849908"/>
    <n v="1"/>
    <s v=""/>
    <s v="Oui"/>
    <n v="87"/>
    <n v="21"/>
    <n v="67.5"/>
    <n v="18.5"/>
    <n v="35.5"/>
    <s v=""/>
    <s v=""/>
  </r>
  <r>
    <x v="1"/>
    <s v="Créateur 094"/>
    <x v="1"/>
    <n v="17"/>
    <s v="mercredi"/>
    <s v="Non"/>
    <n v="13"/>
    <s v="12-17 h"/>
    <n v="129"/>
    <x v="4"/>
    <s v="Oui"/>
    <n v="1"/>
    <s v="Non"/>
    <n v="89"/>
    <s v="Non"/>
    <s v="Oui"/>
    <s v="Non"/>
    <m/>
    <m/>
    <m/>
    <x v="0"/>
    <m/>
    <n v="686300"/>
    <n v="136200"/>
    <n v="1569"/>
    <n v="3385"/>
    <n v="0.20567390354072562"/>
    <n v="0"/>
    <s v=""/>
    <s v="Oui"/>
    <n v="60"/>
    <n v="20"/>
    <n v="99.5"/>
    <n v="45.5"/>
    <n v="90"/>
    <s v=""/>
    <s v=""/>
  </r>
  <r>
    <x v="1"/>
    <s v="Créateur 158"/>
    <x v="0"/>
    <n v="81"/>
    <s v="mardi"/>
    <s v="Non"/>
    <n v="0"/>
    <s v="0-5 h"/>
    <n v="25"/>
    <x v="3"/>
    <s v="Oui"/>
    <n v="0"/>
    <s v="Non"/>
    <n v="20"/>
    <s v="Non"/>
    <s v="Non"/>
    <s v="Non"/>
    <m/>
    <m/>
    <m/>
    <x v="0"/>
    <m/>
    <n v="630000"/>
    <n v="58300"/>
    <n v="1322"/>
    <n v="766"/>
    <n v="9.5853968253968261E-2"/>
    <n v="0"/>
    <s v=""/>
    <s v="Oui"/>
    <n v="19"/>
    <n v="19"/>
    <n v="67.5"/>
    <n v="18.5"/>
    <n v="32"/>
    <s v=""/>
    <s v=""/>
  </r>
  <r>
    <x v="1"/>
    <s v="Créateur 177"/>
    <x v="0"/>
    <n v="11"/>
    <s v="mardi"/>
    <s v="Non"/>
    <n v="19"/>
    <s v="18-23 h"/>
    <n v="30"/>
    <x v="3"/>
    <s v="Oui"/>
    <n v="3"/>
    <s v="Non"/>
    <n v="18"/>
    <s v="Non"/>
    <s v="Oui"/>
    <s v="Non"/>
    <m/>
    <m/>
    <m/>
    <x v="0"/>
    <m/>
    <n v="620100"/>
    <n v="46400"/>
    <n v="413"/>
    <n v="2578"/>
    <n v="7.9650056442509276E-2"/>
    <n v="0"/>
    <s v=""/>
    <s v="Oui"/>
    <n v="10"/>
    <n v="18"/>
    <n v="73.5"/>
    <n v="74"/>
    <n v="26"/>
    <s v=""/>
    <s v=""/>
  </r>
  <r>
    <x v="1"/>
    <s v="Créateur 046"/>
    <x v="3"/>
    <n v="2"/>
    <s v="jeudi"/>
    <s v="Non"/>
    <n v="2"/>
    <s v="0-5 h"/>
    <n v="70"/>
    <x v="4"/>
    <s v="Oui"/>
    <n v="5"/>
    <s v="Non"/>
    <n v="34"/>
    <s v="Non"/>
    <s v="Non"/>
    <s v="Non"/>
    <m/>
    <m/>
    <m/>
    <x v="0"/>
    <m/>
    <n v="574900"/>
    <n v="143500"/>
    <n v="1549"/>
    <n v="3832"/>
    <n v="0.25896851626369805"/>
    <n v="1"/>
    <s v=""/>
    <s v="Oui"/>
    <n v="83"/>
    <n v="17"/>
    <n v="97.5"/>
    <n v="90.5"/>
    <n v="50"/>
    <s v=""/>
    <s v=""/>
  </r>
  <r>
    <x v="1"/>
    <s v="Créateur 212"/>
    <x v="0"/>
    <n v="60"/>
    <s v="mardi"/>
    <s v="Non"/>
    <n v="19"/>
    <s v="18-23 h"/>
    <n v="15"/>
    <x v="0"/>
    <s v="Non"/>
    <n v="2"/>
    <s v="Non"/>
    <n v="115"/>
    <s v="Non"/>
    <s v="Oui"/>
    <s v="Non"/>
    <m/>
    <m/>
    <m/>
    <x v="0"/>
    <m/>
    <n v="549900"/>
    <n v="22600"/>
    <n v="808"/>
    <n v="215"/>
    <n v="4.2958719767230404E-2"/>
    <n v="0"/>
    <s v=""/>
    <s v="Oui"/>
    <n v="7"/>
    <n v="16"/>
    <n v="43.5"/>
    <n v="61"/>
    <n v="96.5"/>
    <s v=""/>
    <s v=""/>
  </r>
  <r>
    <x v="1"/>
    <s v="Créateur 017"/>
    <x v="1"/>
    <n v="54"/>
    <s v="lundi"/>
    <s v="Non"/>
    <n v="21"/>
    <s v="18-23 h"/>
    <n v="30"/>
    <x v="3"/>
    <s v="Oui"/>
    <n v="2"/>
    <s v="Oui"/>
    <n v="75"/>
    <s v="Non"/>
    <s v="Non"/>
    <s v="Non"/>
    <m/>
    <m/>
    <m/>
    <x v="0"/>
    <m/>
    <n v="523900"/>
    <n v="17300"/>
    <n v="260"/>
    <n v="187"/>
    <n v="3.3874785264363431E-2"/>
    <n v="0"/>
    <s v=""/>
    <s v="Oui"/>
    <n v="4"/>
    <n v="15"/>
    <n v="73.5"/>
    <n v="61"/>
    <n v="84"/>
    <s v=""/>
    <s v=""/>
  </r>
  <r>
    <x v="1"/>
    <s v="Créateur 069"/>
    <x v="1"/>
    <n v="57"/>
    <s v="vendredi"/>
    <s v="Non"/>
    <n v="16"/>
    <s v="12-17 h"/>
    <n v="56"/>
    <x v="1"/>
    <s v="Oui"/>
    <n v="2"/>
    <s v="Non"/>
    <n v="54"/>
    <s v="Non"/>
    <s v="Oui"/>
    <s v="Non"/>
    <m/>
    <m/>
    <m/>
    <x v="0"/>
    <m/>
    <n v="510500"/>
    <n v="45600"/>
    <n v="406"/>
    <n v="213"/>
    <n v="9.0536728697355531E-2"/>
    <n v="0"/>
    <s v=""/>
    <s v="Oui"/>
    <n v="15"/>
    <n v="14"/>
    <n v="91"/>
    <n v="61"/>
    <n v="73"/>
    <s v=""/>
    <s v=""/>
  </r>
  <r>
    <x v="1"/>
    <s v="Créateur 173"/>
    <x v="1"/>
    <n v="43"/>
    <s v="vendredi"/>
    <s v="Non"/>
    <n v="2"/>
    <s v="0-5 h"/>
    <n v="15"/>
    <x v="0"/>
    <s v="Non"/>
    <n v="2"/>
    <s v="Non"/>
    <n v="79"/>
    <s v="Non"/>
    <s v="Non"/>
    <s v="Non"/>
    <m/>
    <m/>
    <m/>
    <x v="0"/>
    <m/>
    <n v="453300"/>
    <n v="4159"/>
    <n v="68"/>
    <n v="30"/>
    <n v="9.3911317008603581E-3"/>
    <n v="0"/>
    <s v=""/>
    <s v="Oui"/>
    <n v="1"/>
    <n v="13"/>
    <n v="43.5"/>
    <n v="61"/>
    <n v="85"/>
    <s v=""/>
    <s v=""/>
  </r>
  <r>
    <x v="1"/>
    <s v="Créateur 083"/>
    <x v="0"/>
    <n v="45"/>
    <s v="mercredi"/>
    <s v="Non"/>
    <n v="22"/>
    <s v="18-23 h"/>
    <n v="38"/>
    <x v="1"/>
    <s v="Oui"/>
    <n v="0"/>
    <s v="Non"/>
    <n v="40"/>
    <s v="Non"/>
    <s v="Oui"/>
    <s v="Non"/>
    <m/>
    <m/>
    <m/>
    <x v="0"/>
    <m/>
    <n v="425000"/>
    <n v="43400"/>
    <n v="1783"/>
    <n v="4180"/>
    <n v="0.11614823529411765"/>
    <n v="0"/>
    <s v=""/>
    <s v="Oui"/>
    <n v="24"/>
    <n v="12"/>
    <n v="77.5"/>
    <n v="18.5"/>
    <n v="59"/>
    <s v=""/>
    <s v=""/>
  </r>
  <r>
    <x v="1"/>
    <s v="Créateur 038"/>
    <x v="0"/>
    <n v="1"/>
    <s v="vendredi"/>
    <s v="Non"/>
    <n v="19"/>
    <s v="18-23 h"/>
    <n v="70"/>
    <x v="4"/>
    <s v="Oui"/>
    <n v="4"/>
    <s v="Non"/>
    <n v="9"/>
    <s v="Non"/>
    <s v="Oui"/>
    <s v="Non"/>
    <m/>
    <m/>
    <m/>
    <x v="0"/>
    <m/>
    <n v="355800"/>
    <n v="76000"/>
    <n v="1344"/>
    <n v="704"/>
    <n v="0.21935919055649242"/>
    <n v="0"/>
    <s v=""/>
    <s v="Oui"/>
    <n v="63"/>
    <n v="11"/>
    <n v="97.5"/>
    <n v="84.5"/>
    <n v="17.5"/>
    <s v=""/>
    <s v=""/>
  </r>
  <r>
    <x v="1"/>
    <s v="Créateur 151"/>
    <x v="0"/>
    <n v="10"/>
    <s v="mercredi"/>
    <s v="Non"/>
    <n v="23"/>
    <s v="18-23 h"/>
    <n v="13"/>
    <x v="0"/>
    <s v="Non"/>
    <n v="3"/>
    <s v="Non"/>
    <n v="80"/>
    <s v="Non"/>
    <s v="Non"/>
    <s v="Non"/>
    <m/>
    <m/>
    <m/>
    <x v="0"/>
    <m/>
    <n v="260200"/>
    <n v="26600"/>
    <n v="528"/>
    <n v="730"/>
    <n v="0.10706379707916987"/>
    <n v="0"/>
    <s v=""/>
    <s v="Oui"/>
    <n v="22"/>
    <n v="10"/>
    <n v="26"/>
    <n v="74"/>
    <n v="86.5"/>
    <s v=""/>
    <s v=""/>
  </r>
  <r>
    <x v="1"/>
    <s v="Créateur 110"/>
    <x v="1"/>
    <n v="44"/>
    <s v="jeudi"/>
    <s v="Non"/>
    <n v="20"/>
    <s v="18-23 h"/>
    <n v="59"/>
    <x v="1"/>
    <s v="Oui"/>
    <n v="5"/>
    <s v="Oui"/>
    <n v="49"/>
    <s v="Non"/>
    <s v="Oui"/>
    <s v="Non"/>
    <m/>
    <m/>
    <m/>
    <x v="0"/>
    <m/>
    <n v="198900"/>
    <n v="26600"/>
    <n v="615"/>
    <n v="400"/>
    <n v="0.13883861236802414"/>
    <n v="0"/>
    <s v=""/>
    <s v="Oui"/>
    <n v="32"/>
    <n v="9"/>
    <n v="95"/>
    <n v="90.5"/>
    <n v="68"/>
    <s v=""/>
    <s v=""/>
  </r>
  <r>
    <x v="1"/>
    <s v="Créateur 215"/>
    <x v="0"/>
    <n v="40"/>
    <s v="lundi"/>
    <s v="Non"/>
    <n v="14"/>
    <s v="12-17 h"/>
    <n v="10"/>
    <x v="2"/>
    <s v="Non"/>
    <n v="3"/>
    <s v="Non"/>
    <n v="55"/>
    <s v="Non"/>
    <s v="Non"/>
    <s v="Non"/>
    <m/>
    <m/>
    <m/>
    <x v="0"/>
    <m/>
    <n v="180600"/>
    <n v="19900"/>
    <n v="1344"/>
    <n v="367"/>
    <n v="0.11966223698781839"/>
    <n v="0"/>
    <s v=""/>
    <s v="Oui"/>
    <n v="25"/>
    <n v="8"/>
    <n v="11"/>
    <n v="74"/>
    <n v="75"/>
    <s v=""/>
    <s v=""/>
  </r>
  <r>
    <x v="1"/>
    <s v="Créateur 030"/>
    <x v="0"/>
    <n v="41"/>
    <s v="dimanche"/>
    <s v="Oui"/>
    <n v="9"/>
    <s v="6-11 h"/>
    <n v="21"/>
    <x v="3"/>
    <s v="Oui"/>
    <n v="1"/>
    <s v="Non"/>
    <n v="13"/>
    <s v="Non"/>
    <s v="Non"/>
    <s v="Oui"/>
    <m/>
    <m/>
    <m/>
    <x v="0"/>
    <m/>
    <n v="150400"/>
    <n v="12100"/>
    <n v="882"/>
    <n v="74"/>
    <n v="8.6808510638297878E-2"/>
    <n v="0"/>
    <s v=""/>
    <s v="Oui"/>
    <n v="14"/>
    <n v="7"/>
    <n v="59"/>
    <n v="45.5"/>
    <n v="20"/>
    <s v=""/>
    <s v=""/>
  </r>
  <r>
    <x v="1"/>
    <s v="Créateur 025"/>
    <x v="1"/>
    <n v="64"/>
    <s v="vendredi"/>
    <s v="Non"/>
    <n v="21"/>
    <s v="18-23 h"/>
    <n v="40"/>
    <x v="1"/>
    <s v="Oui"/>
    <n v="5"/>
    <s v="Non"/>
    <n v="46"/>
    <s v="Non"/>
    <s v="Non"/>
    <s v="Non"/>
    <m/>
    <m/>
    <m/>
    <x v="0"/>
    <m/>
    <n v="107400"/>
    <n v="16700"/>
    <n v="584"/>
    <n v="335"/>
    <n v="0.16405027932960894"/>
    <n v="0"/>
    <s v=""/>
    <s v="Oui"/>
    <n v="42"/>
    <n v="6"/>
    <n v="79"/>
    <n v="90.5"/>
    <n v="64"/>
    <s v=""/>
    <s v=""/>
  </r>
  <r>
    <x v="1"/>
    <s v="Créateur 117"/>
    <x v="0"/>
    <n v="175"/>
    <s v="samedi"/>
    <s v="Oui"/>
    <n v="0"/>
    <s v="0-5 h"/>
    <n v="10"/>
    <x v="2"/>
    <s v="Non"/>
    <n v="3"/>
    <s v="Oui"/>
    <n v="35"/>
    <s v="Non"/>
    <s v="Oui"/>
    <s v="Oui"/>
    <m/>
    <m/>
    <m/>
    <x v="0"/>
    <m/>
    <n v="73800"/>
    <n v="7528"/>
    <n v="119"/>
    <n v="32"/>
    <n v="0.10405149051490514"/>
    <n v="0"/>
    <s v=""/>
    <s v="Oui"/>
    <n v="21"/>
    <n v="5"/>
    <n v="11"/>
    <n v="74"/>
    <n v="52.5"/>
    <s v=""/>
    <s v=""/>
  </r>
  <r>
    <x v="1"/>
    <s v="Créateur 147"/>
    <x v="0"/>
    <n v="89"/>
    <s v="lundi"/>
    <s v="Non"/>
    <n v="12"/>
    <s v="12-17 h"/>
    <n v="15"/>
    <x v="0"/>
    <s v="Non"/>
    <n v="2"/>
    <s v="Oui"/>
    <n v="80"/>
    <s v="Non"/>
    <s v="Non"/>
    <s v="Non"/>
    <m/>
    <m/>
    <m/>
    <x v="0"/>
    <m/>
    <n v="40500"/>
    <n v="1073"/>
    <n v="81"/>
    <n v="51"/>
    <n v="2.9753086419753088E-2"/>
    <n v="0"/>
    <s v=""/>
    <s v="Oui"/>
    <n v="3"/>
    <n v="4"/>
    <n v="43.5"/>
    <n v="61"/>
    <n v="86.5"/>
    <s v=""/>
    <s v=""/>
  </r>
  <r>
    <x v="1"/>
    <s v="Créateur 052"/>
    <x v="1"/>
    <n v="57"/>
    <s v="vendredi"/>
    <s v="Non"/>
    <n v="16"/>
    <s v="12-17 h"/>
    <n v="26"/>
    <x v="3"/>
    <s v="Oui"/>
    <n v="3"/>
    <s v="Non"/>
    <n v="41"/>
    <s v="Non"/>
    <s v="Oui"/>
    <s v="Oui"/>
    <m/>
    <m/>
    <m/>
    <x v="0"/>
    <m/>
    <n v="28700"/>
    <n v="1369"/>
    <n v="58"/>
    <n v="10"/>
    <n v="5.0069686411149825E-2"/>
    <n v="0"/>
    <s v=""/>
    <s v="Oui"/>
    <n v="8"/>
    <n v="3"/>
    <n v="69"/>
    <n v="74"/>
    <n v="60.5"/>
    <s v=""/>
    <s v=""/>
  </r>
  <r>
    <x v="1"/>
    <s v="Créateur 081"/>
    <x v="1"/>
    <n v="18"/>
    <s v="mardi"/>
    <s v="Non"/>
    <n v="19"/>
    <s v="18-23 h"/>
    <n v="17"/>
    <x v="3"/>
    <s v="Oui"/>
    <n v="0"/>
    <s v="Non"/>
    <n v="115"/>
    <s v="Non"/>
    <s v="Non"/>
    <s v="Non"/>
    <m/>
    <m/>
    <m/>
    <x v="0"/>
    <m/>
    <n v="22300"/>
    <n v="1928"/>
    <n v="85"/>
    <n v="47"/>
    <n v="9.2376681614349782E-2"/>
    <n v="0"/>
    <s v=""/>
    <s v="Oui"/>
    <n v="16"/>
    <n v="2"/>
    <n v="53.5"/>
    <n v="18.5"/>
    <n v="96.5"/>
    <s v=""/>
    <s v=""/>
  </r>
  <r>
    <x v="1"/>
    <s v="Créateur 174"/>
    <x v="1"/>
    <n v="5"/>
    <s v="lundi"/>
    <s v="Non"/>
    <n v="18"/>
    <s v="18-23 h"/>
    <n v="21"/>
    <x v="3"/>
    <s v="Oui"/>
    <n v="1"/>
    <s v="Non"/>
    <n v="101"/>
    <s v="Non"/>
    <s v="Oui"/>
    <s v="Oui"/>
    <m/>
    <m/>
    <m/>
    <x v="0"/>
    <m/>
    <n v="8689"/>
    <n v="326"/>
    <n v="31"/>
    <n v="3"/>
    <n v="4.1431695246863853E-2"/>
    <n v="0"/>
    <s v=""/>
    <s v="Oui"/>
    <n v="6"/>
    <n v="1"/>
    <n v="59"/>
    <n v="45.5"/>
    <n v="93"/>
    <s v=""/>
    <s v=""/>
  </r>
  <r>
    <x v="2"/>
    <s v="Créateur 019"/>
    <x v="4"/>
    <n v="433"/>
    <s v="mercredi"/>
    <s v="Non"/>
    <n v="20"/>
    <s v="18-23 h"/>
    <n v="13"/>
    <x v="0"/>
    <s v="Non"/>
    <n v="6"/>
    <s v="Oui"/>
    <n v="8"/>
    <s v="Non"/>
    <s v="Non"/>
    <s v="Non"/>
    <s v="Oui"/>
    <s v="Oui"/>
    <n v="3100000"/>
    <x v="1"/>
    <n v="87"/>
    <n v="280900000"/>
    <n v="35600000"/>
    <n v="475900"/>
    <n v="2700000"/>
    <n v="0.13804165183339268"/>
    <n v="0"/>
    <n v="90.612903225806448"/>
    <s v="Oui"/>
    <n v="32"/>
    <n v="100"/>
    <n v="33.5"/>
    <n v="30"/>
    <n v="24.5"/>
    <n v="51"/>
    <n v="24.5"/>
  </r>
  <r>
    <x v="2"/>
    <s v="@funnyvids2k21"/>
    <x v="4"/>
    <n v="227"/>
    <s v="samedi"/>
    <s v="Oui"/>
    <n v="15"/>
    <s v="12-17 h"/>
    <n v="7"/>
    <x v="2"/>
    <s v="Non"/>
    <n v="13"/>
    <s v="Oui"/>
    <n v="3"/>
    <s v="Non"/>
    <s v="Non"/>
    <s v="Non"/>
    <s v="Oui"/>
    <s v="Oui"/>
    <n v="4200000"/>
    <x v="1"/>
    <n v="98"/>
    <n v="197700000"/>
    <n v="18800000"/>
    <n v="236500"/>
    <n v="1200000"/>
    <n v="0.10235963581183612"/>
    <n v="0"/>
    <n v="47.071428571428569"/>
    <s v="Oui"/>
    <n v="16"/>
    <n v="99"/>
    <n v="5.5"/>
    <n v="87.5"/>
    <n v="17"/>
    <n v="55.5"/>
    <n v="30.5"/>
  </r>
  <r>
    <x v="2"/>
    <s v="Créateur 031"/>
    <x v="4"/>
    <n v="107"/>
    <s v="dimanche"/>
    <s v="Oui"/>
    <n v="11"/>
    <s v="6-11 h"/>
    <n v="37"/>
    <x v="1"/>
    <s v="Oui"/>
    <n v="4"/>
    <s v="Oui"/>
    <n v="21"/>
    <s v="Non"/>
    <s v="Non"/>
    <s v="Oui"/>
    <s v="Oui"/>
    <s v="Oui"/>
    <n v="1500000"/>
    <x v="2"/>
    <n v="331"/>
    <n v="161300000"/>
    <n v="6800000"/>
    <n v="31600"/>
    <n v="46700"/>
    <n v="4.2642901425914446E-2"/>
    <n v="0"/>
    <n v="107.53333333333333"/>
    <s v="Oui"/>
    <n v="1"/>
    <n v="98"/>
    <n v="78"/>
    <n v="15.5"/>
    <n v="47.5"/>
    <n v="37"/>
    <n v="57"/>
  </r>
  <r>
    <x v="2"/>
    <s v="Créateur 193"/>
    <x v="2"/>
    <n v="220"/>
    <s v="samedi"/>
    <s v="Oui"/>
    <n v="15"/>
    <s v="12-17 h"/>
    <n v="18"/>
    <x v="3"/>
    <s v="Oui"/>
    <n v="7"/>
    <s v="Oui"/>
    <n v="24"/>
    <s v="Non"/>
    <s v="Oui"/>
    <s v="Non"/>
    <s v="Oui"/>
    <s v="Oui"/>
    <n v="27400000"/>
    <x v="3"/>
    <n v="588"/>
    <n v="154900000"/>
    <n v="13800000"/>
    <n v="76100"/>
    <n v="60100"/>
    <n v="8.9969012265978046E-2"/>
    <n v="0"/>
    <n v="5.6532846715328464"/>
    <s v="Oui"/>
    <n v="11"/>
    <n v="97"/>
    <n v="53"/>
    <n v="37.5"/>
    <n v="51.5"/>
    <n v="96.5"/>
    <n v="78.5"/>
  </r>
  <r>
    <x v="2"/>
    <s v="@samuelgrubbs"/>
    <x v="2"/>
    <n v="353"/>
    <s v="samedi"/>
    <s v="Oui"/>
    <n v="23"/>
    <s v="18-23 h"/>
    <n v="14"/>
    <x v="0"/>
    <s v="Non"/>
    <n v="10"/>
    <s v="Oui"/>
    <n v="67"/>
    <s v="Non"/>
    <s v="Non"/>
    <s v="Non"/>
    <s v="Non"/>
    <s v="Oui"/>
    <n v="7900000"/>
    <x v="1"/>
    <n v="126"/>
    <n v="144300000"/>
    <n v="18500000"/>
    <n v="222000"/>
    <n v="421400"/>
    <n v="0.13266389466389467"/>
    <n v="0"/>
    <n v="18.265822784810126"/>
    <s v="Oui"/>
    <n v="30"/>
    <n v="96"/>
    <n v="38"/>
    <n v="71.5"/>
    <n v="93.5"/>
    <n v="76"/>
    <n v="36.5"/>
  </r>
  <r>
    <x v="2"/>
    <s v="Créateur 181"/>
    <x v="2"/>
    <n v="470"/>
    <s v="lundi"/>
    <s v="Non"/>
    <n v="12"/>
    <s v="12-17 h"/>
    <n v="19"/>
    <x v="3"/>
    <s v="Oui"/>
    <n v="5"/>
    <s v="Oui"/>
    <n v="34"/>
    <s v="Non"/>
    <s v="Non"/>
    <s v="Non"/>
    <s v="Oui"/>
    <s v="Oui"/>
    <n v="1900000"/>
    <x v="2"/>
    <n v="242"/>
    <n v="142900000"/>
    <n v="7800000"/>
    <n v="13600"/>
    <n v="49800"/>
    <n v="5.5027291812456261E-2"/>
    <n v="0"/>
    <n v="75.21052631578948"/>
    <s v="Oui"/>
    <n v="2"/>
    <n v="95"/>
    <n v="56.5"/>
    <n v="22"/>
    <n v="70"/>
    <n v="41.5"/>
    <n v="49"/>
  </r>
  <r>
    <x v="2"/>
    <s v="@relaxedbryan"/>
    <x v="3"/>
    <n v="113"/>
    <s v="lundi"/>
    <s v="Non"/>
    <n v="2"/>
    <s v="0-5 h"/>
    <n v="8"/>
    <x v="2"/>
    <s v="Non"/>
    <n v="9"/>
    <s v="Oui"/>
    <n v="65"/>
    <s v="Non"/>
    <s v="Oui"/>
    <s v="Oui"/>
    <s v="Oui"/>
    <s v="Non"/>
    <n v="1900000"/>
    <x v="2"/>
    <n v="271"/>
    <n v="142000000"/>
    <n v="7600000"/>
    <n v="63200"/>
    <n v="711800"/>
    <n v="5.8978873239436617E-2"/>
    <n v="0"/>
    <n v="74.736842105263165"/>
    <s v="Oui"/>
    <n v="3"/>
    <n v="94"/>
    <n v="9.5"/>
    <n v="60"/>
    <n v="92"/>
    <n v="41.5"/>
    <n v="50"/>
  </r>
  <r>
    <x v="2"/>
    <s v="Créateur 193"/>
    <x v="2"/>
    <n v="242"/>
    <s v="vendredi"/>
    <s v="Non"/>
    <n v="14"/>
    <s v="12-17 h"/>
    <n v="10"/>
    <x v="2"/>
    <s v="Non"/>
    <n v="8"/>
    <s v="Oui"/>
    <n v="2"/>
    <s v="Non"/>
    <s v="Oui"/>
    <s v="Non"/>
    <s v="Oui"/>
    <s v="Oui"/>
    <n v="27400000"/>
    <x v="3"/>
    <n v="588"/>
    <n v="141800000"/>
    <n v="16000000"/>
    <n v="163800"/>
    <n v="152600"/>
    <n v="0.11506629055007052"/>
    <n v="0"/>
    <n v="5.1751824817518246"/>
    <s v="Oui"/>
    <n v="22"/>
    <n v="93"/>
    <n v="22"/>
    <n v="47.5"/>
    <n v="14.5"/>
    <n v="96.5"/>
    <n v="78.5"/>
  </r>
  <r>
    <x v="2"/>
    <s v="@samuelgrubbs"/>
    <x v="2"/>
    <n v="690"/>
    <s v="vendredi"/>
    <s v="Non"/>
    <n v="22"/>
    <s v="18-23 h"/>
    <n v="18"/>
    <x v="3"/>
    <s v="Oui"/>
    <n v="10"/>
    <s v="Oui"/>
    <n v="20"/>
    <s v="Non"/>
    <s v="Non"/>
    <s v="Non"/>
    <s v="Non"/>
    <s v="Oui"/>
    <n v="7900000"/>
    <x v="1"/>
    <n v="126"/>
    <n v="126600000"/>
    <n v="12000000"/>
    <n v="60100"/>
    <n v="701300"/>
    <n v="0.10080094786729858"/>
    <n v="0"/>
    <n v="16.025316455696203"/>
    <s v="Oui"/>
    <n v="15"/>
    <n v="92"/>
    <n v="53"/>
    <n v="71.5"/>
    <n v="46"/>
    <n v="76"/>
    <n v="36.5"/>
  </r>
  <r>
    <x v="2"/>
    <s v="Créateur 067"/>
    <x v="1"/>
    <n v="486"/>
    <s v="samedi"/>
    <s v="Oui"/>
    <n v="7"/>
    <s v="6-11 h"/>
    <n v="15"/>
    <x v="0"/>
    <s v="Non"/>
    <n v="8"/>
    <s v="Oui"/>
    <n v="50"/>
    <s v="Non"/>
    <s v="Non"/>
    <s v="Oui"/>
    <s v="Oui"/>
    <s v="Oui"/>
    <n v="4500000"/>
    <x v="1"/>
    <n v="1048"/>
    <n v="123200000"/>
    <n v="8400000"/>
    <n v="17700"/>
    <n v="152800"/>
    <n v="6.9565746753246754E-2"/>
    <n v="0"/>
    <n v="27.377777777777776"/>
    <s v="Oui"/>
    <n v="4"/>
    <n v="91"/>
    <n v="43"/>
    <n v="47.5"/>
    <n v="84"/>
    <n v="61.5"/>
    <n v="92"/>
  </r>
  <r>
    <x v="2"/>
    <s v="Créateur 155"/>
    <x v="1"/>
    <n v="588"/>
    <s v="mardi"/>
    <s v="Non"/>
    <n v="17"/>
    <s v="12-17 h"/>
    <n v="22"/>
    <x v="3"/>
    <s v="Oui"/>
    <n v="10"/>
    <s v="Oui"/>
    <n v="57"/>
    <s v="Non"/>
    <s v="Oui"/>
    <s v="Non"/>
    <s v="Oui"/>
    <s v="Oui"/>
    <n v="9100000"/>
    <x v="3"/>
    <n v="543"/>
    <n v="112600000"/>
    <n v="10000000"/>
    <n v="14100"/>
    <n v="39600"/>
    <n v="8.9286856127886324E-2"/>
    <n v="0"/>
    <n v="12.373626373626374"/>
    <s v="Oui"/>
    <n v="10"/>
    <n v="90"/>
    <n v="62.5"/>
    <n v="71.5"/>
    <n v="88"/>
    <n v="85.5"/>
    <n v="73.5"/>
  </r>
  <r>
    <x v="2"/>
    <s v="@funnyvids2k21"/>
    <x v="4"/>
    <n v="239"/>
    <s v="lundi"/>
    <s v="Non"/>
    <n v="19"/>
    <s v="18-23 h"/>
    <n v="7"/>
    <x v="2"/>
    <s v="Non"/>
    <n v="13"/>
    <s v="Oui"/>
    <n v="5"/>
    <s v="Non"/>
    <s v="Non"/>
    <s v="Non"/>
    <s v="Oui"/>
    <s v="Oui"/>
    <n v="4200000"/>
    <x v="1"/>
    <n v="98"/>
    <n v="112400000"/>
    <n v="14100000"/>
    <n v="180200"/>
    <n v="601600"/>
    <n v="0.13240035587188612"/>
    <n v="0"/>
    <n v="26.761904761904763"/>
    <s v="Oui"/>
    <n v="29"/>
    <n v="89"/>
    <n v="5.5"/>
    <n v="87.5"/>
    <n v="21"/>
    <n v="55.5"/>
    <n v="30.5"/>
  </r>
  <r>
    <x v="2"/>
    <s v="Créateur 145"/>
    <x v="2"/>
    <n v="118"/>
    <s v="mercredi"/>
    <s v="Non"/>
    <n v="16"/>
    <s v="12-17 h"/>
    <n v="12"/>
    <x v="0"/>
    <s v="Non"/>
    <n v="1"/>
    <s v="Non"/>
    <n v="13"/>
    <s v="Non"/>
    <s v="Non"/>
    <s v="Non"/>
    <s v="Oui"/>
    <s v="Non"/>
    <n v="946600"/>
    <x v="4"/>
    <n v="41"/>
    <n v="110500000"/>
    <n v="14100000"/>
    <n v="49200"/>
    <n v="128700"/>
    <n v="0.12921176470588236"/>
    <n v="0"/>
    <n v="116.73357278681597"/>
    <s v="Oui"/>
    <n v="26"/>
    <n v="88"/>
    <n v="30.5"/>
    <n v="1"/>
    <n v="34.5"/>
    <n v="26"/>
    <n v="16"/>
  </r>
  <r>
    <x v="2"/>
    <s v="Créateur 154"/>
    <x v="4"/>
    <n v="359"/>
    <s v="dimanche"/>
    <s v="Oui"/>
    <n v="23"/>
    <s v="18-23 h"/>
    <n v="6"/>
    <x v="2"/>
    <s v="Non"/>
    <n v="3"/>
    <s v="Non"/>
    <n v="14"/>
    <s v="Non"/>
    <s v="Non"/>
    <s v="Non"/>
    <s v="Oui"/>
    <s v="Oui"/>
    <n v="2700000"/>
    <x v="2"/>
    <n v="374"/>
    <n v="108100000"/>
    <n v="14000000"/>
    <n v="190300"/>
    <n v="1300000"/>
    <n v="0.14329602220166512"/>
    <n v="0"/>
    <n v="40.037037037037038"/>
    <s v="Oui"/>
    <n v="37"/>
    <n v="87"/>
    <n v="1.5"/>
    <n v="10.5"/>
    <n v="36.5"/>
    <n v="49"/>
    <n v="59"/>
  </r>
  <r>
    <x v="2"/>
    <s v="Créateur 184"/>
    <x v="1"/>
    <n v="252"/>
    <s v="mardi"/>
    <s v="Non"/>
    <n v="2"/>
    <s v="0-5 h"/>
    <n v="23"/>
    <x v="3"/>
    <s v="Oui"/>
    <n v="12"/>
    <s v="Oui"/>
    <n v="21"/>
    <s v="Non"/>
    <s v="Oui"/>
    <s v="Non"/>
    <s v="Oui"/>
    <s v="Oui"/>
    <n v="2300000"/>
    <x v="2"/>
    <n v="389"/>
    <n v="106200000"/>
    <n v="10400000"/>
    <n v="14000"/>
    <n v="19400"/>
    <n v="9.8242937853107351E-2"/>
    <n v="0"/>
    <n v="46.173913043478258"/>
    <s v="Oui"/>
    <n v="13"/>
    <n v="86"/>
    <n v="65"/>
    <n v="83"/>
    <n v="47.5"/>
    <n v="45.5"/>
    <n v="61.5"/>
  </r>
  <r>
    <x v="2"/>
    <s v="Créateur 229"/>
    <x v="3"/>
    <n v="79"/>
    <s v="dimanche"/>
    <s v="Oui"/>
    <n v="11"/>
    <s v="6-11 h"/>
    <n v="56"/>
    <x v="1"/>
    <s v="Oui"/>
    <n v="17"/>
    <s v="Oui"/>
    <n v="16"/>
    <s v="Non"/>
    <s v="Non"/>
    <s v="Non"/>
    <s v="Oui"/>
    <s v="Oui"/>
    <n v="1300000"/>
    <x v="2"/>
    <n v="22"/>
    <n v="102000000"/>
    <n v="7600000"/>
    <n v="114600"/>
    <n v="473400"/>
    <n v="8.0274509803921562E-2"/>
    <n v="0"/>
    <n v="78.461538461538467"/>
    <s v="Oui"/>
    <n v="6"/>
    <n v="85"/>
    <n v="92"/>
    <n v="95.5"/>
    <n v="40.5"/>
    <n v="33"/>
    <n v="8"/>
  </r>
  <r>
    <x v="2"/>
    <s v="Créateur 179"/>
    <x v="4"/>
    <n v="392"/>
    <s v="mardi"/>
    <s v="Non"/>
    <n v="17"/>
    <s v="12-17 h"/>
    <n v="6"/>
    <x v="2"/>
    <s v="Non"/>
    <n v="10"/>
    <s v="Oui"/>
    <n v="27"/>
    <s v="Non"/>
    <s v="Non"/>
    <s v="Non"/>
    <s v="Oui"/>
    <s v="Oui"/>
    <n v="1100000"/>
    <x v="2"/>
    <n v="240"/>
    <n v="100600000"/>
    <n v="7900000"/>
    <n v="80400"/>
    <n v="488400"/>
    <n v="8.4182902584493041E-2"/>
    <n v="0"/>
    <n v="91.454545454545453"/>
    <s v="Oui"/>
    <n v="7"/>
    <n v="84"/>
    <n v="1.5"/>
    <n v="71.5"/>
    <n v="58"/>
    <n v="30.5"/>
    <n v="48"/>
  </r>
  <r>
    <x v="2"/>
    <s v="Créateur 207"/>
    <x v="4"/>
    <n v="203"/>
    <s v="mardi"/>
    <s v="Non"/>
    <n v="21"/>
    <s v="18-23 h"/>
    <n v="10"/>
    <x v="2"/>
    <s v="Non"/>
    <n v="7"/>
    <s v="Oui"/>
    <n v="32"/>
    <s v="Non"/>
    <s v="Non"/>
    <s v="Non"/>
    <s v="Oui"/>
    <s v="Non"/>
    <n v="1400000"/>
    <x v="2"/>
    <n v="7"/>
    <n v="98500000"/>
    <n v="18400000"/>
    <n v="157000"/>
    <n v="383600"/>
    <n v="0.19229035532994923"/>
    <n v="0"/>
    <n v="70.357142857142861"/>
    <s v="Oui"/>
    <n v="68"/>
    <n v="83"/>
    <n v="22"/>
    <n v="37.5"/>
    <n v="66.5"/>
    <n v="35.5"/>
    <n v="5"/>
  </r>
  <r>
    <x v="2"/>
    <s v="Créateur 118"/>
    <x v="2"/>
    <n v="146"/>
    <s v="mercredi"/>
    <s v="Non"/>
    <n v="7"/>
    <s v="6-11 h"/>
    <n v="15"/>
    <x v="0"/>
    <s v="Non"/>
    <n v="7"/>
    <s v="Oui"/>
    <n v="27"/>
    <s v="Non"/>
    <s v="Non"/>
    <s v="Non"/>
    <s v="Oui"/>
    <s v="Oui"/>
    <n v="398400"/>
    <x v="4"/>
    <n v="32"/>
    <n v="97200000"/>
    <n v="7600000"/>
    <n v="44500"/>
    <n v="66600"/>
    <n v="7.933230452674897E-2"/>
    <n v="0"/>
    <n v="243.97590361445782"/>
    <s v="Oui"/>
    <n v="5"/>
    <n v="82"/>
    <n v="43"/>
    <n v="37.5"/>
    <n v="58"/>
    <n v="13"/>
    <n v="12"/>
  </r>
  <r>
    <x v="2"/>
    <s v="Créateur 183"/>
    <x v="3"/>
    <n v="110"/>
    <s v="jeudi"/>
    <s v="Non"/>
    <n v="14"/>
    <s v="12-17 h"/>
    <n v="21"/>
    <x v="3"/>
    <s v="Oui"/>
    <n v="5"/>
    <s v="Oui"/>
    <n v="14"/>
    <s v="Non"/>
    <s v="Oui"/>
    <s v="Non"/>
    <s v="Oui"/>
    <s v="Oui"/>
    <n v="8700000"/>
    <x v="3"/>
    <n v="75"/>
    <n v="88200000"/>
    <n v="8700000"/>
    <n v="91500"/>
    <n v="17100"/>
    <n v="9.9870748299319731E-2"/>
    <n v="0"/>
    <n v="10.137931034482758"/>
    <s v="Oui"/>
    <n v="14"/>
    <n v="81"/>
    <n v="61"/>
    <n v="22"/>
    <n v="36.5"/>
    <n v="82.5"/>
    <n v="23"/>
  </r>
  <r>
    <x v="2"/>
    <s v="Créateur 184"/>
    <x v="1"/>
    <n v="112"/>
    <s v="mardi"/>
    <s v="Non"/>
    <n v="22"/>
    <s v="18-23 h"/>
    <n v="23"/>
    <x v="3"/>
    <s v="Oui"/>
    <n v="11"/>
    <s v="Oui"/>
    <n v="27"/>
    <s v="Non"/>
    <s v="Oui"/>
    <s v="Non"/>
    <s v="Oui"/>
    <s v="Oui"/>
    <n v="2300000"/>
    <x v="2"/>
    <n v="389"/>
    <n v="86200000"/>
    <n v="7300000"/>
    <n v="16300"/>
    <n v="8102"/>
    <n v="8.4969860788863108E-2"/>
    <n v="0"/>
    <n v="37.478260869565219"/>
    <s v="Oui"/>
    <n v="8"/>
    <n v="80"/>
    <n v="65"/>
    <n v="79"/>
    <n v="58"/>
    <n v="45.5"/>
    <n v="61.5"/>
  </r>
  <r>
    <x v="2"/>
    <s v="Créateur 193"/>
    <x v="2"/>
    <n v="224"/>
    <s v="mardi"/>
    <s v="Non"/>
    <n v="14"/>
    <s v="12-17 h"/>
    <n v="17"/>
    <x v="3"/>
    <s v="Oui"/>
    <n v="8"/>
    <s v="Oui"/>
    <n v="7"/>
    <s v="Non"/>
    <s v="Oui"/>
    <s v="Non"/>
    <s v="Oui"/>
    <s v="Oui"/>
    <n v="27400000"/>
    <x v="3"/>
    <n v="588"/>
    <n v="85700000"/>
    <n v="9100000"/>
    <n v="47100"/>
    <n v="33900"/>
    <n v="0.10712952158693116"/>
    <n v="0"/>
    <n v="3.1277372262773722"/>
    <s v="Oui"/>
    <n v="19"/>
    <n v="79"/>
    <n v="51"/>
    <n v="47.5"/>
    <n v="22.5"/>
    <n v="96.5"/>
    <n v="78.5"/>
  </r>
  <r>
    <x v="2"/>
    <s v="Créateur 028"/>
    <x v="2"/>
    <n v="345"/>
    <s v="dimanche"/>
    <s v="Oui"/>
    <n v="13"/>
    <s v="12-17 h"/>
    <n v="59"/>
    <x v="1"/>
    <s v="Oui"/>
    <n v="11"/>
    <s v="Non"/>
    <n v="60"/>
    <s v="Non"/>
    <s v="Non"/>
    <s v="Non"/>
    <s v="Non"/>
    <s v="Oui"/>
    <n v="33200000"/>
    <x v="3"/>
    <n v="1845"/>
    <n v="82300000"/>
    <n v="6900000"/>
    <n v="30800"/>
    <n v="194900"/>
    <n v="8.6582017010935597E-2"/>
    <n v="0"/>
    <n v="2.4789156626506026"/>
    <s v="Oui"/>
    <n v="9"/>
    <n v="78"/>
    <n v="97"/>
    <n v="79"/>
    <n v="90"/>
    <n v="100"/>
    <n v="99"/>
  </r>
  <r>
    <x v="2"/>
    <s v="Créateur 024"/>
    <x v="2"/>
    <n v="537"/>
    <s v="jeudi"/>
    <s v="Non"/>
    <n v="14"/>
    <s v="12-17 h"/>
    <n v="20"/>
    <x v="3"/>
    <s v="Oui"/>
    <n v="5"/>
    <s v="Oui"/>
    <n v="34"/>
    <s v="Non"/>
    <s v="Non"/>
    <s v="Non"/>
    <s v="Oui"/>
    <s v="Oui"/>
    <n v="4500000"/>
    <x v="1"/>
    <n v="572"/>
    <n v="79400000"/>
    <n v="7000000"/>
    <n v="9796"/>
    <n v="182100"/>
    <n v="9.0578035264483631E-2"/>
    <n v="0"/>
    <n v="17.644444444444446"/>
    <s v="Oui"/>
    <n v="12"/>
    <n v="77"/>
    <n v="59.5"/>
    <n v="22"/>
    <n v="70"/>
    <n v="61.5"/>
    <n v="75"/>
  </r>
  <r>
    <x v="2"/>
    <s v="@samuelgrubbs"/>
    <x v="2"/>
    <n v="483"/>
    <s v="mardi"/>
    <s v="Non"/>
    <n v="19"/>
    <s v="18-23 h"/>
    <n v="19"/>
    <x v="3"/>
    <s v="Oui"/>
    <n v="9"/>
    <s v="Oui"/>
    <n v="80"/>
    <s v="Non"/>
    <s v="Non"/>
    <s v="Non"/>
    <s v="Oui"/>
    <s v="Non"/>
    <n v="7900000"/>
    <x v="1"/>
    <n v="126"/>
    <n v="77000000"/>
    <n v="11000000"/>
    <n v="56300"/>
    <n v="194300"/>
    <n v="0.1461116883116883"/>
    <n v="0"/>
    <n v="9.7468354430379751"/>
    <s v="Oui"/>
    <n v="41"/>
    <n v="75.5"/>
    <n v="56.5"/>
    <n v="60"/>
    <n v="99"/>
    <n v="76"/>
    <n v="36.5"/>
  </r>
  <r>
    <x v="2"/>
    <s v="Créateur 166"/>
    <x v="4"/>
    <n v="24"/>
    <s v="samedi"/>
    <s v="Oui"/>
    <n v="16"/>
    <s v="12-17 h"/>
    <n v="16"/>
    <x v="3"/>
    <s v="Oui"/>
    <n v="7"/>
    <s v="Oui"/>
    <n v="9"/>
    <s v="Non"/>
    <s v="Non"/>
    <s v="Non"/>
    <s v="Oui"/>
    <s v="Oui"/>
    <n v="2400000"/>
    <x v="2"/>
    <n v="172"/>
    <n v="77000000"/>
    <n v="8000000"/>
    <n v="63100"/>
    <n v="131900"/>
    <n v="0.10642857142857143"/>
    <n v="0"/>
    <n v="32.083333333333336"/>
    <s v="Oui"/>
    <n v="18"/>
    <n v="75.5"/>
    <n v="48"/>
    <n v="37.5"/>
    <n v="26"/>
    <n v="48"/>
    <n v="44"/>
  </r>
  <r>
    <x v="2"/>
    <s v="@mercuri_88"/>
    <x v="3"/>
    <n v="34"/>
    <s v="mercredi"/>
    <s v="Non"/>
    <n v="14"/>
    <s v="12-17 h"/>
    <n v="10"/>
    <x v="2"/>
    <s v="Non"/>
    <n v="17"/>
    <s v="Oui"/>
    <n v="18"/>
    <s v="Non"/>
    <s v="Non"/>
    <s v="Non"/>
    <s v="Oui"/>
    <s v="Non"/>
    <n v="14500000"/>
    <x v="3"/>
    <n v="592"/>
    <n v="75700000"/>
    <n v="10600000"/>
    <n v="111500"/>
    <n v="267700"/>
    <n v="0.14503566710700133"/>
    <n v="0"/>
    <n v="5.2206896551724142"/>
    <s v="Oui"/>
    <n v="38"/>
    <n v="74"/>
    <n v="22"/>
    <n v="95.5"/>
    <n v="44"/>
    <n v="89.5"/>
    <n v="82.5"/>
  </r>
  <r>
    <x v="2"/>
    <s v="Créateur 018"/>
    <x v="1"/>
    <n v="610"/>
    <s v="lundi"/>
    <s v="Non"/>
    <n v="13"/>
    <s v="12-17 h"/>
    <n v="11"/>
    <x v="0"/>
    <s v="Non"/>
    <n v="10"/>
    <s v="Oui"/>
    <n v="26"/>
    <s v="Non"/>
    <s v="Non"/>
    <s v="Oui"/>
    <s v="Non"/>
    <s v="Oui"/>
    <n v="19700000"/>
    <x v="3"/>
    <n v="314"/>
    <n v="74400000"/>
    <n v="9500000"/>
    <n v="27600"/>
    <n v="103400"/>
    <n v="0.1294489247311828"/>
    <n v="0"/>
    <n v="3.7766497461928936"/>
    <s v="Oui"/>
    <n v="27"/>
    <n v="73"/>
    <n v="28"/>
    <n v="71.5"/>
    <n v="55"/>
    <n v="92.5"/>
    <n v="55.5"/>
  </r>
  <r>
    <x v="2"/>
    <s v="@crinka11"/>
    <x v="2"/>
    <n v="111"/>
    <s v="mercredi"/>
    <s v="Non"/>
    <n v="0"/>
    <s v="0-5 h"/>
    <n v="11"/>
    <x v="0"/>
    <s v="Non"/>
    <n v="5"/>
    <s v="Oui"/>
    <n v="0"/>
    <s v="Non"/>
    <s v="Non"/>
    <s v="Non"/>
    <s v="Oui"/>
    <s v="Oui"/>
    <n v="1300000"/>
    <x v="2"/>
    <n v="506"/>
    <n v="73600000"/>
    <n v="15000000"/>
    <n v="164900"/>
    <n v="197300"/>
    <n v="0.20872554347826086"/>
    <n v="1"/>
    <n v="56.615384615384613"/>
    <s v="Oui"/>
    <n v="80"/>
    <n v="72"/>
    <n v="28"/>
    <n v="22"/>
    <n v="6.5"/>
    <n v="33"/>
    <n v="68"/>
  </r>
  <r>
    <x v="2"/>
    <s v="Créateur 193"/>
    <x v="2"/>
    <n v="256"/>
    <s v="vendredi"/>
    <s v="Non"/>
    <n v="14"/>
    <s v="12-17 h"/>
    <n v="9"/>
    <x v="2"/>
    <s v="Non"/>
    <n v="8"/>
    <s v="Oui"/>
    <n v="2"/>
    <s v="Non"/>
    <s v="Oui"/>
    <s v="Non"/>
    <s v="Non"/>
    <s v="Oui"/>
    <n v="27400000"/>
    <x v="3"/>
    <n v="588"/>
    <n v="71500000"/>
    <n v="7800000"/>
    <n v="47700"/>
    <n v="43900"/>
    <n v="0.11037202797202797"/>
    <n v="0"/>
    <n v="2.6094890510948905"/>
    <s v="Oui"/>
    <n v="21"/>
    <n v="71"/>
    <n v="14"/>
    <n v="47.5"/>
    <n v="14.5"/>
    <n v="96.5"/>
    <n v="78.5"/>
  </r>
  <r>
    <x v="2"/>
    <s v="Créateur 175"/>
    <x v="1"/>
    <n v="185"/>
    <s v="samedi"/>
    <s v="Oui"/>
    <n v="23"/>
    <s v="18-23 h"/>
    <n v="16"/>
    <x v="3"/>
    <s v="Oui"/>
    <n v="17"/>
    <s v="Oui"/>
    <n v="11"/>
    <s v="Non"/>
    <s v="Non"/>
    <s v="Non"/>
    <s v="Oui"/>
    <s v="Oui"/>
    <n v="547000"/>
    <x v="4"/>
    <n v="449"/>
    <n v="71200000"/>
    <n v="10300000"/>
    <n v="328100"/>
    <n v="655800"/>
    <n v="0.15848174157303371"/>
    <n v="0"/>
    <n v="130.16453382084094"/>
    <s v="Oui"/>
    <n v="47"/>
    <n v="70"/>
    <n v="48"/>
    <n v="95.5"/>
    <n v="30"/>
    <n v="20"/>
    <n v="65"/>
  </r>
  <r>
    <x v="2"/>
    <s v="Créateur 223"/>
    <x v="4"/>
    <n v="40"/>
    <s v="jeudi"/>
    <s v="Non"/>
    <n v="18"/>
    <s v="18-23 h"/>
    <n v="7"/>
    <x v="2"/>
    <s v="Non"/>
    <n v="12"/>
    <s v="Oui"/>
    <n v="4"/>
    <s v="Non"/>
    <s v="Non"/>
    <s v="Non"/>
    <s v="Oui"/>
    <s v="Oui"/>
    <n v="1800000"/>
    <x v="2"/>
    <n v="89"/>
    <n v="70700000"/>
    <n v="7000000"/>
    <n v="60100"/>
    <n v="262900"/>
    <n v="0.10357850070721358"/>
    <n v="0"/>
    <n v="39.277777777777779"/>
    <s v="Oui"/>
    <n v="17"/>
    <n v="69"/>
    <n v="5.5"/>
    <n v="83"/>
    <n v="19.5"/>
    <n v="39"/>
    <n v="26.5"/>
  </r>
  <r>
    <x v="2"/>
    <s v="Créateur 155"/>
    <x v="1"/>
    <n v="687"/>
    <s v="lundi"/>
    <s v="Non"/>
    <n v="16"/>
    <s v="12-17 h"/>
    <n v="23"/>
    <x v="3"/>
    <s v="Oui"/>
    <n v="8"/>
    <s v="Oui"/>
    <n v="64"/>
    <s v="Non"/>
    <s v="Non"/>
    <s v="Oui"/>
    <s v="Oui"/>
    <s v="Oui"/>
    <n v="9100000"/>
    <x v="3"/>
    <n v="543"/>
    <n v="69400000"/>
    <n v="7400000"/>
    <n v="14000"/>
    <n v="81600"/>
    <n v="0.1080057636887608"/>
    <n v="0"/>
    <n v="7.6263736263736268"/>
    <s v="Oui"/>
    <n v="20"/>
    <n v="68"/>
    <n v="65"/>
    <n v="47.5"/>
    <n v="91"/>
    <n v="85.5"/>
    <n v="73.5"/>
  </r>
  <r>
    <x v="2"/>
    <s v="Créateur 226"/>
    <x v="3"/>
    <n v="83"/>
    <s v="mercredi"/>
    <s v="Non"/>
    <n v="22"/>
    <s v="18-23 h"/>
    <n v="9"/>
    <x v="2"/>
    <s v="Non"/>
    <n v="2"/>
    <s v="Non"/>
    <n v="18"/>
    <s v="Non"/>
    <s v="Non"/>
    <s v="Non"/>
    <s v="Oui"/>
    <s v="Non"/>
    <n v="362600"/>
    <x v="4"/>
    <n v="8"/>
    <n v="66000000"/>
    <n v="9700000"/>
    <n v="541500"/>
    <n v="846900"/>
    <n v="0.1680060606060606"/>
    <n v="0"/>
    <n v="182.01875344732488"/>
    <s v="Oui"/>
    <n v="54"/>
    <n v="67"/>
    <n v="14"/>
    <n v="4.5"/>
    <n v="44"/>
    <n v="10"/>
    <n v="6.5"/>
  </r>
  <r>
    <x v="2"/>
    <s v="Créateur 055"/>
    <x v="2"/>
    <n v="210"/>
    <s v="mardi"/>
    <s v="Non"/>
    <n v="16"/>
    <s v="12-17 h"/>
    <n v="59"/>
    <x v="1"/>
    <s v="Oui"/>
    <n v="8"/>
    <s v="Oui"/>
    <n v="0"/>
    <s v="Non"/>
    <s v="Non"/>
    <s v="Non"/>
    <s v="Non"/>
    <s v="Non"/>
    <n v="3500000"/>
    <x v="1"/>
    <n v="285"/>
    <n v="65900000"/>
    <n v="11200000"/>
    <n v="188300"/>
    <n v="728700"/>
    <n v="0.18386949924127466"/>
    <n v="0"/>
    <n v="18.828571428571429"/>
    <s v="Oui"/>
    <n v="58"/>
    <n v="66"/>
    <n v="97"/>
    <n v="47.5"/>
    <n v="6.5"/>
    <n v="52"/>
    <n v="51"/>
  </r>
  <r>
    <x v="2"/>
    <s v="Créateur 187"/>
    <x v="2"/>
    <n v="256"/>
    <s v="vendredi"/>
    <s v="Non"/>
    <n v="17"/>
    <s v="12-17 h"/>
    <n v="7"/>
    <x v="2"/>
    <s v="Non"/>
    <n v="6"/>
    <s v="Oui"/>
    <n v="46"/>
    <s v="Non"/>
    <s v="Oui"/>
    <s v="Non"/>
    <s v="Oui"/>
    <s v="Oui"/>
    <n v="933700"/>
    <x v="4"/>
    <n v="182"/>
    <n v="63700000"/>
    <n v="10100000"/>
    <n v="93500"/>
    <n v="277100"/>
    <n v="0.16437362637362637"/>
    <n v="0"/>
    <n v="68.22319802934561"/>
    <s v="Oui"/>
    <n v="51"/>
    <n v="65"/>
    <n v="5.5"/>
    <n v="30"/>
    <n v="80"/>
    <n v="25"/>
    <n v="46"/>
  </r>
  <r>
    <x v="2"/>
    <s v="Créateur 100"/>
    <x v="3"/>
    <n v="239"/>
    <s v="lundi"/>
    <s v="Non"/>
    <n v="21"/>
    <s v="18-23 h"/>
    <n v="57"/>
    <x v="1"/>
    <s v="Oui"/>
    <n v="7"/>
    <s v="Non"/>
    <n v="41"/>
    <s v="Non"/>
    <s v="Non"/>
    <s v="Non"/>
    <s v="Oui"/>
    <s v="Oui"/>
    <n v="2100000"/>
    <x v="2"/>
    <n v="102"/>
    <n v="62400000"/>
    <n v="11900000"/>
    <n v="89600"/>
    <n v="203800"/>
    <n v="0.19540705128205127"/>
    <n v="0"/>
    <n v="29.714285714285715"/>
    <s v="Oui"/>
    <n v="72"/>
    <n v="64"/>
    <n v="93.5"/>
    <n v="37.5"/>
    <n v="74.5"/>
    <n v="43"/>
    <n v="32"/>
  </r>
  <r>
    <x v="2"/>
    <s v="@samuelgrubbs"/>
    <x v="2"/>
    <n v="200"/>
    <s v="vendredi"/>
    <s v="Non"/>
    <n v="1"/>
    <s v="0-5 h"/>
    <n v="10"/>
    <x v="2"/>
    <s v="Non"/>
    <n v="9"/>
    <s v="Oui"/>
    <n v="80"/>
    <s v="Non"/>
    <s v="Non"/>
    <s v="Oui"/>
    <s v="Oui"/>
    <s v="Oui"/>
    <n v="7900000"/>
    <x v="1"/>
    <n v="126"/>
    <n v="61400000"/>
    <n v="8900000"/>
    <n v="107300"/>
    <n v="231100"/>
    <n v="0.15046254071661239"/>
    <n v="0"/>
    <n v="7.7721518987341769"/>
    <s v="Oui"/>
    <n v="43"/>
    <n v="63"/>
    <n v="22"/>
    <n v="60"/>
    <n v="99"/>
    <n v="76"/>
    <n v="36.5"/>
  </r>
  <r>
    <x v="2"/>
    <s v="Créateur 102"/>
    <x v="2"/>
    <n v="512"/>
    <s v="lundi"/>
    <s v="Non"/>
    <n v="10"/>
    <s v="6-11 h"/>
    <n v="10"/>
    <x v="2"/>
    <s v="Non"/>
    <n v="10"/>
    <s v="Non"/>
    <n v="16"/>
    <s v="Non"/>
    <s v="Non"/>
    <s v="Non"/>
    <s v="Oui"/>
    <s v="Oui"/>
    <n v="10400000"/>
    <x v="3"/>
    <n v="719"/>
    <n v="60700000"/>
    <n v="8800000"/>
    <n v="57000"/>
    <n v="514600"/>
    <n v="0.15439209225700165"/>
    <n v="0"/>
    <n v="5.8365384615384617"/>
    <s v="Oui"/>
    <n v="45"/>
    <n v="62"/>
    <n v="22"/>
    <n v="71.5"/>
    <n v="40.5"/>
    <n v="87"/>
    <n v="85"/>
  </r>
  <r>
    <x v="2"/>
    <s v="@samuelgrubbs"/>
    <x v="2"/>
    <n v="212"/>
    <s v="dimanche"/>
    <s v="Oui"/>
    <n v="2"/>
    <s v="0-5 h"/>
    <n v="18"/>
    <x v="3"/>
    <s v="Oui"/>
    <n v="8"/>
    <s v="Oui"/>
    <n v="80"/>
    <s v="Non"/>
    <s v="Non"/>
    <s v="Oui"/>
    <s v="Non"/>
    <s v="Oui"/>
    <n v="7900000"/>
    <x v="1"/>
    <n v="126"/>
    <n v="60300000"/>
    <n v="10300000"/>
    <n v="109800"/>
    <n v="186400"/>
    <n v="0.17572470978441126"/>
    <n v="0"/>
    <n v="7.6329113924050631"/>
    <s v="Oui"/>
    <n v="55"/>
    <n v="61"/>
    <n v="53"/>
    <n v="47.5"/>
    <n v="99"/>
    <n v="76"/>
    <n v="36.5"/>
  </r>
  <r>
    <x v="2"/>
    <s v="@mercuri_88"/>
    <x v="3"/>
    <n v="264"/>
    <s v="jeudi"/>
    <s v="Non"/>
    <n v="16"/>
    <s v="12-17 h"/>
    <n v="7"/>
    <x v="2"/>
    <s v="Non"/>
    <n v="18"/>
    <s v="Oui"/>
    <n v="11"/>
    <s v="Non"/>
    <s v="Non"/>
    <s v="Non"/>
    <s v="Oui"/>
    <s v="Oui"/>
    <n v="14500000"/>
    <x v="3"/>
    <n v="592"/>
    <n v="59700000"/>
    <n v="7500000"/>
    <n v="64100"/>
    <n v="431600"/>
    <n v="0.13393132328308208"/>
    <n v="0"/>
    <n v="4.1172413793103448"/>
    <s v="Oui"/>
    <n v="31"/>
    <n v="60"/>
    <n v="5.5"/>
    <n v="98"/>
    <n v="30"/>
    <n v="89.5"/>
    <n v="82.5"/>
  </r>
  <r>
    <x v="2"/>
    <s v="@ttmmff100"/>
    <x v="4"/>
    <n v="200"/>
    <s v="vendredi"/>
    <s v="Non"/>
    <n v="5"/>
    <s v="0-5 h"/>
    <n v="10"/>
    <x v="2"/>
    <s v="Non"/>
    <n v="12"/>
    <s v="Oui"/>
    <n v="48"/>
    <s v="Non"/>
    <s v="Non"/>
    <s v="Oui"/>
    <s v="Oui"/>
    <s v="Oui"/>
    <n v="168400"/>
    <x v="4"/>
    <n v="89"/>
    <n v="59400000"/>
    <n v="12500000"/>
    <n v="364600"/>
    <n v="1000000"/>
    <n v="0.2334107744107744"/>
    <n v="1"/>
    <n v="352.73159144893111"/>
    <s v="Oui"/>
    <n v="95"/>
    <n v="59"/>
    <n v="22"/>
    <n v="83"/>
    <n v="82.5"/>
    <n v="4"/>
    <n v="26.5"/>
  </r>
  <r>
    <x v="2"/>
    <s v="Créateur 060"/>
    <x v="2"/>
    <n v="201"/>
    <s v="jeudi"/>
    <s v="Non"/>
    <n v="18"/>
    <s v="18-23 h"/>
    <n v="39"/>
    <x v="1"/>
    <s v="Oui"/>
    <n v="13"/>
    <s v="Oui"/>
    <n v="0"/>
    <s v="Non"/>
    <s v="Non"/>
    <s v="Non"/>
    <s v="Non"/>
    <s v="Oui"/>
    <n v="830400"/>
    <x v="4"/>
    <n v="1101"/>
    <n v="58400000"/>
    <n v="6800000"/>
    <n v="71100"/>
    <n v="205700"/>
    <n v="0.12117808219178082"/>
    <n v="0"/>
    <n v="70.327552986512529"/>
    <s v="Oui"/>
    <n v="23"/>
    <n v="58"/>
    <n v="80"/>
    <n v="87.5"/>
    <n v="6.5"/>
    <n v="24"/>
    <n v="95"/>
  </r>
  <r>
    <x v="2"/>
    <s v="Créateur 201"/>
    <x v="3"/>
    <n v="41"/>
    <s v="mercredi"/>
    <s v="Non"/>
    <n v="21"/>
    <s v="18-23 h"/>
    <n v="47"/>
    <x v="1"/>
    <s v="Oui"/>
    <n v="7"/>
    <s v="Non"/>
    <n v="34"/>
    <s v="Non"/>
    <s v="Non"/>
    <s v="Non"/>
    <s v="Oui"/>
    <s v="Oui"/>
    <n v="7300000"/>
    <x v="1"/>
    <n v="538"/>
    <n v="56600000"/>
    <n v="8300000"/>
    <n v="55900"/>
    <n v="414200"/>
    <n v="0.15494876325088339"/>
    <n v="0"/>
    <n v="7.7534246575342465"/>
    <s v="Non"/>
    <n v="46"/>
    <n v="57"/>
    <n v="87"/>
    <n v="37.5"/>
    <n v="70"/>
    <n v="71"/>
    <n v="71"/>
  </r>
  <r>
    <x v="2"/>
    <s v="Créateur 149"/>
    <x v="1"/>
    <n v="364"/>
    <s v="mardi"/>
    <s v="Non"/>
    <n v="0"/>
    <s v="0-5 h"/>
    <n v="19"/>
    <x v="3"/>
    <s v="Oui"/>
    <n v="9"/>
    <s v="Oui"/>
    <n v="58"/>
    <s v="Non"/>
    <s v="Oui"/>
    <s v="Oui"/>
    <s v="Oui"/>
    <s v="Oui"/>
    <n v="4000000"/>
    <x v="1"/>
    <n v="423"/>
    <n v="56400000"/>
    <n v="7500000"/>
    <n v="150400"/>
    <n v="255100"/>
    <n v="0.14016843971631204"/>
    <n v="0"/>
    <n v="14.1"/>
    <s v="Oui"/>
    <n v="34"/>
    <n v="56"/>
    <n v="56.5"/>
    <n v="60"/>
    <n v="89"/>
    <n v="54"/>
    <n v="64"/>
  </r>
  <r>
    <x v="2"/>
    <s v="Créateur 018"/>
    <x v="1"/>
    <n v="621"/>
    <s v="jeudi"/>
    <s v="Non"/>
    <n v="12"/>
    <s v="12-17 h"/>
    <n v="26"/>
    <x v="3"/>
    <s v="Oui"/>
    <n v="10"/>
    <s v="Oui"/>
    <n v="39"/>
    <s v="Non"/>
    <s v="Non"/>
    <s v="Oui"/>
    <s v="Oui"/>
    <s v="Oui"/>
    <n v="19700000"/>
    <x v="3"/>
    <n v="314"/>
    <n v="55400000"/>
    <n v="6900000"/>
    <n v="10500"/>
    <n v="136400"/>
    <n v="0.12720036101083032"/>
    <n v="0"/>
    <n v="2.8121827411167515"/>
    <s v="Oui"/>
    <n v="24"/>
    <n v="55"/>
    <n v="68"/>
    <n v="71.5"/>
    <n v="73"/>
    <n v="92.5"/>
    <n v="55.5"/>
  </r>
  <r>
    <x v="2"/>
    <s v="Créateur 119"/>
    <x v="2"/>
    <n v="392"/>
    <s v="mardi"/>
    <s v="Non"/>
    <n v="17"/>
    <s v="12-17 h"/>
    <n v="52"/>
    <x v="1"/>
    <s v="Oui"/>
    <n v="6"/>
    <s v="Oui"/>
    <n v="42"/>
    <s v="Non"/>
    <s v="Oui"/>
    <s v="Non"/>
    <s v="Oui"/>
    <s v="Oui"/>
    <n v="6300000"/>
    <x v="1"/>
    <n v="1095"/>
    <n v="55200000"/>
    <n v="9700000"/>
    <n v="99000"/>
    <n v="712400"/>
    <n v="0.19042391304347825"/>
    <n v="0"/>
    <n v="8.7619047619047628"/>
    <s v="Oui"/>
    <n v="67"/>
    <n v="53.5"/>
    <n v="90"/>
    <n v="30"/>
    <n v="76"/>
    <n v="68"/>
    <n v="94"/>
  </r>
  <r>
    <x v="2"/>
    <s v="Créateur 137"/>
    <x v="2"/>
    <n v="92"/>
    <s v="lundi"/>
    <s v="Non"/>
    <n v="6"/>
    <s v="6-11 h"/>
    <n v="13"/>
    <x v="0"/>
    <s v="Non"/>
    <n v="11"/>
    <s v="Oui"/>
    <n v="15"/>
    <s v="Non"/>
    <s v="Non"/>
    <s v="Non"/>
    <s v="Oui"/>
    <s v="Oui"/>
    <n v="550300"/>
    <x v="4"/>
    <n v="1"/>
    <n v="55200000"/>
    <n v="7100000"/>
    <n v="30500"/>
    <n v="89700"/>
    <n v="0.13080072463768116"/>
    <n v="0"/>
    <n v="100.30892240596039"/>
    <s v="Oui"/>
    <n v="28"/>
    <n v="53.5"/>
    <n v="33.5"/>
    <n v="79"/>
    <n v="38.5"/>
    <n v="21"/>
    <n v="1"/>
  </r>
  <r>
    <x v="2"/>
    <s v="Créateur 040"/>
    <x v="1"/>
    <n v="119"/>
    <s v="mardi"/>
    <s v="Non"/>
    <n v="3"/>
    <s v="0-5 h"/>
    <n v="9"/>
    <x v="2"/>
    <s v="Non"/>
    <n v="16"/>
    <s v="Oui"/>
    <n v="0"/>
    <s v="Non"/>
    <s v="Non"/>
    <s v="Non"/>
    <s v="Non"/>
    <s v="Oui"/>
    <n v="3000000"/>
    <x v="1"/>
    <n v="722"/>
    <n v="55100000"/>
    <n v="6900000"/>
    <n v="74900"/>
    <n v="118100"/>
    <n v="0.12872958257713249"/>
    <n v="0"/>
    <n v="18.366666666666667"/>
    <s v="Oui"/>
    <n v="25"/>
    <n v="52"/>
    <n v="14"/>
    <n v="92.5"/>
    <n v="6.5"/>
    <n v="50"/>
    <n v="86"/>
  </r>
  <r>
    <x v="2"/>
    <s v="Créateur 193"/>
    <x v="2"/>
    <n v="268"/>
    <s v="dimanche"/>
    <s v="Oui"/>
    <n v="15"/>
    <s v="12-17 h"/>
    <n v="13"/>
    <x v="0"/>
    <s v="Non"/>
    <n v="9"/>
    <s v="Oui"/>
    <n v="12"/>
    <s v="Non"/>
    <s v="Oui"/>
    <s v="Non"/>
    <s v="Non"/>
    <s v="Oui"/>
    <n v="27400000"/>
    <x v="3"/>
    <n v="588"/>
    <n v="54200000"/>
    <n v="10000000"/>
    <n v="94100"/>
    <n v="78600"/>
    <n v="0.18768819188191882"/>
    <n v="0"/>
    <n v="1.9781021897810218"/>
    <s v="Oui"/>
    <n v="63"/>
    <n v="51"/>
    <n v="33.5"/>
    <n v="60"/>
    <n v="32.5"/>
    <n v="96.5"/>
    <n v="78.5"/>
  </r>
  <r>
    <x v="2"/>
    <s v="Créateur 222"/>
    <x v="2"/>
    <n v="260"/>
    <s v="lundi"/>
    <s v="Non"/>
    <n v="17"/>
    <s v="12-17 h"/>
    <n v="30"/>
    <x v="3"/>
    <s v="Oui"/>
    <n v="6"/>
    <s v="Oui"/>
    <n v="54"/>
    <s v="Non"/>
    <s v="Non"/>
    <s v="Non"/>
    <s v="Non"/>
    <s v="Oui"/>
    <n v="5700000"/>
    <x v="1"/>
    <n v="333"/>
    <n v="53100000"/>
    <n v="7300000"/>
    <n v="12600"/>
    <n v="21200"/>
    <n v="0.13811299435028249"/>
    <n v="0"/>
    <n v="9.3157894736842106"/>
    <s v="Oui"/>
    <n v="33"/>
    <n v="50"/>
    <n v="72"/>
    <n v="30"/>
    <n v="87"/>
    <n v="67"/>
    <n v="58"/>
  </r>
  <r>
    <x v="2"/>
    <s v="Créateur 191"/>
    <x v="2"/>
    <n v="481"/>
    <s v="jeudi"/>
    <s v="Non"/>
    <n v="20"/>
    <s v="18-23 h"/>
    <n v="11"/>
    <x v="0"/>
    <s v="Non"/>
    <n v="6"/>
    <s v="Oui"/>
    <n v="8"/>
    <s v="Non"/>
    <s v="Oui"/>
    <s v="Non"/>
    <s v="Non"/>
    <s v="Oui"/>
    <n v="381700"/>
    <x v="4"/>
    <n v="38"/>
    <n v="52600000"/>
    <n v="11400000"/>
    <n v="87300"/>
    <n v="237300"/>
    <n v="0.22290114068441064"/>
    <n v="1"/>
    <n v="137.80455855383809"/>
    <s v="Oui"/>
    <n v="89"/>
    <n v="49"/>
    <n v="28"/>
    <n v="30"/>
    <n v="24.5"/>
    <n v="12"/>
    <n v="14"/>
  </r>
  <r>
    <x v="2"/>
    <s v="Créateur 188"/>
    <x v="1"/>
    <n v="149"/>
    <s v="dimanche"/>
    <s v="Oui"/>
    <n v="18"/>
    <s v="18-23 h"/>
    <n v="47"/>
    <x v="1"/>
    <s v="Oui"/>
    <n v="2"/>
    <s v="Oui"/>
    <n v="28"/>
    <s v="Non"/>
    <s v="Non"/>
    <s v="Non"/>
    <s v="Non"/>
    <s v="Oui"/>
    <n v="5200000"/>
    <x v="1"/>
    <n v="302"/>
    <n v="52100000"/>
    <n v="10400000"/>
    <n v="30000"/>
    <n v="32000"/>
    <n v="0.20080614203454894"/>
    <n v="0"/>
    <n v="10.01923076923077"/>
    <s v="Oui"/>
    <n v="74"/>
    <n v="48"/>
    <n v="87"/>
    <n v="4.5"/>
    <n v="60.5"/>
    <n v="65.5"/>
    <n v="53.5"/>
  </r>
  <r>
    <x v="2"/>
    <s v="Créateur 074"/>
    <x v="3"/>
    <n v="502"/>
    <s v="jeudi"/>
    <s v="Non"/>
    <n v="0"/>
    <s v="0-5 h"/>
    <n v="46"/>
    <x v="1"/>
    <s v="Oui"/>
    <n v="5"/>
    <s v="Oui"/>
    <n v="3"/>
    <s v="Non"/>
    <s v="Non"/>
    <s v="Non"/>
    <s v="Oui"/>
    <s v="Oui"/>
    <n v="8700000"/>
    <x v="3"/>
    <n v="1342"/>
    <n v="51900000"/>
    <n v="9100000"/>
    <n v="71500"/>
    <n v="349700"/>
    <n v="0.18345279383429672"/>
    <n v="0"/>
    <n v="5.9655172413793105"/>
    <s v="Oui"/>
    <n v="57"/>
    <n v="47"/>
    <n v="85"/>
    <n v="22"/>
    <n v="17"/>
    <n v="82.5"/>
    <n v="97.5"/>
  </r>
  <r>
    <x v="2"/>
    <s v="Créateur 066"/>
    <x v="1"/>
    <n v="142"/>
    <s v="dimanche"/>
    <s v="Oui"/>
    <n v="14"/>
    <s v="12-17 h"/>
    <n v="22"/>
    <x v="3"/>
    <s v="Oui"/>
    <n v="9"/>
    <s v="Oui"/>
    <n v="18"/>
    <s v="Non"/>
    <s v="Non"/>
    <s v="Non"/>
    <s v="Oui"/>
    <s v="Oui"/>
    <n v="961200"/>
    <x v="4"/>
    <n v="160"/>
    <n v="51500000"/>
    <n v="7100000"/>
    <n v="32100"/>
    <n v="156400"/>
    <n v="0.14152427184466018"/>
    <n v="0"/>
    <n v="53.578859758635041"/>
    <s v="Oui"/>
    <n v="35"/>
    <n v="46"/>
    <n v="62.5"/>
    <n v="60"/>
    <n v="44"/>
    <n v="28"/>
    <n v="41"/>
  </r>
  <r>
    <x v="2"/>
    <s v="Créateur 133"/>
    <x v="3"/>
    <n v="75"/>
    <s v="jeudi"/>
    <s v="Non"/>
    <n v="22"/>
    <s v="18-23 h"/>
    <n v="44"/>
    <x v="1"/>
    <s v="Oui"/>
    <n v="5"/>
    <s v="Oui"/>
    <n v="47"/>
    <s v="Non"/>
    <s v="Non"/>
    <s v="Non"/>
    <s v="Non"/>
    <s v="Oui"/>
    <n v="346800"/>
    <x v="4"/>
    <n v="8"/>
    <n v="50900000"/>
    <n v="9300000"/>
    <n v="90000"/>
    <n v="89600"/>
    <n v="0.18623968565815324"/>
    <n v="0"/>
    <n v="146.77047289504037"/>
    <s v="Oui"/>
    <n v="61"/>
    <n v="44.5"/>
    <n v="84"/>
    <n v="22"/>
    <n v="81"/>
    <n v="9"/>
    <n v="6.5"/>
  </r>
  <r>
    <x v="2"/>
    <s v="Créateur 080"/>
    <x v="4"/>
    <n v="240"/>
    <s v="dimanche"/>
    <s v="Oui"/>
    <n v="10"/>
    <s v="6-11 h"/>
    <n v="30"/>
    <x v="3"/>
    <s v="Oui"/>
    <n v="3"/>
    <s v="Oui"/>
    <n v="23"/>
    <s v="Non"/>
    <s v="Non"/>
    <s v="Non"/>
    <s v="Oui"/>
    <s v="Oui"/>
    <n v="1400000"/>
    <x v="2"/>
    <n v="47"/>
    <n v="50900000"/>
    <n v="8100000"/>
    <n v="64900"/>
    <n v="276100"/>
    <n v="0.16583497053045188"/>
    <n v="0"/>
    <n v="36.357142857142854"/>
    <s v="Oui"/>
    <n v="53"/>
    <n v="44.5"/>
    <n v="72"/>
    <n v="10.5"/>
    <n v="49.5"/>
    <n v="35.5"/>
    <n v="17"/>
  </r>
  <r>
    <x v="2"/>
    <s v="Créateur 074"/>
    <x v="3"/>
    <n v="391"/>
    <s v="mercredi"/>
    <s v="Non"/>
    <n v="16"/>
    <s v="12-17 h"/>
    <n v="7"/>
    <x v="2"/>
    <s v="Non"/>
    <n v="8"/>
    <s v="Oui"/>
    <n v="15"/>
    <s v="Non"/>
    <s v="Oui"/>
    <s v="Non"/>
    <s v="Oui"/>
    <s v="Oui"/>
    <n v="8700000"/>
    <x v="3"/>
    <n v="1342"/>
    <n v="50700000"/>
    <n v="7600000"/>
    <n v="77100"/>
    <n v="478500"/>
    <n v="0.16085996055226826"/>
    <n v="0"/>
    <n v="5.8275862068965516"/>
    <s v="Oui"/>
    <n v="49"/>
    <n v="43"/>
    <n v="5.5"/>
    <n v="47.5"/>
    <n v="38.5"/>
    <n v="82.5"/>
    <n v="97.5"/>
  </r>
  <r>
    <x v="2"/>
    <s v="Créateur 172"/>
    <x v="3"/>
    <n v="85"/>
    <s v="lundi"/>
    <s v="Non"/>
    <n v="3"/>
    <s v="0-5 h"/>
    <n v="9"/>
    <x v="2"/>
    <s v="Non"/>
    <n v="17"/>
    <s v="Oui"/>
    <n v="1"/>
    <s v="Non"/>
    <s v="Oui"/>
    <s v="Non"/>
    <s v="Oui"/>
    <s v="Oui"/>
    <n v="6900000"/>
    <x v="1"/>
    <n v="968"/>
    <n v="50500000"/>
    <n v="7200000"/>
    <n v="37300"/>
    <n v="227600"/>
    <n v="0.14781980198019801"/>
    <n v="0"/>
    <n v="7.3188405797101446"/>
    <s v="Oui"/>
    <n v="42"/>
    <n v="42"/>
    <n v="14"/>
    <n v="95.5"/>
    <n v="13"/>
    <n v="70"/>
    <n v="90"/>
  </r>
  <r>
    <x v="2"/>
    <s v="@samuelgrubbs"/>
    <x v="2"/>
    <n v="489"/>
    <s v="mercredi"/>
    <s v="Non"/>
    <n v="19"/>
    <s v="18-23 h"/>
    <n v="16"/>
    <x v="3"/>
    <s v="Oui"/>
    <n v="9"/>
    <s v="Oui"/>
    <n v="79"/>
    <s v="Non"/>
    <s v="Non"/>
    <s v="Non"/>
    <s v="Oui"/>
    <s v="Non"/>
    <n v="7900000"/>
    <x v="1"/>
    <n v="126"/>
    <n v="50100000"/>
    <n v="7700000"/>
    <n v="85600"/>
    <n v="198400"/>
    <n v="0.15936127744510978"/>
    <n v="0"/>
    <n v="6.3417721518987342"/>
    <s v="Oui"/>
    <n v="48"/>
    <n v="41"/>
    <n v="48"/>
    <n v="60"/>
    <n v="96.5"/>
    <n v="76"/>
    <n v="36.5"/>
  </r>
  <r>
    <x v="2"/>
    <s v="Créateur 220"/>
    <x v="1"/>
    <n v="366"/>
    <s v="dimanche"/>
    <s v="Oui"/>
    <n v="21"/>
    <s v="18-23 h"/>
    <n v="42"/>
    <x v="1"/>
    <s v="Oui"/>
    <n v="7"/>
    <s v="Non"/>
    <n v="44"/>
    <s v="Non"/>
    <s v="Non"/>
    <s v="Non"/>
    <s v="Oui"/>
    <s v="Oui"/>
    <n v="3600000"/>
    <x v="1"/>
    <n v="1020"/>
    <n v="49800000"/>
    <n v="7000000"/>
    <n v="11100"/>
    <n v="40800"/>
    <n v="0.14160441767068274"/>
    <n v="0"/>
    <n v="13.833333333333334"/>
    <s v="Oui"/>
    <n v="36"/>
    <n v="40"/>
    <n v="82"/>
    <n v="37.5"/>
    <n v="78.5"/>
    <n v="53"/>
    <n v="91"/>
  </r>
  <r>
    <x v="2"/>
    <s v="@samuelgrubbs"/>
    <x v="2"/>
    <n v="222"/>
    <s v="jeudi"/>
    <s v="Non"/>
    <n v="2"/>
    <s v="0-5 h"/>
    <n v="14"/>
    <x v="0"/>
    <s v="Non"/>
    <n v="13"/>
    <s v="Oui"/>
    <n v="43"/>
    <s v="Non"/>
    <s v="Non"/>
    <s v="Non"/>
    <s v="Oui"/>
    <s v="Oui"/>
    <n v="7900000"/>
    <x v="1"/>
    <n v="126"/>
    <n v="49700000"/>
    <n v="8700000"/>
    <n v="143200"/>
    <n v="330900"/>
    <n v="0.18458953722334004"/>
    <n v="0"/>
    <n v="6.2911392405063289"/>
    <s v="Oui"/>
    <n v="59"/>
    <n v="39"/>
    <n v="38"/>
    <n v="87.5"/>
    <n v="77"/>
    <n v="76"/>
    <n v="36.5"/>
  </r>
  <r>
    <x v="2"/>
    <s v="Créateur 082"/>
    <x v="2"/>
    <n v="567"/>
    <s v="mardi"/>
    <s v="Non"/>
    <n v="18"/>
    <s v="18-23 h"/>
    <n v="9"/>
    <x v="2"/>
    <s v="Non"/>
    <n v="5"/>
    <s v="Oui"/>
    <n v="77"/>
    <s v="Non"/>
    <s v="Non"/>
    <s v="Non"/>
    <s v="Non"/>
    <s v="Oui"/>
    <n v="7900000"/>
    <x v="1"/>
    <n v="1278"/>
    <n v="49600000"/>
    <n v="9900000"/>
    <n v="41200"/>
    <n v="536500"/>
    <n v="0.21124395161290321"/>
    <n v="1"/>
    <n v="6.2784810126582276"/>
    <s v="Oui"/>
    <n v="81"/>
    <n v="38"/>
    <n v="14"/>
    <n v="22"/>
    <n v="95"/>
    <n v="76"/>
    <n v="96"/>
  </r>
  <r>
    <x v="2"/>
    <s v="Créateur 096"/>
    <x v="2"/>
    <n v="223"/>
    <s v="mercredi"/>
    <s v="Non"/>
    <n v="22"/>
    <s v="18-23 h"/>
    <n v="35"/>
    <x v="1"/>
    <s v="Oui"/>
    <n v="13"/>
    <s v="Oui"/>
    <n v="10"/>
    <s v="Non"/>
    <s v="Oui"/>
    <s v="Non"/>
    <s v="Non"/>
    <s v="Oui"/>
    <n v="6500000"/>
    <x v="1"/>
    <n v="672"/>
    <n v="49400000"/>
    <n v="8900000"/>
    <n v="93800"/>
    <n v="253400"/>
    <n v="0.1871902834008097"/>
    <n v="0"/>
    <n v="7.6"/>
    <s v="Oui"/>
    <n v="62"/>
    <n v="37"/>
    <n v="75.5"/>
    <n v="87.5"/>
    <n v="27.5"/>
    <n v="69"/>
    <n v="84"/>
  </r>
  <r>
    <x v="2"/>
    <s v="Créateur 009"/>
    <x v="3"/>
    <n v="429"/>
    <s v="dimanche"/>
    <s v="Oui"/>
    <n v="21"/>
    <s v="18-23 h"/>
    <n v="30"/>
    <x v="3"/>
    <s v="Oui"/>
    <n v="10"/>
    <s v="Oui"/>
    <n v="0"/>
    <s v="Non"/>
    <s v="Non"/>
    <s v="Non"/>
    <s v="Oui"/>
    <s v="Oui"/>
    <n v="287800"/>
    <x v="4"/>
    <n v="881"/>
    <n v="49200000"/>
    <n v="7100000"/>
    <n v="27500"/>
    <n v="19400"/>
    <n v="0.14526219512195121"/>
    <n v="0"/>
    <n v="170.95205003474635"/>
    <s v="Oui"/>
    <n v="40"/>
    <n v="36"/>
    <n v="72"/>
    <n v="71.5"/>
    <n v="6.5"/>
    <n v="7"/>
    <n v="89"/>
  </r>
  <r>
    <x v="2"/>
    <s v="Créateur 123"/>
    <x v="2"/>
    <n v="565"/>
    <s v="jeudi"/>
    <s v="Non"/>
    <n v="23"/>
    <s v="18-23 h"/>
    <n v="9"/>
    <x v="2"/>
    <s v="Non"/>
    <n v="2"/>
    <s v="Oui"/>
    <n v="0"/>
    <s v="Non"/>
    <s v="Non"/>
    <s v="Non"/>
    <s v="Oui"/>
    <s v="Oui"/>
    <n v="824700"/>
    <x v="4"/>
    <n v="93"/>
    <n v="49100000"/>
    <n v="7500000"/>
    <n v="41200"/>
    <n v="442500"/>
    <n v="0.16260081466395113"/>
    <n v="0"/>
    <n v="59.536801261064632"/>
    <s v="Oui"/>
    <n v="50"/>
    <n v="35"/>
    <n v="14"/>
    <n v="4.5"/>
    <n v="6.5"/>
    <n v="23"/>
    <n v="29"/>
  </r>
  <r>
    <x v="2"/>
    <s v="Créateur 169"/>
    <x v="4"/>
    <n v="199"/>
    <s v="samedi"/>
    <s v="Oui"/>
    <n v="19"/>
    <s v="18-23 h"/>
    <n v="12"/>
    <x v="0"/>
    <s v="Non"/>
    <n v="20"/>
    <s v="Oui"/>
    <n v="7"/>
    <s v="Non"/>
    <s v="Non"/>
    <s v="Oui"/>
    <s v="Oui"/>
    <s v="Oui"/>
    <n v="294800"/>
    <x v="4"/>
    <n v="24"/>
    <n v="48700000"/>
    <n v="7000000"/>
    <n v="86800"/>
    <n v="256400"/>
    <n v="0.15078439425051335"/>
    <n v="0"/>
    <n v="165.19674355495252"/>
    <s v="Oui"/>
    <n v="44"/>
    <n v="33.5"/>
    <n v="30.5"/>
    <n v="100"/>
    <n v="22.5"/>
    <n v="8"/>
    <n v="9.5"/>
  </r>
  <r>
    <x v="2"/>
    <s v="Créateur 194"/>
    <x v="3"/>
    <n v="244"/>
    <s v="mercredi"/>
    <s v="Non"/>
    <n v="11"/>
    <s v="6-11 h"/>
    <n v="16"/>
    <x v="3"/>
    <s v="Oui"/>
    <n v="10"/>
    <s v="Oui"/>
    <n v="3"/>
    <s v="Non"/>
    <s v="Non"/>
    <s v="Non"/>
    <s v="Oui"/>
    <s v="Oui"/>
    <n v="4400000"/>
    <x v="1"/>
    <n v="66"/>
    <n v="48700000"/>
    <n v="7000000"/>
    <n v="26700"/>
    <n v="39600"/>
    <n v="0.14509856262833676"/>
    <n v="0"/>
    <n v="11.068181818181818"/>
    <s v="Oui"/>
    <n v="39"/>
    <n v="33.5"/>
    <n v="48"/>
    <n v="71.5"/>
    <n v="17"/>
    <n v="58"/>
    <n v="21"/>
  </r>
  <r>
    <x v="2"/>
    <s v="Créateur 208"/>
    <x v="2"/>
    <n v="290"/>
    <s v="samedi"/>
    <s v="Oui"/>
    <n v="17"/>
    <s v="12-17 h"/>
    <n v="15"/>
    <x v="0"/>
    <s v="Non"/>
    <n v="9"/>
    <s v="Oui"/>
    <n v="31"/>
    <s v="Non"/>
    <s v="Non"/>
    <s v="Non"/>
    <s v="Non"/>
    <s v="Oui"/>
    <n v="1800000"/>
    <x v="2"/>
    <n v="51"/>
    <n v="48300000"/>
    <n v="9900000"/>
    <n v="63100"/>
    <n v="312000"/>
    <n v="0.21273498964803311"/>
    <n v="1"/>
    <n v="26.833333333333332"/>
    <s v="Oui"/>
    <n v="83"/>
    <n v="32"/>
    <n v="43"/>
    <n v="60"/>
    <n v="64.5"/>
    <n v="39"/>
    <n v="18.5"/>
  </r>
  <r>
    <x v="2"/>
    <s v="Créateur 033"/>
    <x v="2"/>
    <n v="30"/>
    <s v="dimanche"/>
    <s v="Oui"/>
    <n v="1"/>
    <s v="0-5 h"/>
    <n v="10"/>
    <x v="2"/>
    <s v="Non"/>
    <n v="7"/>
    <s v="Non"/>
    <n v="0"/>
    <s v="Non"/>
    <s v="Non"/>
    <s v="Non"/>
    <s v="Oui"/>
    <s v="Non"/>
    <n v="256100"/>
    <x v="4"/>
    <n v="5"/>
    <n v="48100000"/>
    <n v="9000000"/>
    <n v="110400"/>
    <n v="269700"/>
    <n v="0.19501247401247401"/>
    <n v="0"/>
    <n v="187.81725888324874"/>
    <s v="Oui"/>
    <n v="70"/>
    <n v="31"/>
    <n v="22"/>
    <n v="37.5"/>
    <n v="6.5"/>
    <n v="5"/>
    <n v="4"/>
  </r>
  <r>
    <x v="2"/>
    <s v="@samuelgrubbs"/>
    <x v="2"/>
    <n v="502"/>
    <s v="jeudi"/>
    <s v="Non"/>
    <n v="0"/>
    <s v="0-5 h"/>
    <n v="15"/>
    <x v="0"/>
    <s v="Non"/>
    <n v="10"/>
    <s v="Oui"/>
    <n v="67"/>
    <s v="Non"/>
    <s v="Non"/>
    <s v="Non"/>
    <s v="Oui"/>
    <s v="Oui"/>
    <n v="7900000"/>
    <x v="1"/>
    <n v="126"/>
    <n v="46800000"/>
    <n v="8100000"/>
    <n v="44300"/>
    <n v="268400"/>
    <n v="0.17975854700854701"/>
    <n v="0"/>
    <n v="5.924050632911392"/>
    <s v="Oui"/>
    <n v="56"/>
    <n v="30"/>
    <n v="43"/>
    <n v="71.5"/>
    <n v="93.5"/>
    <n v="76"/>
    <n v="36.5"/>
  </r>
  <r>
    <x v="2"/>
    <s v="Créateur 225"/>
    <x v="4"/>
    <n v="102"/>
    <s v="vendredi"/>
    <s v="Non"/>
    <n v="14"/>
    <s v="12-17 h"/>
    <n v="27"/>
    <x v="3"/>
    <s v="Oui"/>
    <n v="8"/>
    <s v="Oui"/>
    <n v="30"/>
    <s v="Non"/>
    <s v="Non"/>
    <s v="Non"/>
    <s v="Non"/>
    <s v="Oui"/>
    <n v="614100"/>
    <x v="4"/>
    <n v="24"/>
    <n v="46300000"/>
    <n v="9300000"/>
    <n v="146200"/>
    <n v="210900"/>
    <n v="0.20857667386609072"/>
    <n v="1"/>
    <n v="75.394886826249802"/>
    <s v="Oui"/>
    <n v="79"/>
    <n v="29"/>
    <n v="69"/>
    <n v="47.5"/>
    <n v="62.5"/>
    <n v="22"/>
    <n v="9.5"/>
  </r>
  <r>
    <x v="2"/>
    <s v="Créateur 039"/>
    <x v="2"/>
    <n v="117"/>
    <s v="jeudi"/>
    <s v="Non"/>
    <n v="20"/>
    <s v="18-23 h"/>
    <n v="10"/>
    <x v="2"/>
    <s v="Non"/>
    <n v="5"/>
    <s v="Oui"/>
    <n v="0"/>
    <s v="Non"/>
    <s v="Non"/>
    <s v="Non"/>
    <s v="Non"/>
    <s v="Oui"/>
    <n v="144200"/>
    <x v="4"/>
    <n v="2"/>
    <n v="46100000"/>
    <n v="11200000"/>
    <n v="227900"/>
    <n v="390800"/>
    <n v="0.25637093275488071"/>
    <n v="1"/>
    <n v="319.69486823855755"/>
    <s v="Oui"/>
    <n v="97"/>
    <n v="28"/>
    <n v="22"/>
    <n v="22"/>
    <n v="6.5"/>
    <n v="2"/>
    <n v="2.5"/>
  </r>
  <r>
    <x v="2"/>
    <s v="Créateur 193"/>
    <x v="2"/>
    <n v="178"/>
    <s v="samedi"/>
    <s v="Oui"/>
    <n v="14"/>
    <s v="12-17 h"/>
    <n v="9"/>
    <x v="2"/>
    <s v="Non"/>
    <n v="8"/>
    <s v="Oui"/>
    <n v="0"/>
    <s v="Non"/>
    <s v="Oui"/>
    <s v="Non"/>
    <s v="Oui"/>
    <s v="Oui"/>
    <n v="27400000"/>
    <x v="3"/>
    <n v="588"/>
    <n v="45800000"/>
    <n v="8400000"/>
    <n v="69000"/>
    <n v="57200"/>
    <n v="0.18616157205240175"/>
    <n v="0"/>
    <n v="1.6715328467153285"/>
    <s v="Oui"/>
    <n v="60"/>
    <n v="27"/>
    <n v="14"/>
    <n v="47.5"/>
    <n v="6.5"/>
    <n v="96.5"/>
    <n v="78.5"/>
  </r>
  <r>
    <x v="2"/>
    <s v="Créateur 228"/>
    <x v="2"/>
    <n v="261"/>
    <s v="dimanche"/>
    <s v="Oui"/>
    <n v="13"/>
    <s v="12-17 h"/>
    <n v="59"/>
    <x v="1"/>
    <s v="Oui"/>
    <n v="16"/>
    <s v="Oui"/>
    <n v="10"/>
    <s v="Non"/>
    <s v="Non"/>
    <s v="Non"/>
    <s v="Oui"/>
    <s v="Oui"/>
    <n v="2300000"/>
    <x v="2"/>
    <n v="808"/>
    <n v="45200000"/>
    <n v="9100000"/>
    <n v="46900"/>
    <n v="86100"/>
    <n v="0.20426991150442478"/>
    <n v="0"/>
    <n v="19.652173913043477"/>
    <s v="Oui"/>
    <n v="75"/>
    <n v="26"/>
    <n v="97"/>
    <n v="92.5"/>
    <n v="27.5"/>
    <n v="45.5"/>
    <n v="87"/>
  </r>
  <r>
    <x v="2"/>
    <s v="Créateur 194"/>
    <x v="3"/>
    <n v="266"/>
    <s v="mardi"/>
    <s v="Non"/>
    <n v="12"/>
    <s v="12-17 h"/>
    <n v="14"/>
    <x v="0"/>
    <s v="Non"/>
    <n v="9"/>
    <s v="Oui"/>
    <n v="13"/>
    <s v="Non"/>
    <s v="Non"/>
    <s v="Non"/>
    <s v="Oui"/>
    <s v="Oui"/>
    <n v="4400000"/>
    <x v="1"/>
    <n v="66"/>
    <n v="44500000"/>
    <n v="8300000"/>
    <n v="93800"/>
    <n v="290600"/>
    <n v="0.19515505617977527"/>
    <n v="0"/>
    <n v="10.113636363636363"/>
    <s v="Oui"/>
    <n v="71"/>
    <n v="25"/>
    <n v="38"/>
    <n v="60"/>
    <n v="34.5"/>
    <n v="58"/>
    <n v="21"/>
  </r>
  <r>
    <x v="2"/>
    <s v="Créateur 162"/>
    <x v="1"/>
    <n v="304"/>
    <s v="samedi"/>
    <s v="Oui"/>
    <n v="17"/>
    <s v="12-17 h"/>
    <n v="50"/>
    <x v="1"/>
    <s v="Oui"/>
    <n v="3"/>
    <s v="Oui"/>
    <n v="31"/>
    <s v="Non"/>
    <s v="Non"/>
    <s v="Non"/>
    <s v="Non"/>
    <s v="Oui"/>
    <n v="1000000"/>
    <x v="2"/>
    <n v="176"/>
    <n v="44200000"/>
    <n v="10200000"/>
    <n v="26500"/>
    <n v="27000"/>
    <n v="0.23197963800904978"/>
    <n v="1"/>
    <n v="44.2"/>
    <s v="Oui"/>
    <n v="94"/>
    <n v="24"/>
    <n v="89"/>
    <n v="10.5"/>
    <n v="64.5"/>
    <n v="29"/>
    <n v="45"/>
  </r>
  <r>
    <x v="2"/>
    <s v="Créateur 076"/>
    <x v="2"/>
    <n v="598"/>
    <s v="samedi"/>
    <s v="Oui"/>
    <n v="14"/>
    <s v="12-17 h"/>
    <n v="19"/>
    <x v="3"/>
    <s v="Oui"/>
    <n v="9"/>
    <s v="Oui"/>
    <n v="79"/>
    <s v="Non"/>
    <s v="Non"/>
    <s v="Non"/>
    <s v="Non"/>
    <s v="Oui"/>
    <n v="2300000"/>
    <x v="2"/>
    <n v="384"/>
    <n v="43300000"/>
    <n v="8700000"/>
    <n v="80800"/>
    <n v="784100"/>
    <n v="0.22089838337182449"/>
    <n v="1"/>
    <n v="18.826086956521738"/>
    <s v="Oui"/>
    <n v="87"/>
    <n v="23"/>
    <n v="56.5"/>
    <n v="60"/>
    <n v="96.5"/>
    <n v="45.5"/>
    <n v="60"/>
  </r>
  <r>
    <x v="2"/>
    <s v="Créateur 209"/>
    <x v="2"/>
    <n v="160"/>
    <s v="mercredi"/>
    <s v="Non"/>
    <n v="20"/>
    <s v="18-23 h"/>
    <n v="16"/>
    <x v="3"/>
    <s v="Oui"/>
    <n v="19"/>
    <s v="Oui"/>
    <n v="0"/>
    <s v="Non"/>
    <s v="Non"/>
    <s v="Non"/>
    <s v="Oui"/>
    <s v="Oui"/>
    <n v="480700"/>
    <x v="4"/>
    <n v="162"/>
    <n v="43000000"/>
    <n v="6900000"/>
    <n v="70800"/>
    <n v="116200"/>
    <n v="0.16481395348837211"/>
    <n v="0"/>
    <n v="89.452881214894944"/>
    <s v="Oui"/>
    <n v="52"/>
    <n v="22"/>
    <n v="48"/>
    <n v="99"/>
    <n v="6.5"/>
    <n v="16"/>
    <n v="42"/>
  </r>
  <r>
    <x v="2"/>
    <s v="Créateur 036"/>
    <x v="2"/>
    <n v="72"/>
    <s v="dimanche"/>
    <s v="Oui"/>
    <n v="18"/>
    <s v="18-23 h"/>
    <n v="14"/>
    <x v="0"/>
    <s v="Non"/>
    <n v="5"/>
    <s v="Oui"/>
    <n v="0"/>
    <s v="Non"/>
    <s v="Non"/>
    <s v="Non"/>
    <s v="Non"/>
    <s v="Oui"/>
    <n v="158600"/>
    <x v="4"/>
    <n v="51"/>
    <n v="42800000"/>
    <n v="9700000"/>
    <n v="48100"/>
    <n v="82700"/>
    <n v="0.22969158878504672"/>
    <n v="1"/>
    <n v="269.8612862547289"/>
    <s v="Oui"/>
    <n v="93"/>
    <n v="21"/>
    <n v="38"/>
    <n v="22"/>
    <n v="6.5"/>
    <n v="3"/>
    <n v="18.5"/>
  </r>
  <r>
    <x v="2"/>
    <s v="Créateur 004"/>
    <x v="2"/>
    <n v="281"/>
    <s v="lundi"/>
    <s v="Non"/>
    <n v="0"/>
    <s v="0-5 h"/>
    <n v="34"/>
    <x v="1"/>
    <s v="Oui"/>
    <n v="3"/>
    <s v="Non"/>
    <n v="17"/>
    <s v="Non"/>
    <s v="Non"/>
    <s v="Non"/>
    <s v="Oui"/>
    <s v="Oui"/>
    <n v="18400000"/>
    <x v="3"/>
    <n v="391"/>
    <n v="42700000"/>
    <n v="9400000"/>
    <n v="88800"/>
    <n v="242200"/>
    <n v="0.22789227166276346"/>
    <n v="1"/>
    <n v="2.3206521739130435"/>
    <s v="Oui"/>
    <n v="91"/>
    <n v="19.5"/>
    <n v="74"/>
    <n v="10.5"/>
    <n v="42"/>
    <n v="91"/>
    <n v="63"/>
  </r>
  <r>
    <x v="2"/>
    <s v="Créateur 021"/>
    <x v="3"/>
    <n v="386"/>
    <s v="lundi"/>
    <s v="Non"/>
    <n v="6"/>
    <s v="6-11 h"/>
    <n v="59"/>
    <x v="1"/>
    <s v="Oui"/>
    <n v="6"/>
    <s v="Oui"/>
    <n v="24"/>
    <s v="Non"/>
    <s v="Non"/>
    <s v="Non"/>
    <s v="Oui"/>
    <s v="Oui"/>
    <n v="533300"/>
    <x v="4"/>
    <n v="216"/>
    <n v="42700000"/>
    <n v="7800000"/>
    <n v="0"/>
    <n v="256300"/>
    <n v="0.18867213114754097"/>
    <n v="0"/>
    <n v="80.067504219013685"/>
    <s v="Oui"/>
    <n v="66"/>
    <n v="19.5"/>
    <n v="97"/>
    <n v="30"/>
    <n v="51.5"/>
    <n v="19"/>
    <n v="47"/>
  </r>
  <r>
    <x v="2"/>
    <s v="Créateur 199"/>
    <x v="2"/>
    <n v="483"/>
    <s v="mardi"/>
    <s v="Non"/>
    <n v="6"/>
    <s v="6-11 h"/>
    <n v="20"/>
    <x v="3"/>
    <s v="Oui"/>
    <n v="3"/>
    <s v="Non"/>
    <n v="33"/>
    <s v="Non"/>
    <s v="Non"/>
    <s v="Non"/>
    <s v="Oui"/>
    <s v="Oui"/>
    <n v="8700000"/>
    <x v="3"/>
    <n v="458"/>
    <n v="41000000"/>
    <n v="7400000"/>
    <n v="37900"/>
    <n v="291900"/>
    <n v="0.18853170731707317"/>
    <n v="0"/>
    <n v="4.7126436781609193"/>
    <s v="Oui"/>
    <n v="65"/>
    <n v="18"/>
    <n v="59.5"/>
    <n v="10.5"/>
    <n v="68"/>
    <n v="82.5"/>
    <n v="67"/>
  </r>
  <r>
    <x v="2"/>
    <s v="Créateur 204"/>
    <x v="2"/>
    <n v="601"/>
    <s v="mercredi"/>
    <s v="Non"/>
    <n v="16"/>
    <s v="12-17 h"/>
    <n v="8"/>
    <x v="2"/>
    <s v="Non"/>
    <n v="9"/>
    <s v="Oui"/>
    <n v="25"/>
    <s v="Non"/>
    <s v="Non"/>
    <s v="Non"/>
    <s v="Oui"/>
    <s v="Oui"/>
    <n v="516000"/>
    <x v="4"/>
    <n v="820"/>
    <n v="40800000"/>
    <n v="7700000"/>
    <n v="55300"/>
    <n v="620400"/>
    <n v="0.20528676470588236"/>
    <n v="1"/>
    <n v="79.069767441860463"/>
    <s v="Oui"/>
    <n v="76"/>
    <n v="17"/>
    <n v="9.5"/>
    <n v="60"/>
    <n v="53"/>
    <n v="18"/>
    <n v="88"/>
  </r>
  <r>
    <x v="2"/>
    <s v="Créateur 093"/>
    <x v="2"/>
    <n v="214"/>
    <s v="vendredi"/>
    <s v="Non"/>
    <n v="21"/>
    <s v="18-23 h"/>
    <n v="29"/>
    <x v="3"/>
    <s v="Oui"/>
    <n v="8"/>
    <s v="Oui"/>
    <n v="11"/>
    <s v="Non"/>
    <s v="Oui"/>
    <s v="Oui"/>
    <s v="Oui"/>
    <s v="Oui"/>
    <n v="376200"/>
    <x v="4"/>
    <n v="39"/>
    <n v="40200000"/>
    <n v="8600000"/>
    <n v="58100"/>
    <n v="134900"/>
    <n v="0.2187313432835821"/>
    <n v="1"/>
    <n v="106.85805422647528"/>
    <s v="Oui"/>
    <n v="86"/>
    <n v="15.5"/>
    <n v="70"/>
    <n v="47.5"/>
    <n v="30"/>
    <n v="11"/>
    <n v="15"/>
  </r>
  <r>
    <x v="2"/>
    <s v="Créateur 188"/>
    <x v="1"/>
    <n v="146"/>
    <s v="mercredi"/>
    <s v="Non"/>
    <n v="22"/>
    <s v="18-23 h"/>
    <n v="47"/>
    <x v="1"/>
    <s v="Oui"/>
    <n v="2"/>
    <s v="Oui"/>
    <n v="41"/>
    <s v="Non"/>
    <s v="Oui"/>
    <s v="Non"/>
    <s v="Non"/>
    <s v="Oui"/>
    <n v="5200000"/>
    <x v="1"/>
    <n v="302"/>
    <n v="40200000"/>
    <n v="8600000"/>
    <n v="43300"/>
    <n v="56800"/>
    <n v="0.21642039800995025"/>
    <n v="1"/>
    <n v="7.7307692307692308"/>
    <s v="Oui"/>
    <n v="85"/>
    <n v="15.5"/>
    <n v="87"/>
    <n v="4.5"/>
    <n v="74.5"/>
    <n v="65.5"/>
    <n v="53.5"/>
  </r>
  <r>
    <x v="2"/>
    <s v="Créateur 058"/>
    <x v="2"/>
    <n v="257"/>
    <s v="jeudi"/>
    <s v="Non"/>
    <n v="23"/>
    <s v="18-23 h"/>
    <n v="35"/>
    <x v="1"/>
    <s v="Oui"/>
    <n v="6"/>
    <s v="Oui"/>
    <n v="23"/>
    <s v="Non"/>
    <s v="Non"/>
    <s v="Non"/>
    <s v="Non"/>
    <s v="Oui"/>
    <n v="4500000"/>
    <x v="1"/>
    <n v="452"/>
    <n v="40100000"/>
    <n v="7100000"/>
    <n v="71800"/>
    <n v="375800"/>
    <n v="0.18821945137157106"/>
    <n v="0"/>
    <n v="8.9111111111111114"/>
    <s v="Oui"/>
    <n v="64"/>
    <n v="14"/>
    <n v="75.5"/>
    <n v="30"/>
    <n v="49.5"/>
    <n v="61.5"/>
    <n v="66"/>
  </r>
  <r>
    <x v="2"/>
    <s v="Créateur 087"/>
    <x v="2"/>
    <n v="99"/>
    <s v="lundi"/>
    <s v="Non"/>
    <n v="20"/>
    <s v="18-23 h"/>
    <n v="53"/>
    <x v="1"/>
    <s v="Oui"/>
    <n v="4"/>
    <s v="Oui"/>
    <n v="26"/>
    <s v="Non"/>
    <s v="Non"/>
    <s v="Non"/>
    <s v="Oui"/>
    <s v="Oui"/>
    <n v="4500000"/>
    <x v="1"/>
    <n v="542"/>
    <n v="39200000"/>
    <n v="8700000"/>
    <n v="33400"/>
    <n v="69300"/>
    <n v="0.22455867346938777"/>
    <n v="1"/>
    <n v="8.7111111111111104"/>
    <s v="Oui"/>
    <n v="90"/>
    <n v="13"/>
    <n v="91"/>
    <n v="15.5"/>
    <n v="55"/>
    <n v="61.5"/>
    <n v="72"/>
  </r>
  <r>
    <x v="2"/>
    <s v="Créateur 095"/>
    <x v="4"/>
    <n v="181"/>
    <s v="mercredi"/>
    <s v="Non"/>
    <n v="18"/>
    <s v="18-23 h"/>
    <n v="10"/>
    <x v="2"/>
    <s v="Non"/>
    <n v="13"/>
    <s v="Oui"/>
    <n v="32"/>
    <s v="Non"/>
    <s v="Non"/>
    <s v="Oui"/>
    <s v="Oui"/>
    <s v="Oui"/>
    <n v="475800"/>
    <x v="4"/>
    <n v="87"/>
    <n v="38400000"/>
    <n v="7100000"/>
    <n v="77800"/>
    <n v="253100"/>
    <n v="0.19351302083333333"/>
    <n v="0"/>
    <n v="80.706179066834807"/>
    <s v="Oui"/>
    <n v="69"/>
    <n v="12"/>
    <n v="22"/>
    <n v="87.5"/>
    <n v="66.5"/>
    <n v="15"/>
    <n v="24.5"/>
  </r>
  <r>
    <x v="2"/>
    <s v="Créateur 084"/>
    <x v="2"/>
    <n v="398"/>
    <s v="mercredi"/>
    <s v="Non"/>
    <n v="22"/>
    <s v="18-23 h"/>
    <n v="14"/>
    <x v="0"/>
    <s v="Non"/>
    <n v="3"/>
    <s v="Non"/>
    <n v="28"/>
    <s v="Non"/>
    <s v="Non"/>
    <s v="Non"/>
    <s v="Oui"/>
    <s v="Oui"/>
    <n v="1100000"/>
    <x v="2"/>
    <n v="1087"/>
    <n v="38300000"/>
    <n v="7300000"/>
    <n v="37300"/>
    <n v="173800"/>
    <n v="0.19611227154046998"/>
    <n v="0"/>
    <n v="34.81818181818182"/>
    <s v="Oui"/>
    <n v="73"/>
    <n v="11"/>
    <n v="38"/>
    <n v="10.5"/>
    <n v="60.5"/>
    <n v="30.5"/>
    <n v="93"/>
  </r>
  <r>
    <x v="2"/>
    <s v="Créateur 103"/>
    <x v="3"/>
    <n v="284"/>
    <s v="vendredi"/>
    <s v="Non"/>
    <n v="1"/>
    <s v="0-5 h"/>
    <n v="57"/>
    <x v="1"/>
    <s v="Oui"/>
    <n v="4"/>
    <s v="Oui"/>
    <n v="51"/>
    <s v="Non"/>
    <s v="Non"/>
    <s v="Non"/>
    <s v="Oui"/>
    <s v="Oui"/>
    <n v="1800000"/>
    <x v="2"/>
    <n v="163"/>
    <n v="38000000"/>
    <n v="7400000"/>
    <n v="92800"/>
    <n v="554700"/>
    <n v="0.21177631578947367"/>
    <n v="1"/>
    <n v="21.111111111111111"/>
    <s v="Oui"/>
    <n v="82"/>
    <n v="10"/>
    <n v="93.5"/>
    <n v="15.5"/>
    <n v="85.5"/>
    <n v="39"/>
    <n v="43"/>
  </r>
  <r>
    <x v="2"/>
    <s v="Créateur 195"/>
    <x v="2"/>
    <n v="203"/>
    <s v="mardi"/>
    <s v="Non"/>
    <n v="23"/>
    <s v="18-23 h"/>
    <n v="38"/>
    <x v="1"/>
    <s v="Oui"/>
    <n v="2"/>
    <s v="Oui"/>
    <n v="38"/>
    <s v="Non"/>
    <s v="Non"/>
    <s v="Non"/>
    <s v="Oui"/>
    <s v="Oui"/>
    <n v="257600"/>
    <x v="4"/>
    <n v="2"/>
    <n v="36000000"/>
    <n v="7700000"/>
    <n v="69400"/>
    <n v="226400"/>
    <n v="0.22210555555555556"/>
    <n v="1"/>
    <n v="139.75155279503105"/>
    <s v="Oui"/>
    <n v="88"/>
    <n v="9"/>
    <n v="79"/>
    <n v="4.5"/>
    <n v="72"/>
    <n v="6"/>
    <n v="2.5"/>
  </r>
  <r>
    <x v="2"/>
    <s v="Créateur 194"/>
    <x v="3"/>
    <n v="111"/>
    <s v="mercredi"/>
    <s v="Non"/>
    <n v="12"/>
    <s v="12-17 h"/>
    <n v="24"/>
    <x v="3"/>
    <s v="Oui"/>
    <n v="15"/>
    <s v="Oui"/>
    <n v="12"/>
    <s v="Non"/>
    <s v="Non"/>
    <s v="Non"/>
    <s v="Oui"/>
    <s v="Oui"/>
    <n v="4400000"/>
    <x v="1"/>
    <n v="66"/>
    <n v="35200000"/>
    <n v="7100000"/>
    <n v="75000"/>
    <n v="105200"/>
    <n v="0.20682386363636363"/>
    <n v="1"/>
    <n v="8"/>
    <s v="Oui"/>
    <n v="77"/>
    <n v="8"/>
    <n v="67"/>
    <n v="91"/>
    <n v="32.5"/>
    <n v="58"/>
    <n v="21"/>
  </r>
  <r>
    <x v="2"/>
    <s v="Créateur 092"/>
    <x v="2"/>
    <n v="85"/>
    <s v="lundi"/>
    <s v="Non"/>
    <n v="19"/>
    <s v="18-23 h"/>
    <n v="13"/>
    <x v="0"/>
    <s v="Non"/>
    <n v="9"/>
    <s v="Oui"/>
    <n v="26"/>
    <s v="Non"/>
    <s v="Non"/>
    <s v="Non"/>
    <s v="Oui"/>
    <s v="Non"/>
    <n v="437300"/>
    <x v="4"/>
    <n v="28"/>
    <n v="34100000"/>
    <n v="7000000"/>
    <n v="25500"/>
    <n v="33600"/>
    <n v="0.2070117302052786"/>
    <n v="1"/>
    <n v="77.978504459181337"/>
    <s v="Oui"/>
    <n v="78"/>
    <n v="7"/>
    <n v="33.5"/>
    <n v="60"/>
    <n v="55"/>
    <n v="14"/>
    <n v="11"/>
  </r>
  <r>
    <x v="2"/>
    <s v="Créateur 005"/>
    <x v="1"/>
    <n v="470"/>
    <s v="lundi"/>
    <s v="Non"/>
    <n v="7"/>
    <s v="6-11 h"/>
    <n v="40"/>
    <x v="1"/>
    <s v="Oui"/>
    <n v="8"/>
    <s v="Oui"/>
    <n v="44"/>
    <s v="Non"/>
    <s v="Non"/>
    <s v="Non"/>
    <s v="Oui"/>
    <s v="Oui"/>
    <n v="1300000"/>
    <x v="2"/>
    <n v="517"/>
    <n v="34000000"/>
    <n v="7400000"/>
    <n v="91200"/>
    <n v="464700"/>
    <n v="0.23399705882352942"/>
    <n v="1"/>
    <n v="26.153846153846153"/>
    <s v="Oui"/>
    <n v="96"/>
    <n v="6"/>
    <n v="81"/>
    <n v="47.5"/>
    <n v="78.5"/>
    <n v="33"/>
    <n v="70"/>
  </r>
  <r>
    <x v="2"/>
    <s v="Créateur 136"/>
    <x v="1"/>
    <n v="225"/>
    <s v="lundi"/>
    <s v="Non"/>
    <n v="2"/>
    <s v="0-5 h"/>
    <n v="59"/>
    <x v="1"/>
    <s v="Oui"/>
    <n v="11"/>
    <s v="Oui"/>
    <n v="48"/>
    <s v="Non"/>
    <s v="Non"/>
    <s v="Non"/>
    <s v="Non"/>
    <s v="Oui"/>
    <n v="5000000"/>
    <x v="1"/>
    <n v="507"/>
    <n v="32600000"/>
    <n v="6900000"/>
    <n v="25900"/>
    <n v="43700"/>
    <n v="0.21379141104294477"/>
    <n v="1"/>
    <n v="6.52"/>
    <s v="Oui"/>
    <n v="84"/>
    <n v="5"/>
    <n v="97"/>
    <n v="79"/>
    <n v="82.5"/>
    <n v="64"/>
    <n v="69"/>
  </r>
  <r>
    <x v="2"/>
    <s v="Créateur 202"/>
    <x v="2"/>
    <n v="111"/>
    <s v="mercredi"/>
    <s v="Non"/>
    <n v="19"/>
    <s v="18-23 h"/>
    <n v="36"/>
    <x v="1"/>
    <s v="Oui"/>
    <n v="4"/>
    <s v="Oui"/>
    <n v="30"/>
    <s v="Non"/>
    <s v="Non"/>
    <s v="Non"/>
    <s v="Oui"/>
    <s v="Oui"/>
    <n v="74300"/>
    <x v="4"/>
    <n v="92"/>
    <n v="31500000"/>
    <n v="7000000"/>
    <n v="48300"/>
    <n v="150400"/>
    <n v="0.22853015873015872"/>
    <n v="1"/>
    <n v="423.95693135935397"/>
    <s v="Oui"/>
    <n v="92"/>
    <n v="4"/>
    <n v="77"/>
    <n v="15.5"/>
    <n v="62.5"/>
    <n v="1"/>
    <n v="28"/>
  </r>
  <r>
    <x v="2"/>
    <s v="Créateur 088"/>
    <x v="1"/>
    <n v="168"/>
    <s v="mardi"/>
    <s v="Non"/>
    <n v="23"/>
    <s v="18-23 h"/>
    <n v="43"/>
    <x v="1"/>
    <s v="Oui"/>
    <n v="2"/>
    <s v="Non"/>
    <n v="51"/>
    <s v="Non"/>
    <s v="Oui"/>
    <s v="Non"/>
    <s v="Oui"/>
    <s v="Oui"/>
    <n v="10500000"/>
    <x v="3"/>
    <n v="2613"/>
    <n v="30500000"/>
    <n v="7700000"/>
    <n v="56200"/>
    <n v="202800"/>
    <n v="0.26095081967213113"/>
    <n v="1"/>
    <n v="2.9047619047619047"/>
    <s v="Oui"/>
    <n v="99"/>
    <n v="3"/>
    <n v="83"/>
    <n v="4.5"/>
    <n v="85.5"/>
    <n v="88"/>
    <n v="100"/>
  </r>
  <r>
    <x v="2"/>
    <s v="Créateur 224"/>
    <x v="4"/>
    <n v="37"/>
    <s v="dimanche"/>
    <s v="Oui"/>
    <n v="7"/>
    <s v="6-11 h"/>
    <n v="170"/>
    <x v="4"/>
    <s v="Oui"/>
    <n v="9"/>
    <s v="Oui"/>
    <n v="0"/>
    <s v="Non"/>
    <s v="Non"/>
    <s v="Non"/>
    <s v="Oui"/>
    <s v="Non"/>
    <n v="499800"/>
    <x v="4"/>
    <n v="37"/>
    <n v="28800000"/>
    <n v="8200000"/>
    <n v="74600"/>
    <n v="227600"/>
    <n v="0.29521527777777778"/>
    <n v="1"/>
    <n v="57.623049219687879"/>
    <s v="Oui"/>
    <n v="100"/>
    <n v="2"/>
    <n v="100"/>
    <n v="60"/>
    <n v="6.5"/>
    <n v="17"/>
    <n v="13"/>
  </r>
  <r>
    <x v="2"/>
    <s v="Créateur 127"/>
    <x v="2"/>
    <n v="76"/>
    <s v="mercredi"/>
    <s v="Non"/>
    <n v="17"/>
    <s v="12-17 h"/>
    <n v="15"/>
    <x v="0"/>
    <s v="Non"/>
    <n v="11"/>
    <s v="Oui"/>
    <n v="4"/>
    <s v="Non"/>
    <s v="Oui"/>
    <s v="Non"/>
    <s v="Oui"/>
    <s v="Oui"/>
    <n v="958100"/>
    <x v="4"/>
    <n v="287"/>
    <n v="27700000"/>
    <n v="6900000"/>
    <n v="34800"/>
    <n v="224600"/>
    <n v="0.25846209386281588"/>
    <n v="1"/>
    <n v="28.911387120342344"/>
    <s v="Oui"/>
    <n v="98"/>
    <n v="1"/>
    <n v="43"/>
    <n v="79"/>
    <n v="19.5"/>
    <n v="27"/>
    <n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CD_Duree" cacheId="7" applyNumberFormats="0" applyBorderFormats="0" applyFontFormats="0" applyPatternFormats="0" applyAlignmentFormats="0" applyWidthHeightFormats="1" dataCaption="Valeurs" grandTotalCaption="Total" updatedVersion="8" minRefreshableVersion="3" useAutoFormatting="1" itemPrintTitles="1" createdVersion="6" indent="0" outline="1" outlineData="1" multipleFieldFilters="0" rowHeaderCaption="Classe de durée" colHeaderCaption="Échantillon">
  <location ref="B92:F99" firstHeaderRow="1" firstDataRow="2" firstDataCol="1"/>
  <pivotFields count="37">
    <pivotField axis="axisCol" showAll="0">
      <items count="4">
        <item x="0"/>
        <item x="1"/>
        <item x="2"/>
        <item t="default"/>
      </items>
    </pivotField>
    <pivotField showAll="0"/>
    <pivotField showAll="0"/>
    <pivotField showAll="0"/>
    <pivotField showAll="0"/>
    <pivotField showAll="0"/>
    <pivotField showAll="0"/>
    <pivotField showAll="0"/>
    <pivotField showAll="0"/>
    <pivotField axis="axisRow" showAll="0">
      <items count="6">
        <item x="2"/>
        <item x="0"/>
        <item x="3"/>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9"/>
  </rowFields>
  <rowItems count="6">
    <i>
      <x/>
    </i>
    <i>
      <x v="1"/>
    </i>
    <i>
      <x v="2"/>
    </i>
    <i>
      <x v="3"/>
    </i>
    <i>
      <x v="4"/>
    </i>
    <i t="grand">
      <x/>
    </i>
  </rowItems>
  <colFields count="1">
    <field x="0"/>
  </colFields>
  <colItems count="4">
    <i>
      <x/>
    </i>
    <i>
      <x v="1"/>
    </i>
    <i>
      <x v="2"/>
    </i>
    <i t="grand">
      <x/>
    </i>
  </colItems>
  <dataFields count="1">
    <dataField name="Part de top performers" fld="27" subtotal="average" baseField="0" baseItem="0" numFmtId="9"/>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TCD_Abonnes" cacheId="7" applyNumberFormats="0" applyBorderFormats="0" applyFontFormats="0" applyPatternFormats="0" applyAlignmentFormats="0" applyWidthHeightFormats="1" dataCaption="Valeurs" grandTotalCaption="Total" updatedVersion="8" minRefreshableVersion="3" useAutoFormatting="1" itemPrintTitles="1" createdVersion="6" indent="0" outline="1" outlineData="1" multipleFieldFilters="0" rowHeaderCaption="Tranche d'abonnés">
  <location ref="B61:E67" firstHeaderRow="1" firstDataRow="2" firstDataCol="1" rowPageCount="1" colPageCount="1"/>
  <pivotFields count="37">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2"/>
        <item x="1"/>
        <item x="3"/>
        <item m="1" x="5"/>
        <item x="0"/>
        <item t="default"/>
      </items>
    </pivotField>
    <pivotField showAll="0"/>
    <pivotField dataField="1"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20"/>
  </rowFields>
  <rowItems count="5">
    <i>
      <x/>
    </i>
    <i>
      <x v="1"/>
    </i>
    <i>
      <x v="2"/>
    </i>
    <i>
      <x v="3"/>
    </i>
    <i t="grand">
      <x/>
    </i>
  </rowItems>
  <colFields count="1">
    <field x="-2"/>
  </colFields>
  <colItems count="3">
    <i>
      <x/>
    </i>
    <i i="1">
      <x v="1"/>
    </i>
    <i i="2">
      <x v="2"/>
    </i>
  </colItems>
  <pageFields count="1">
    <pageField fld="0" item="2" hier="-1"/>
  </pageFields>
  <dataFields count="3">
    <dataField name="Vidéos" fld="22" subtotal="count" baseField="0" baseItem="0" numFmtId="3"/>
    <dataField name="Part de top performers" fld="27" subtotal="average" baseField="0" baseItem="0" numFmtId="9"/>
    <dataField name="Engagement moyen" fld="26" subtotal="average" baseField="0"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TCD_Themes" cacheId="7" applyNumberFormats="0" applyBorderFormats="0" applyFontFormats="0" applyPatternFormats="0" applyAlignmentFormats="0" applyWidthHeightFormats="1" dataCaption="Valeurs" grandTotalCaption="Total" updatedVersion="8" minRefreshableVersion="3" useAutoFormatting="1" itemPrintTitles="1" createdVersion="6" indent="0" outline="1" outlineData="1" multipleFieldFilters="0" rowHeaderCaption="Sujet" colHeaderCaption="Échantillon">
  <location ref="B99:F106" firstHeaderRow="1" firstDataRow="2" firstDataCol="1"/>
  <pivotFields count="37">
    <pivotField axis="axisCol" showAll="0">
      <items count="4">
        <item x="0"/>
        <item x="1"/>
        <item x="2"/>
        <item t="default"/>
      </items>
    </pivotField>
    <pivotField showAll="0"/>
    <pivotField axis="axisRow"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0"/>
  </colFields>
  <colItems count="4">
    <i>
      <x/>
    </i>
    <i>
      <x v="1"/>
    </i>
    <i>
      <x v="2"/>
    </i>
    <i t="grand">
      <x/>
    </i>
  </colItems>
  <dataFields count="1">
    <dataField name="Vues (somme)" fld="22" baseField="0" baseItem="0" numFmtId="169"/>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nnees" displayName="Donnees" ref="A1:AK301" totalsRowShown="0">
  <autoFilter ref="A1:AK301" xr:uid="{00000000-0009-0000-0100-000001000000}"/>
  <tableColumns count="37">
    <tableColumn id="1" xr3:uid="{00000000-0010-0000-0000-000001000000}" name="Échantillon"/>
    <tableColumn id="2" xr3:uid="{00000000-0010-0000-0000-000002000000}" name="Créateur"/>
    <tableColumn id="3" xr3:uid="{00000000-0010-0000-0000-000003000000}" name="Thème"/>
    <tableColumn id="4" xr3:uid="{00000000-0010-0000-0000-000004000000}" name="Âge (jours)"/>
    <tableColumn id="5" xr3:uid="{00000000-0010-0000-0000-000005000000}" name="Jour"/>
    <tableColumn id="6" xr3:uid="{00000000-0010-0000-0000-000006000000}" name="Week-end">
      <calculatedColumnFormula>IF(OR(Donnees[[#This Row],[Jour]]="samedi",Donnees[[#This Row],[Jour]]="dimanche"),"Oui","Non")</calculatedColumnFormula>
    </tableColumn>
    <tableColumn id="7" xr3:uid="{00000000-0010-0000-0000-000007000000}" name="Heure UTC"/>
    <tableColumn id="8" xr3:uid="{00000000-0010-0000-0000-000008000000}" name="Créneau UTC">
      <calculatedColumnFormula>IF(Donnees[[#This Row],[Heure UTC]]&lt;6,"0-5 h",IF(Donnees[[#This Row],[Heure UTC]]&lt;12,"6-11 h",IF(Donnees[[#This Row],[Heure UTC]]&lt;18,"12-17 h","18-23 h")))</calculatedColumnFormula>
    </tableColumn>
    <tableColumn id="9" xr3:uid="{00000000-0010-0000-0000-000009000000}" name="Durée (s)"/>
    <tableColumn id="10" xr3:uid="{00000000-0010-0000-0000-00000A000000}" name="Classe de durée">
      <calculatedColumnFormula>IF(Donnees[[#This Row],[Durée (s)]]&lt;=10,"1. ≤ 10 s",IF(Donnees[[#This Row],[Durée (s)]]&lt;=15,"2. 11-15 s",IF(Donnees[[#This Row],[Durée (s)]]&lt;=30,"3. 16-30 s",IF(Donnees[[#This Row],[Durée (s)]]&lt;=60,"4. 31-60 s","5. &gt; 60 s"))))</calculatedColumnFormula>
    </tableColumn>
    <tableColumn id="11" xr3:uid="{00000000-0010-0000-0000-00000B000000}" name="Plus de 15 s">
      <calculatedColumnFormula>IF(Donnees[[#This Row],[Durée (s)]]&gt;15,"Oui","Non")</calculatedColumnFormula>
    </tableColumn>
    <tableColumn id="12" xr3:uid="{00000000-0010-0000-0000-00000C000000}" name="Nb hashtags"/>
    <tableColumn id="13" xr3:uid="{00000000-0010-0000-0000-00000D000000}" name="Hashtags génériques"/>
    <tableColumn id="14" xr3:uid="{00000000-0010-0000-0000-00000E000000}" name="Longueur du texte"/>
    <tableColumn id="15" xr3:uid="{00000000-0010-0000-0000-00000F000000}" name="Légende vide"/>
    <tableColumn id="16" xr3:uid="{00000000-0010-0000-0000-000010000000}" name="Mention duo stitch"/>
    <tableColumn id="17" xr3:uid="{00000000-0010-0000-0000-000011000000}" name="Question ou appel"/>
    <tableColumn id="18" xr3:uid="{00000000-0010-0000-0000-000012000000}" name="Son original"/>
    <tableColumn id="19" xr3:uid="{00000000-0010-0000-0000-000013000000}" name="Stitch autorisé"/>
    <tableColumn id="20" xr3:uid="{00000000-0010-0000-0000-000014000000}" name="Abonnés" dataDxfId="14"/>
    <tableColumn id="21" xr3:uid="{00000000-0010-0000-0000-000015000000}" name="Tranche abonnés">
      <calculatedColumnFormula>IF(Donnees[[#This Row],[Abonnés]]="","",IF(Donnees[[#This Row],[Abonnés]]&lt;1000000,"1. &lt; 1 M",IF(Donnees[[#This Row],[Abonnés]]&lt;3000000,"2. 1-3 M",IF(Donnees[[#This Row],[Abonnés]]&lt;8000000,"3. 3-8 M","4. ≥ 8 M"))))</calculatedColumnFormula>
    </tableColumn>
    <tableColumn id="22" xr3:uid="{00000000-0010-0000-0000-000016000000}" name="Vidéos publiées" dataDxfId="13"/>
    <tableColumn id="23" xr3:uid="{00000000-0010-0000-0000-000017000000}" name="Vues" dataDxfId="12"/>
    <tableColumn id="24" xr3:uid="{00000000-0010-0000-0000-000018000000}" name="Likes" dataDxfId="11"/>
    <tableColumn id="25" xr3:uid="{00000000-0010-0000-0000-000019000000}" name="Commentaires" dataDxfId="10"/>
    <tableColumn id="26" xr3:uid="{00000000-0010-0000-0000-00001A000000}" name="Partages" dataDxfId="9"/>
    <tableColumn id="27" xr3:uid="{00000000-0010-0000-0000-00001B000000}" name="Engagement" dataDxfId="8">
      <calculatedColumnFormula>(Donnees[[#This Row],[Likes]]+Donnees[[#This Row],[Commentaires]]+Donnees[[#This Row],[Partages]])/Donnees[[#This Row],[Vues]]</calculatedColumnFormula>
    </tableColumn>
    <tableColumn id="28" xr3:uid="{00000000-0010-0000-0000-00001C000000}" name="Top performer">
      <calculatedColumnFormula>IF(Donnees[[#This Row],[Engagement]]&gt;=VLOOKUP(Donnees[[#This Row],[Échantillon]],'Méthode &amp; limites'!$B$9:$D$11,2,FALSE),1,0)</calculatedColumnFormula>
    </tableColumn>
    <tableColumn id="29" xr3:uid="{00000000-0010-0000-0000-00001D000000}" name="Vues par abonné" dataDxfId="7">
      <calculatedColumnFormula>IF(Donnees[[#This Row],[Abonnés]]="","",Donnees[[#This Row],[Vues]]/Donnees[[#This Row],[Abonnés]])</calculatedColumnFormula>
    </tableColumn>
    <tableColumn id="30" xr3:uid="{00000000-0010-0000-0000-00001E000000}" name="Compté dans les cumuls"/>
    <tableColumn id="31" xr3:uid="{00000000-0010-0000-0000-00001F000000}" name="Rang engagement" dataDxfId="6">
      <calculatedColumnFormula>SUMPRODUCT((Donnees[Échantillon]=Donnees[[#This Row],[Échantillon]])*(Donnees[Engagement]&lt;Donnees[[#This Row],[Engagement]]))+(SUMPRODUCT((Donnees[Échantillon]=Donnees[[#This Row],[Échantillon]])*(Donnees[Engagement]=Donnees[[#This Row],[Engagement]]))+1)/2</calculatedColumnFormula>
    </tableColumn>
    <tableColumn id="32" xr3:uid="{00000000-0010-0000-0000-000020000000}" name="Rang vues" dataDxfId="5">
      <calculatedColumnFormula>SUMPRODUCT((Donnees[Échantillon]=Donnees[[#This Row],[Échantillon]])*(Donnees[Vues]&lt;Donnees[[#This Row],[Vues]]))+(SUMPRODUCT((Donnees[Échantillon]=Donnees[[#This Row],[Échantillon]])*(Donnees[Vues]=Donnees[[#This Row],[Vues]]))+1)/2</calculatedColumnFormula>
    </tableColumn>
    <tableColumn id="33" xr3:uid="{00000000-0010-0000-0000-000021000000}" name="Rang durée" dataDxfId="4">
      <calculatedColumnFormula>SUMPRODUCT((Donnees[Échantillon]=Donnees[[#This Row],[Échantillon]])*(Donnees[Durée (s)]&lt;Donnees[[#This Row],[Durée (s)]]))+(SUMPRODUCT((Donnees[Échantillon]=Donnees[[#This Row],[Échantillon]])*(Donnees[Durée (s)]=Donnees[[#This Row],[Durée (s)]]))+1)/2</calculatedColumnFormula>
    </tableColumn>
    <tableColumn id="34" xr3:uid="{00000000-0010-0000-0000-000022000000}" name="Rang hashtags" dataDxfId="3">
      <calculatedColumnFormula>SUMPRODUCT((Donnees[Échantillon]=Donnees[[#This Row],[Échantillon]])*(Donnees[Nb hashtags]&lt;Donnees[[#This Row],[Nb hashtags]]))+(SUMPRODUCT((Donnees[Échantillon]=Donnees[[#This Row],[Échantillon]])*(Donnees[Nb hashtags]=Donnees[[#This Row],[Nb hashtags]]))+1)/2</calculatedColumnFormula>
    </tableColumn>
    <tableColumn id="35" xr3:uid="{00000000-0010-0000-0000-000023000000}" name="Rang longueur" dataDxfId="2">
      <calculatedColumnFormula>SUMPRODUCT((Donnees[Échantillon]=Donnees[[#This Row],[Échantillon]])*(Donnees[Longueur du texte]&lt;Donnees[[#This Row],[Longueur du texte]]))+(SUMPRODUCT((Donnees[Échantillon]=Donnees[[#This Row],[Échantillon]])*(Donnees[Longueur du texte]=Donnees[[#This Row],[Longueur du texte]]))+1)/2</calculatedColumnFormula>
    </tableColumn>
    <tableColumn id="36" xr3:uid="{00000000-0010-0000-0000-000024000000}" name="Rang abonnés" dataDxfId="1">
      <calculatedColumnFormula>IF(Donnees[[#This Row],[Abonnés]]="","",SUMPRODUCT((Donnees[Échantillon]=Donnees[[#This Row],[Échantillon]])*(Donnees[Abonnés]&lt;Donnees[[#This Row],[Abonnés]]))+(SUMPRODUCT((Donnees[Échantillon]=Donnees[[#This Row],[Échantillon]])*(Donnees[Abonnés]=Donnees[[#This Row],[Abonnés]]))+1)/2)</calculatedColumnFormula>
    </tableColumn>
    <tableColumn id="37" xr3:uid="{00000000-0010-0000-0000-000025000000}" name="Rang vidéos publiées" dataDxfId="0">
      <calculatedColumnFormula>IF(Donnees[[#This Row],[Vidéos publiées]]="","",SUMPRODUCT((Donnees[Échantillon]=Donnees[[#This Row],[Échantillon]])*(Donnees[Vidéos publiées]&lt;Donnees[[#This Row],[Vidéos publiées]]))+(SUMPRODUCT((Donnees[Échantillon]=Donnees[[#This Row],[Échantillon]])*(Donnees[Vidéos publiées]=Donnees[[#This Row],[Vidéos publiées]]))+1)/2)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19"/>
  <sheetViews>
    <sheetView tabSelected="1" showGridLines="0" zoomScale="80" zoomScaleNormal="80" workbookViewId="0"/>
  </sheetViews>
  <sheetFormatPr baseColWidth="10" defaultColWidth="8.83203125" defaultRowHeight="15" x14ac:dyDescent="0.2"/>
  <cols>
    <col min="1" max="1" width="2.33203125" customWidth="1"/>
    <col min="2" max="2" width="4.33203125" customWidth="1"/>
    <col min="3" max="3" width="44.6640625" customWidth="1"/>
    <col min="4" max="4" width="12.6640625" customWidth="1"/>
    <col min="5" max="5" width="54.6640625" customWidth="1"/>
    <col min="6" max="6" width="13.6640625" customWidth="1"/>
    <col min="7" max="7" width="2.6640625" customWidth="1"/>
    <col min="8" max="8" width="23.6640625" customWidth="1"/>
    <col min="9" max="10" width="21.6640625" customWidth="1"/>
  </cols>
  <sheetData>
    <row r="1" spans="2:10" ht="30" customHeight="1" x14ac:dyDescent="0.2">
      <c r="B1" s="1" t="s">
        <v>561</v>
      </c>
    </row>
    <row r="2" spans="2:10" ht="34" customHeight="1" x14ac:dyDescent="0.2">
      <c r="B2" s="44" t="s">
        <v>562</v>
      </c>
      <c r="C2" s="44"/>
      <c r="D2" s="44"/>
      <c r="E2" s="44"/>
      <c r="F2" s="44"/>
      <c r="G2" s="44"/>
      <c r="H2" s="44"/>
      <c r="I2" s="44"/>
      <c r="J2" s="44"/>
    </row>
    <row r="3" spans="2:10" ht="6" customHeight="1" x14ac:dyDescent="0.2"/>
    <row r="4" spans="2:10" ht="20" customHeight="1" x14ac:dyDescent="0.2">
      <c r="B4" s="45" t="s">
        <v>563</v>
      </c>
      <c r="C4" s="45"/>
      <c r="D4" s="45"/>
      <c r="E4" s="45"/>
      <c r="F4" s="45"/>
      <c r="H4" s="45" t="s">
        <v>564</v>
      </c>
      <c r="I4" s="45"/>
      <c r="J4" s="45"/>
    </row>
    <row r="5" spans="2:10" ht="30" customHeight="1" x14ac:dyDescent="0.2">
      <c r="B5" s="2"/>
      <c r="C5" s="3" t="s">
        <v>565</v>
      </c>
      <c r="D5" s="2" t="s">
        <v>566</v>
      </c>
      <c r="E5" s="2" t="s">
        <v>567</v>
      </c>
      <c r="F5" s="2" t="s">
        <v>568</v>
      </c>
      <c r="H5" s="3" t="s">
        <v>512</v>
      </c>
      <c r="I5" s="2" t="s">
        <v>569</v>
      </c>
      <c r="J5" s="2" t="s">
        <v>570</v>
      </c>
    </row>
    <row r="6" spans="2:10" ht="44.5" customHeight="1" x14ac:dyDescent="0.2">
      <c r="B6" s="4">
        <v>1</v>
      </c>
      <c r="C6" s="5" t="s">
        <v>571</v>
      </c>
      <c r="D6" s="6">
        <f>'Gros comptes'!C19</f>
        <v>0.28067578540508425</v>
      </c>
      <c r="E6" s="7" t="s">
        <v>572</v>
      </c>
      <c r="F6" s="8" t="s">
        <v>573</v>
      </c>
      <c r="H6" s="9" t="s">
        <v>67</v>
      </c>
      <c r="I6" s="10" t="s">
        <v>100</v>
      </c>
      <c r="J6" s="10" t="s">
        <v>240</v>
      </c>
    </row>
    <row r="7" spans="2:10" ht="44.5" customHeight="1" x14ac:dyDescent="0.2">
      <c r="B7" s="4">
        <v>2</v>
      </c>
      <c r="C7" s="5" t="s">
        <v>574</v>
      </c>
      <c r="D7" s="11">
        <f>'Gros comptes'!H11</f>
        <v>0.19109257599043716</v>
      </c>
      <c r="E7" s="7" t="s">
        <v>575</v>
      </c>
      <c r="F7" s="8" t="s">
        <v>573</v>
      </c>
      <c r="H7" s="12" t="s">
        <v>62</v>
      </c>
      <c r="I7" s="10" t="s">
        <v>77</v>
      </c>
      <c r="J7" s="10" t="s">
        <v>61</v>
      </c>
    </row>
    <row r="8" spans="2:10" ht="44.5" customHeight="1" x14ac:dyDescent="0.2">
      <c r="B8" s="4">
        <v>3</v>
      </c>
      <c r="C8" s="5" t="s">
        <v>576</v>
      </c>
      <c r="D8" s="13">
        <f>Facteurs!D8</f>
        <v>-0.70200769931802598</v>
      </c>
      <c r="E8" s="7" t="s">
        <v>577</v>
      </c>
      <c r="F8" s="8" t="s">
        <v>578</v>
      </c>
      <c r="H8" s="14" t="s">
        <v>50</v>
      </c>
      <c r="I8" s="10" t="s">
        <v>53</v>
      </c>
      <c r="J8" s="10" t="s">
        <v>244</v>
      </c>
    </row>
    <row r="9" spans="2:10" ht="44.5" customHeight="1" x14ac:dyDescent="0.2">
      <c r="B9" s="4">
        <v>4</v>
      </c>
      <c r="C9" s="5" t="s">
        <v>579</v>
      </c>
      <c r="D9" s="13">
        <f>Facteurs!D6</f>
        <v>5.5086301574173238</v>
      </c>
      <c r="E9" s="7" t="s">
        <v>580</v>
      </c>
      <c r="F9" s="8" t="s">
        <v>578</v>
      </c>
      <c r="H9" s="15" t="s">
        <v>46</v>
      </c>
      <c r="I9" s="10" t="s">
        <v>91</v>
      </c>
      <c r="J9" s="10" t="s">
        <v>45</v>
      </c>
    </row>
    <row r="10" spans="2:10" ht="47.5" customHeight="1" x14ac:dyDescent="0.2">
      <c r="B10" s="4">
        <v>5</v>
      </c>
      <c r="C10" s="5" t="s">
        <v>581</v>
      </c>
      <c r="D10" s="13">
        <f>Facteurs!D17</f>
        <v>4.2214309391747262</v>
      </c>
      <c r="E10" s="7" t="s">
        <v>582</v>
      </c>
      <c r="F10" s="8" t="s">
        <v>583</v>
      </c>
      <c r="H10" s="16" t="s">
        <v>39</v>
      </c>
      <c r="I10" s="10" t="s">
        <v>83</v>
      </c>
      <c r="J10" s="10" t="s">
        <v>38</v>
      </c>
    </row>
    <row r="11" spans="2:10" ht="18" customHeight="1" x14ac:dyDescent="0.2">
      <c r="H11" s="8" t="s">
        <v>584</v>
      </c>
    </row>
    <row r="12" spans="2:10" ht="8" customHeight="1" x14ac:dyDescent="0.2"/>
    <row r="13" spans="2:10" ht="20" customHeight="1" x14ac:dyDescent="0.2">
      <c r="B13" s="45" t="s">
        <v>585</v>
      </c>
      <c r="C13" s="45"/>
      <c r="D13" s="45"/>
      <c r="E13" s="45"/>
      <c r="F13" s="45"/>
      <c r="H13" s="45" t="s">
        <v>586</v>
      </c>
      <c r="I13" s="45"/>
      <c r="J13" s="45"/>
    </row>
    <row r="14" spans="2:10" ht="31.5" customHeight="1" x14ac:dyDescent="0.2">
      <c r="B14" s="17" t="s">
        <v>587</v>
      </c>
      <c r="C14" s="46" t="s">
        <v>588</v>
      </c>
      <c r="D14" s="46"/>
      <c r="E14" s="46"/>
      <c r="F14" s="46"/>
      <c r="H14" s="46" t="s">
        <v>589</v>
      </c>
      <c r="I14" s="46"/>
      <c r="J14" s="46"/>
    </row>
    <row r="15" spans="2:10" ht="31.5" customHeight="1" x14ac:dyDescent="0.2">
      <c r="B15" s="17" t="s">
        <v>587</v>
      </c>
      <c r="C15" s="46" t="s">
        <v>590</v>
      </c>
      <c r="D15" s="46"/>
      <c r="E15" s="46"/>
      <c r="F15" s="46"/>
      <c r="H15" s="46" t="s">
        <v>591</v>
      </c>
      <c r="I15" s="46"/>
      <c r="J15" s="46"/>
    </row>
    <row r="16" spans="2:10" ht="31.5" customHeight="1" x14ac:dyDescent="0.2">
      <c r="B16" s="17" t="s">
        <v>587</v>
      </c>
      <c r="C16" s="46" t="s">
        <v>592</v>
      </c>
      <c r="D16" s="46"/>
      <c r="E16" s="46"/>
      <c r="F16" s="46"/>
      <c r="H16" s="46" t="s">
        <v>593</v>
      </c>
      <c r="I16" s="46"/>
      <c r="J16" s="46"/>
    </row>
    <row r="17" spans="2:10" ht="31.5" customHeight="1" x14ac:dyDescent="0.2">
      <c r="B17" s="17" t="s">
        <v>587</v>
      </c>
      <c r="C17" s="46" t="s">
        <v>594</v>
      </c>
      <c r="D17" s="46"/>
      <c r="E17" s="46"/>
      <c r="F17" s="46"/>
      <c r="H17" s="46" t="s">
        <v>595</v>
      </c>
      <c r="I17" s="46"/>
      <c r="J17" s="46"/>
    </row>
    <row r="18" spans="2:10" ht="8" customHeight="1" x14ac:dyDescent="0.2"/>
    <row r="19" spans="2:10" ht="18" customHeight="1" x14ac:dyDescent="0.2">
      <c r="B19" s="18" t="s">
        <v>596</v>
      </c>
      <c r="C19" s="8" t="s">
        <v>597</v>
      </c>
      <c r="D19" s="8" t="s">
        <v>598</v>
      </c>
      <c r="E19" s="8" t="s">
        <v>599</v>
      </c>
      <c r="F19" s="8" t="s">
        <v>600</v>
      </c>
      <c r="I19" s="8" t="s">
        <v>601</v>
      </c>
    </row>
  </sheetData>
  <sheetProtection algorithmName="SHA-512" hashValue="moNRFnUZvh5qKoxhvYouLdZA4eEppZxU0tw1S6Waz0MNc12duybZnZJgZpkbiUVFQFkeoCqJk0OX+DdYmKkavg==" saltValue="MXou68WmXquDy/kDWeVBqQ==" spinCount="100000" sheet="1" objects="1" scenarios="1"/>
  <mergeCells count="13">
    <mergeCell ref="C17:F17"/>
    <mergeCell ref="H17:J17"/>
    <mergeCell ref="C14:F14"/>
    <mergeCell ref="H14:J14"/>
    <mergeCell ref="C15:F15"/>
    <mergeCell ref="H15:J15"/>
    <mergeCell ref="C16:F16"/>
    <mergeCell ref="H16:J16"/>
    <mergeCell ref="B2:J2"/>
    <mergeCell ref="B4:F4"/>
    <mergeCell ref="H4:J4"/>
    <mergeCell ref="B13:F13"/>
    <mergeCell ref="H13:J13"/>
  </mergeCells>
  <hyperlinks>
    <hyperlink ref="F6" location="'Gros comptes'!B4" display="→ Gros comptes" xr:uid="{00000000-0004-0000-0000-000000000000}"/>
    <hyperlink ref="F7" location="'Gros comptes'!B10" display="→ Gros comptes" xr:uid="{00000000-0004-0000-0000-000001000000}"/>
    <hyperlink ref="F8" location="'Facteurs'!B6" display="→ Facteurs" xr:uid="{00000000-0004-0000-0000-000002000000}"/>
    <hyperlink ref="F9" location="'Facteurs'!B6" display="→ Facteurs" xr:uid="{00000000-0004-0000-0000-000003000000}"/>
    <hyperlink ref="F10" location="'Catégories &amp; TreeMap'!B13" display="→ Catégories" xr:uid="{00000000-0004-0000-0000-000004000000}"/>
    <hyperlink ref="H11" location="'Catégories &amp; TreeMap'!B13" display="→ 3 leaders par sujet, leurs chiffres et le TreeMap" xr:uid="{00000000-0004-0000-0000-000005000000}"/>
    <hyperlink ref="C19" location="'Facteurs'!A1" display="Facteurs" xr:uid="{00000000-0004-0000-0000-000006000000}"/>
    <hyperlink ref="D19" location="'Gros comptes'!A1" display="Gros comptes" xr:uid="{00000000-0004-0000-0000-000007000000}"/>
    <hyperlink ref="E19" location="'Catégories &amp; TreeMap'!A1" display="Catégories &amp; TreeMap" xr:uid="{00000000-0004-0000-0000-000008000000}"/>
    <hyperlink ref="F19" location="'Méthode &amp; limites'!A1" display="Méthode &amp; limites" xr:uid="{00000000-0004-0000-0000-000009000000}"/>
    <hyperlink ref="I19" location="'Données'!A1" display="Données" xr:uid="{00000000-0004-0000-0000-00000A000000}"/>
  </hyperlink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K99"/>
  <sheetViews>
    <sheetView showGridLines="0" zoomScale="90" zoomScaleNormal="90" workbookViewId="0"/>
  </sheetViews>
  <sheetFormatPr baseColWidth="10" defaultColWidth="8.83203125" defaultRowHeight="15" x14ac:dyDescent="0.2"/>
  <cols>
    <col min="1" max="1" width="2.33203125" customWidth="1"/>
    <col min="2" max="2" width="18.83203125" bestFit="1" customWidth="1"/>
    <col min="3" max="3" width="12.5" bestFit="1" customWidth="1"/>
    <col min="4" max="4" width="15.6640625" bestFit="1" customWidth="1"/>
    <col min="5" max="5" width="7.5" bestFit="1" customWidth="1"/>
    <col min="6" max="6" width="5" bestFit="1" customWidth="1"/>
    <col min="7" max="7" width="9.33203125" customWidth="1"/>
    <col min="8" max="8" width="11.6640625" customWidth="1"/>
    <col min="9" max="9" width="9.33203125" customWidth="1"/>
    <col min="10" max="10" width="15.6640625" customWidth="1"/>
    <col min="11" max="11" width="62.6640625" customWidth="1"/>
  </cols>
  <sheetData>
    <row r="1" spans="2:11" ht="30" customHeight="1" x14ac:dyDescent="0.2">
      <c r="B1" s="1" t="s">
        <v>389</v>
      </c>
    </row>
    <row r="2" spans="2:11" ht="30" customHeight="1" x14ac:dyDescent="0.2">
      <c r="B2" s="44" t="s">
        <v>390</v>
      </c>
      <c r="C2" s="44"/>
      <c r="D2" s="44"/>
      <c r="E2" s="44"/>
      <c r="F2" s="44"/>
      <c r="G2" s="44"/>
      <c r="H2" s="44"/>
      <c r="I2" s="44"/>
      <c r="J2" s="44"/>
      <c r="K2" s="44"/>
    </row>
    <row r="4" spans="2:11" ht="20" customHeight="1" x14ac:dyDescent="0.2">
      <c r="B4" s="45" t="s">
        <v>391</v>
      </c>
      <c r="C4" s="45"/>
      <c r="D4" s="45"/>
      <c r="E4" s="45"/>
      <c r="F4" s="45"/>
      <c r="G4" s="45"/>
      <c r="H4" s="45"/>
      <c r="I4" s="45"/>
      <c r="J4" s="45"/>
      <c r="K4" s="45"/>
    </row>
    <row r="5" spans="2:11" ht="32" customHeight="1" x14ac:dyDescent="0.2">
      <c r="B5" s="3" t="s">
        <v>392</v>
      </c>
      <c r="C5" s="2" t="s">
        <v>393</v>
      </c>
      <c r="D5" s="2" t="s">
        <v>37</v>
      </c>
      <c r="E5" s="2" t="s">
        <v>394</v>
      </c>
      <c r="F5" s="2" t="s">
        <v>395</v>
      </c>
      <c r="G5" s="2" t="s">
        <v>394</v>
      </c>
      <c r="H5" s="2" t="s">
        <v>237</v>
      </c>
      <c r="I5" s="2" t="s">
        <v>394</v>
      </c>
      <c r="J5" s="2" t="s">
        <v>396</v>
      </c>
      <c r="K5" s="2" t="s">
        <v>397</v>
      </c>
    </row>
    <row r="6" spans="2:11" ht="44.5" customHeight="1" x14ac:dyDescent="0.2">
      <c r="B6" s="19" t="s">
        <v>398</v>
      </c>
      <c r="C6" s="7" t="s">
        <v>399</v>
      </c>
      <c r="D6" s="20">
        <f t="array" ref="D6">(MEDIAN(IF((Donnees[Échantillon]="Tendances")*(Donnees[Plus de 15 s]="Oui"),Donnees[Engagement]))-MEDIAN(IF((Donnees[Échantillon]="Tendances")*(Donnees[Plus de 15 s]="Non"),Donnees[Engagement])))*100</f>
        <v>5.5086301574173238</v>
      </c>
      <c r="E6" s="21">
        <v>2.4563999999999999E-2</v>
      </c>
      <c r="F6" s="20">
        <f t="array" ref="F6">(MEDIAN(IF((Donnees[Échantillon]="Likées par @tiktok")*(Donnees[Plus de 15 s]="Oui"),Donnees[Engagement]))-MEDIAN(IF((Donnees[Échantillon]="Likées par @tiktok")*(Donnees[Plus de 15 s]="Non"),Donnees[Engagement])))*100</f>
        <v>-0.3609274678617741</v>
      </c>
      <c r="G6" s="21">
        <v>0.53488400000000003</v>
      </c>
      <c r="H6" s="20">
        <f t="array" ref="H6">(MEDIAN(IF((Donnees[Échantillon]="Humour")*(Donnees[Plus de 15 s]="Oui"),Donnees[Engagement]))-MEDIAN(IF((Donnees[Échantillon]="Humour")*(Donnees[Plus de 15 s]="Non"),Donnees[Engagement])))*100</f>
        <v>0.49750099781836199</v>
      </c>
      <c r="I6" s="21">
        <v>0.79767600000000005</v>
      </c>
      <c r="J6" s="22" t="s">
        <v>400</v>
      </c>
      <c r="K6" s="7" t="s">
        <v>401</v>
      </c>
    </row>
    <row r="7" spans="2:11" ht="44.5" customHeight="1" x14ac:dyDescent="0.2">
      <c r="B7" s="19" t="s">
        <v>402</v>
      </c>
      <c r="C7" s="7" t="s">
        <v>403</v>
      </c>
      <c r="D7" s="23">
        <f t="array" ref="D7">CORREL(IF(Donnees[Échantillon]="Tendances",Donnees[Rang durée]),IF(Donnees[Échantillon]="Tendances",Donnees[Rang engagement]))</f>
        <v>0.11421644031900281</v>
      </c>
      <c r="E7" s="21">
        <f>TDIST(ABS(D7*SQRT((100-2)/(1-D7^2))),100-2,2)</f>
        <v>0.2578396735726679</v>
      </c>
      <c r="F7" s="23">
        <f t="array" ref="F7">CORREL(IF(Donnees[Échantillon]="Likées par @tiktok",Donnees[Rang durée]),IF(Donnees[Échantillon]="Likées par @tiktok",Donnees[Rang engagement]))</f>
        <v>-7.1378778020665931E-2</v>
      </c>
      <c r="G7" s="21">
        <f>TDIST(ABS(F7*SQRT((100-2)/(1-F7^2))),100-2,2)</f>
        <v>0.48036564342716281</v>
      </c>
      <c r="H7" s="23">
        <f t="array" ref="H7">CORREL(IF(Donnees[Échantillon]="Humour",Donnees[Rang durée]),IF(Donnees[Échantillon]="Humour",Donnees[Rang engagement]))</f>
        <v>0.21923834435132977</v>
      </c>
      <c r="I7" s="21">
        <f>TDIST(ABS(H7*SQRT((100-2)/(1-H7^2))),100-2,2)</f>
        <v>2.8411600593279927E-2</v>
      </c>
      <c r="J7" s="22" t="s">
        <v>400</v>
      </c>
      <c r="K7" s="7" t="s">
        <v>404</v>
      </c>
    </row>
    <row r="8" spans="2:11" ht="33.5" customHeight="1" x14ac:dyDescent="0.2">
      <c r="B8" s="19" t="s">
        <v>405</v>
      </c>
      <c r="C8" s="7" t="s">
        <v>399</v>
      </c>
      <c r="D8" s="20">
        <f t="array" ref="D8">(MEDIAN(IF((Donnees[Échantillon]="Tendances")*(Donnees[Hashtags génériques]="Oui"),Donnees[Engagement]))-MEDIAN(IF((Donnees[Échantillon]="Tendances")*(Donnees[Hashtags génériques]="Non"),Donnees[Engagement])))*100</f>
        <v>-0.70200769931802598</v>
      </c>
      <c r="E8" s="21">
        <v>0.319025</v>
      </c>
      <c r="F8" s="20">
        <f t="array" ref="F8">(MEDIAN(IF((Donnees[Échantillon]="Likées par @tiktok")*(Donnees[Hashtags génériques]="Oui"),Donnees[Engagement]))-MEDIAN(IF((Donnees[Échantillon]="Likées par @tiktok")*(Donnees[Hashtags génériques]="Non"),Donnees[Engagement])))*100</f>
        <v>1.2444664398391592</v>
      </c>
      <c r="G8" s="21">
        <v>0.218662</v>
      </c>
      <c r="H8" s="20">
        <f t="array" ref="H8">(MEDIAN(IF((Donnees[Échantillon]="Humour")*(Donnees[Hashtags génériques]="Oui"),Donnees[Engagement]))-MEDIAN(IF((Donnees[Échantillon]="Humour")*(Donnees[Hashtags génériques]="Non"),Donnees[Engagement])))*100</f>
        <v>-0.54052459421094767</v>
      </c>
      <c r="I8" s="21">
        <v>0.49874800000000002</v>
      </c>
      <c r="J8" s="24" t="s">
        <v>406</v>
      </c>
      <c r="K8" s="7" t="s">
        <v>407</v>
      </c>
    </row>
    <row r="9" spans="2:11" ht="44.5" customHeight="1" x14ac:dyDescent="0.2">
      <c r="B9" s="19" t="s">
        <v>408</v>
      </c>
      <c r="C9" s="7" t="s">
        <v>403</v>
      </c>
      <c r="D9" s="23">
        <f t="array" ref="D9">CORREL(IF(Donnees[Échantillon]="Tendances",Donnees[Rang hashtags]),IF(Donnees[Échantillon]="Tendances",Donnees[Rang engagement]))</f>
        <v>-6.0577543905915715E-2</v>
      </c>
      <c r="E9" s="21">
        <f>TDIST(ABS(D9*SQRT((100-2)/(1-D9^2))),100-2,2)</f>
        <v>0.54936657289664503</v>
      </c>
      <c r="F9" s="23">
        <f t="array" ref="F9">CORREL(IF(Donnees[Échantillon]="Likées par @tiktok",Donnees[Rang hashtags]),IF(Donnees[Échantillon]="Likées par @tiktok",Donnees[Rang engagement]))</f>
        <v>-1.5878291249626513E-2</v>
      </c>
      <c r="G9" s="21">
        <f>TDIST(ABS(F9*SQRT((100-2)/(1-F9^2))),100-2,2)</f>
        <v>0.87540524200750003</v>
      </c>
      <c r="H9" s="23">
        <f t="array" ref="H9">CORREL(IF(Donnees[Échantillon]="Humour",Donnees[Rang hashtags]),IF(Donnees[Échantillon]="Humour",Donnees[Rang engagement]))</f>
        <v>-0.27929422888876598</v>
      </c>
      <c r="I9" s="21">
        <f>TDIST(ABS(H9*SQRT((100-2)/(1-H9^2))),100-2,2)</f>
        <v>4.8920568950384831E-3</v>
      </c>
      <c r="J9" s="22" t="s">
        <v>400</v>
      </c>
      <c r="K9" s="7" t="s">
        <v>409</v>
      </c>
    </row>
    <row r="10" spans="2:11" ht="44.5" customHeight="1" x14ac:dyDescent="0.2">
      <c r="B10" s="19" t="s">
        <v>410</v>
      </c>
      <c r="C10" s="7" t="s">
        <v>403</v>
      </c>
      <c r="D10" s="23">
        <f t="array" ref="D10">CORREL(IF(Donnees[Échantillon]="Tendances",Donnees[Rang longueur]),IF(Donnees[Échantillon]="Tendances",Donnees[Rang engagement]))</f>
        <v>0.18740377111893899</v>
      </c>
      <c r="E10" s="21">
        <f>TDIST(ABS(D10*SQRT((100-2)/(1-D10^2))),100-2,2)</f>
        <v>6.1894013672564571E-2</v>
      </c>
      <c r="F10" s="23">
        <f t="array" ref="F10">CORREL(IF(Donnees[Échantillon]="Likées par @tiktok",Donnees[Rang longueur]),IF(Donnees[Échantillon]="Likées par @tiktok",Donnees[Rang engagement]))</f>
        <v>-0.34481942871073251</v>
      </c>
      <c r="G10" s="21">
        <f>TDIST(ABS(F10*SQRT((100-2)/(1-F10^2))),100-2,2)</f>
        <v>4.4268268628859883E-4</v>
      </c>
      <c r="H10" s="23">
        <f t="array" ref="H10">CORREL(IF(Donnees[Échantillon]="Humour",Donnees[Rang longueur]),IF(Donnees[Échantillon]="Humour",Donnees[Rang engagement]))</f>
        <v>1.0085209828005244E-2</v>
      </c>
      <c r="I10" s="21">
        <f>TDIST(ABS(H10*SQRT((100-2)/(1-H10^2))),100-2,2)</f>
        <v>0.92067248723327222</v>
      </c>
      <c r="J10" s="25" t="s">
        <v>411</v>
      </c>
      <c r="K10" s="7" t="s">
        <v>412</v>
      </c>
    </row>
    <row r="11" spans="2:11" ht="33.5" customHeight="1" x14ac:dyDescent="0.2">
      <c r="B11" s="19" t="s">
        <v>14</v>
      </c>
      <c r="C11" s="7" t="s">
        <v>399</v>
      </c>
      <c r="D11" s="20">
        <f t="array" ref="D11">(MEDIAN(IF((Donnees[Échantillon]="Tendances")*(Donnees[Légende vide]="Oui"),Donnees[Engagement]))-MEDIAN(IF((Donnees[Échantillon]="Tendances")*(Donnees[Légende vide]="Non"),Donnees[Engagement])))*100</f>
        <v>-2.4874509803921572</v>
      </c>
      <c r="E11" s="21">
        <v>0.60116899999999995</v>
      </c>
      <c r="F11" s="20">
        <f t="array" ref="F11">(MEDIAN(IF((Donnees[Échantillon]="Likées par @tiktok")*(Donnees[Légende vide]="Oui"),Donnees[Engagement]))-MEDIAN(IF((Donnees[Échantillon]="Likées par @tiktok")*(Donnees[Légende vide]="Non"),Donnees[Engagement])))*100</f>
        <v>2.1176721371102825</v>
      </c>
      <c r="G11" s="21">
        <v>0.156448</v>
      </c>
      <c r="H11" s="10" t="s">
        <v>354</v>
      </c>
      <c r="I11" s="10"/>
      <c r="J11" s="24" t="s">
        <v>406</v>
      </c>
      <c r="K11" s="7" t="s">
        <v>413</v>
      </c>
    </row>
    <row r="12" spans="2:11" ht="33.5" customHeight="1" x14ac:dyDescent="0.2">
      <c r="B12" s="19" t="s">
        <v>414</v>
      </c>
      <c r="C12" s="7" t="s">
        <v>399</v>
      </c>
      <c r="D12" s="20">
        <f t="array" ref="D12">(MEDIAN(IF((Donnees[Échantillon]="Tendances")*(Donnees[Mention duo stitch]="Oui"),Donnees[Engagement]))-MEDIAN(IF((Donnees[Échantillon]="Tendances")*(Donnees[Mention duo stitch]="Non"),Donnees[Engagement])))*100</f>
        <v>0.47307548402968636</v>
      </c>
      <c r="E12" s="21">
        <v>0.68254199999999998</v>
      </c>
      <c r="F12" s="20">
        <f t="array" ref="F12">(MEDIAN(IF((Donnees[Échantillon]="Likées par @tiktok")*(Donnees[Mention duo stitch]="Oui"),Donnees[Engagement]))-MEDIAN(IF((Donnees[Échantillon]="Likées par @tiktok")*(Donnees[Mention duo stitch]="Non"),Donnees[Engagement])))*100</f>
        <v>-2.2909244186046509</v>
      </c>
      <c r="G12" s="21">
        <v>0.161719</v>
      </c>
      <c r="H12" s="20">
        <f t="array" ref="H12">(MEDIAN(IF((Donnees[Échantillon]="Humour")*(Donnees[Mention duo stitch]="Oui"),Donnees[Engagement]))-MEDIAN(IF((Donnees[Échantillon]="Humour")*(Donnees[Mention duo stitch]="Non"),Donnees[Engagement])))*100</f>
        <v>-1.0984580743178847</v>
      </c>
      <c r="I12" s="21">
        <v>0.38455400000000001</v>
      </c>
      <c r="J12" s="24" t="s">
        <v>406</v>
      </c>
      <c r="K12" s="7" t="s">
        <v>415</v>
      </c>
    </row>
    <row r="13" spans="2:11" ht="33.5" customHeight="1" x14ac:dyDescent="0.2">
      <c r="B13" s="19" t="s">
        <v>416</v>
      </c>
      <c r="C13" s="7" t="s">
        <v>399</v>
      </c>
      <c r="D13" s="20">
        <f t="array" ref="D13">(MEDIAN(IF((Donnees[Échantillon]="Tendances")*(Donnees[Question ou appel]="Oui"),Donnees[Engagement]))-MEDIAN(IF((Donnees[Échantillon]="Tendances")*(Donnees[Question ou appel]="Non"),Donnees[Engagement])))*100</f>
        <v>2.0354543967280163</v>
      </c>
      <c r="E13" s="21">
        <v>6.5215999999999996E-2</v>
      </c>
      <c r="F13" s="20">
        <f t="array" ref="F13">(MEDIAN(IF((Donnees[Échantillon]="Likées par @tiktok")*(Donnees[Question ou appel]="Oui"),Donnees[Engagement]))-MEDIAN(IF((Donnees[Échantillon]="Likées par @tiktok")*(Donnees[Question ou appel]="Non"),Donnees[Engagement])))*100</f>
        <v>0.33856877631535109</v>
      </c>
      <c r="G13" s="21">
        <v>0.98597999999999997</v>
      </c>
      <c r="H13" s="20">
        <f t="array" ref="H13">(MEDIAN(IF((Donnees[Échantillon]="Humour")*(Donnees[Question ou appel]="Oui"),Donnees[Engagement]))-MEDIAN(IF((Donnees[Échantillon]="Humour")*(Donnees[Question ou appel]="Non"),Donnees[Engagement])))*100</f>
        <v>-2.5666530814139832</v>
      </c>
      <c r="I13" s="21">
        <v>0.12170400000000001</v>
      </c>
      <c r="J13" s="24" t="s">
        <v>406</v>
      </c>
      <c r="K13" s="7" t="s">
        <v>417</v>
      </c>
    </row>
    <row r="14" spans="2:11" ht="33.5" customHeight="1" x14ac:dyDescent="0.2">
      <c r="B14" s="19" t="s">
        <v>418</v>
      </c>
      <c r="C14" s="7" t="s">
        <v>399</v>
      </c>
      <c r="D14" s="20">
        <f t="array" ref="D14">(MEDIAN(IF((Donnees[Échantillon]="Tendances")*(Donnees[Week-end]="Oui"),Donnees[Engagement]))-MEDIAN(IF((Donnees[Échantillon]="Tendances")*(Donnees[Week-end]="Non"),Donnees[Engagement])))*100</f>
        <v>0.22260060807029747</v>
      </c>
      <c r="E14" s="21">
        <v>0.91551400000000005</v>
      </c>
      <c r="F14" s="20">
        <f t="array" ref="F14">(MEDIAN(IF((Donnees[Échantillon]="Likées par @tiktok")*(Donnees[Week-end]="Oui"),Donnees[Engagement]))-MEDIAN(IF((Donnees[Échantillon]="Likées par @tiktok")*(Donnees[Week-end]="Non"),Donnees[Engagement])))*100</f>
        <v>2.1733855606758832</v>
      </c>
      <c r="G14" s="21">
        <v>0.205785</v>
      </c>
      <c r="H14" s="20">
        <f t="array" ref="H14">(MEDIAN(IF((Donnees[Échantillon]="Humour")*(Donnees[Week-end]="Oui"),Donnees[Engagement]))-MEDIAN(IF((Donnees[Échantillon]="Humour")*(Donnees[Week-end]="Non"),Donnees[Engagement])))*100</f>
        <v>-0.99607220192257095</v>
      </c>
      <c r="I14" s="21">
        <v>0.57420700000000002</v>
      </c>
      <c r="J14" s="24" t="s">
        <v>406</v>
      </c>
      <c r="K14" s="7" t="s">
        <v>419</v>
      </c>
    </row>
    <row r="15" spans="2:11" ht="33.5" customHeight="1" x14ac:dyDescent="0.2">
      <c r="B15" s="19" t="s">
        <v>420</v>
      </c>
      <c r="C15" s="7" t="s">
        <v>421</v>
      </c>
      <c r="D15" s="20">
        <f>(MAX(D76:D82)-MIN(D76:D82))*100</f>
        <v>7.4498208153598906</v>
      </c>
      <c r="E15" s="21">
        <v>0.64537199999999995</v>
      </c>
      <c r="F15" s="20">
        <f>(MAX(F76:F82)-MIN(F76:F82))*100</f>
        <v>10.913137936099893</v>
      </c>
      <c r="G15" s="21">
        <v>6.6936999999999997E-2</v>
      </c>
      <c r="H15" s="20">
        <f>(MAX(H76:H82)-MIN(H76:H82))*100</f>
        <v>2.0395286585735724</v>
      </c>
      <c r="I15" s="21">
        <v>0.88693500000000003</v>
      </c>
      <c r="J15" s="24" t="s">
        <v>406</v>
      </c>
      <c r="K15" s="7" t="s">
        <v>422</v>
      </c>
    </row>
    <row r="16" spans="2:11" ht="33.5" customHeight="1" x14ac:dyDescent="0.2">
      <c r="B16" s="19" t="s">
        <v>423</v>
      </c>
      <c r="C16" s="7" t="s">
        <v>421</v>
      </c>
      <c r="D16" s="20">
        <f>(MAX(D85:D88)-MIN(D85:D88))*100</f>
        <v>1.1618126046920265</v>
      </c>
      <c r="E16" s="21">
        <v>0.41431000000000001</v>
      </c>
      <c r="F16" s="20">
        <f>(MAX(F85:F88)-MIN(F85:F88))*100</f>
        <v>6.9853833992094856</v>
      </c>
      <c r="G16" s="21">
        <v>0.19264000000000001</v>
      </c>
      <c r="H16" s="20">
        <f>(MAX(H85:H88)-MIN(H85:H88))*100</f>
        <v>4.8126691307870759</v>
      </c>
      <c r="I16" s="21">
        <v>6.8634000000000001E-2</v>
      </c>
      <c r="J16" s="24" t="s">
        <v>406</v>
      </c>
      <c r="K16" s="7" t="s">
        <v>424</v>
      </c>
    </row>
    <row r="17" spans="2:11" ht="44.5" customHeight="1" x14ac:dyDescent="0.2">
      <c r="B17" s="19" t="s">
        <v>425</v>
      </c>
      <c r="C17" s="7" t="s">
        <v>421</v>
      </c>
      <c r="D17" s="20">
        <f>(MAX('Catégories &amp; TreeMap'!C73:C77)-MIN('Catégories &amp; TreeMap'!C73:C77))*100</f>
        <v>4.2214309391747262</v>
      </c>
      <c r="E17" s="21">
        <v>0.32621800000000001</v>
      </c>
      <c r="F17" s="10" t="s">
        <v>354</v>
      </c>
      <c r="G17" s="10"/>
      <c r="H17" s="20">
        <f>(MAX('Catégories &amp; TreeMap'!D73:D77)-MIN('Catégories &amp; TreeMap'!D73:D77))*100</f>
        <v>4.374318144285394</v>
      </c>
      <c r="I17" s="21">
        <v>0.39288099999999998</v>
      </c>
      <c r="J17" s="24" t="s">
        <v>406</v>
      </c>
      <c r="K17" s="7" t="s">
        <v>426</v>
      </c>
    </row>
    <row r="18" spans="2:11" ht="33.5" customHeight="1" x14ac:dyDescent="0.2">
      <c r="B18" s="19" t="s">
        <v>427</v>
      </c>
      <c r="C18" s="7" t="s">
        <v>399</v>
      </c>
      <c r="D18" s="10" t="s">
        <v>354</v>
      </c>
      <c r="E18" s="10"/>
      <c r="F18" s="10" t="s">
        <v>354</v>
      </c>
      <c r="G18" s="10"/>
      <c r="H18" s="20">
        <f t="array" ref="H18">(MEDIAN(IF((Donnees[Échantillon]="Humour")*(Donnees[Son original]="Oui"),Donnees[Engagement]))-MEDIAN(IF((Donnees[Échantillon]="Humour")*(Donnees[Son original]="Non"),Donnees[Engagement])))*100</f>
        <v>-3.2739428631035432</v>
      </c>
      <c r="I18" s="21">
        <v>6.8317000000000003E-2</v>
      </c>
      <c r="J18" s="24" t="s">
        <v>406</v>
      </c>
      <c r="K18" s="7" t="s">
        <v>428</v>
      </c>
    </row>
    <row r="19" spans="2:11" ht="33.5" customHeight="1" x14ac:dyDescent="0.2">
      <c r="B19" s="19" t="s">
        <v>18</v>
      </c>
      <c r="C19" s="7" t="s">
        <v>399</v>
      </c>
      <c r="D19" s="10" t="s">
        <v>354</v>
      </c>
      <c r="E19" s="10"/>
      <c r="F19" s="10" t="s">
        <v>354</v>
      </c>
      <c r="G19" s="10"/>
      <c r="H19" s="20">
        <f t="array" ref="H19">(MEDIAN(IF((Donnees[Échantillon]="Humour")*(Donnees[Stitch autorisé]="Oui"),Donnees[Engagement]))-MEDIAN(IF((Donnees[Échantillon]="Humour")*(Donnees[Stitch autorisé]="Non"),Donnees[Engagement])))*100</f>
        <v>-0.54052459421094767</v>
      </c>
      <c r="I19" s="21">
        <v>0.75773400000000002</v>
      </c>
      <c r="J19" s="24" t="s">
        <v>406</v>
      </c>
      <c r="K19" s="7" t="s">
        <v>429</v>
      </c>
    </row>
    <row r="20" spans="2:11" ht="33.5" customHeight="1" x14ac:dyDescent="0.2">
      <c r="B20" s="19" t="s">
        <v>430</v>
      </c>
      <c r="C20" s="7" t="s">
        <v>403</v>
      </c>
      <c r="D20" s="10" t="s">
        <v>354</v>
      </c>
      <c r="E20" s="10"/>
      <c r="F20" s="10" t="s">
        <v>354</v>
      </c>
      <c r="G20" s="10"/>
      <c r="H20" s="23">
        <f t="array" ref="H20">CORREL(IF(Donnees[Échantillon]="Humour",Donnees[Rang vidéos publiées]),IF(Donnees[Échantillon]="Humour",Donnees[Rang engagement]))</f>
        <v>-0.1599932899146069</v>
      </c>
      <c r="I20" s="21">
        <f>TDIST(ABS(H20*SQRT((100-2)/(1-H20^2))),100-2,2)</f>
        <v>0.11181700384382501</v>
      </c>
      <c r="J20" s="24" t="s">
        <v>406</v>
      </c>
      <c r="K20" s="7" t="s">
        <v>431</v>
      </c>
    </row>
    <row r="21" spans="2:11" ht="30" customHeight="1" x14ac:dyDescent="0.2">
      <c r="B21" s="47" t="s">
        <v>432</v>
      </c>
      <c r="C21" s="47"/>
      <c r="D21" s="47"/>
      <c r="E21" s="47"/>
      <c r="F21" s="47"/>
      <c r="G21" s="47"/>
      <c r="H21" s="47"/>
      <c r="I21" s="47"/>
      <c r="J21" s="47"/>
      <c r="K21" s="47"/>
    </row>
    <row r="23" spans="2:11" ht="20" customHeight="1" x14ac:dyDescent="0.2">
      <c r="B23" s="45" t="s">
        <v>433</v>
      </c>
      <c r="C23" s="45"/>
      <c r="D23" s="45"/>
      <c r="E23" s="45"/>
      <c r="F23" s="45"/>
      <c r="G23" s="45"/>
      <c r="H23" s="45"/>
      <c r="I23" s="45"/>
      <c r="J23" s="45"/>
      <c r="K23" s="45"/>
    </row>
    <row r="24" spans="2:11" ht="26" x14ac:dyDescent="0.2">
      <c r="B24" s="26" t="s">
        <v>434</v>
      </c>
    </row>
    <row r="25" spans="2:11" x14ac:dyDescent="0.2">
      <c r="B25" s="3" t="s">
        <v>435</v>
      </c>
      <c r="D25" s="2" t="s">
        <v>37</v>
      </c>
      <c r="F25" s="2" t="s">
        <v>395</v>
      </c>
      <c r="H25" s="2" t="s">
        <v>237</v>
      </c>
    </row>
    <row r="26" spans="2:11" x14ac:dyDescent="0.2">
      <c r="B26" s="7" t="s">
        <v>436</v>
      </c>
      <c r="D26" s="20">
        <f>D6</f>
        <v>5.5086301574173238</v>
      </c>
      <c r="F26" s="20">
        <f>F6</f>
        <v>-0.3609274678617741</v>
      </c>
      <c r="H26" s="20">
        <f>H6</f>
        <v>0.49750099781836199</v>
      </c>
    </row>
    <row r="27" spans="2:11" x14ac:dyDescent="0.2">
      <c r="B27" s="7" t="s">
        <v>437</v>
      </c>
      <c r="D27" s="20">
        <f>D8</f>
        <v>-0.70200769931802598</v>
      </c>
      <c r="F27" s="20">
        <f>F8</f>
        <v>1.2444664398391592</v>
      </c>
      <c r="H27" s="20">
        <f>H8</f>
        <v>-0.54052459421094767</v>
      </c>
    </row>
    <row r="28" spans="2:11" x14ac:dyDescent="0.2">
      <c r="B28" s="7" t="s">
        <v>14</v>
      </c>
      <c r="D28" s="20">
        <f>D11</f>
        <v>-2.4874509803921572</v>
      </c>
      <c r="F28" s="20">
        <f>F11</f>
        <v>2.1176721371102825</v>
      </c>
      <c r="H28" s="10" t="s">
        <v>354</v>
      </c>
    </row>
    <row r="29" spans="2:11" x14ac:dyDescent="0.2">
      <c r="B29" s="7" t="s">
        <v>438</v>
      </c>
      <c r="D29" s="20">
        <f>D12</f>
        <v>0.47307548402968636</v>
      </c>
      <c r="F29" s="20">
        <f>F12</f>
        <v>-2.2909244186046509</v>
      </c>
      <c r="H29" s="20">
        <f>H12</f>
        <v>-1.0984580743178847</v>
      </c>
    </row>
    <row r="30" spans="2:11" x14ac:dyDescent="0.2">
      <c r="B30" s="7" t="s">
        <v>439</v>
      </c>
      <c r="D30" s="20">
        <f>D13</f>
        <v>2.0354543967280163</v>
      </c>
      <c r="F30" s="20">
        <f>F13</f>
        <v>0.33856877631535109</v>
      </c>
      <c r="H30" s="20">
        <f>H13</f>
        <v>-2.5666530814139832</v>
      </c>
    </row>
    <row r="31" spans="2:11" x14ac:dyDescent="0.2">
      <c r="B31" s="7" t="s">
        <v>5</v>
      </c>
      <c r="D31" s="20">
        <f>D14</f>
        <v>0.22260060807029747</v>
      </c>
      <c r="F31" s="20">
        <f>F14</f>
        <v>2.1733855606758832</v>
      </c>
      <c r="H31" s="20">
        <f>H14</f>
        <v>-0.99607220192257095</v>
      </c>
    </row>
    <row r="43" spans="2:11" ht="20" customHeight="1" x14ac:dyDescent="0.2">
      <c r="B43" s="45" t="s">
        <v>440</v>
      </c>
      <c r="C43" s="45"/>
      <c r="D43" s="45"/>
      <c r="E43" s="45"/>
      <c r="F43" s="45"/>
      <c r="G43" s="45"/>
      <c r="H43" s="45"/>
      <c r="I43" s="45"/>
      <c r="J43" s="45"/>
      <c r="K43" s="45"/>
    </row>
    <row r="44" spans="2:11" ht="30" customHeight="1" x14ac:dyDescent="0.2">
      <c r="B44" s="3" t="s">
        <v>441</v>
      </c>
      <c r="C44" s="2" t="s">
        <v>393</v>
      </c>
      <c r="D44" s="2" t="s">
        <v>442</v>
      </c>
      <c r="E44" s="2" t="s">
        <v>394</v>
      </c>
      <c r="F44" s="2" t="s">
        <v>443</v>
      </c>
      <c r="G44" s="48" t="s">
        <v>444</v>
      </c>
      <c r="H44" s="48"/>
      <c r="I44" s="48"/>
      <c r="J44" s="48"/>
      <c r="K44" s="48"/>
    </row>
    <row r="45" spans="2:11" ht="31.5" customHeight="1" x14ac:dyDescent="0.2">
      <c r="B45" s="19" t="s">
        <v>445</v>
      </c>
      <c r="C45" s="7" t="s">
        <v>446</v>
      </c>
      <c r="D45" s="23">
        <f t="array" ref="D45">CORREL(IF(Donnees[Échantillon]="Humour",Donnees[Rang abonnés]),IF(Donnees[Échantillon]="Humour",Donnees[Rang vues]))</f>
        <v>0.28067578540508425</v>
      </c>
      <c r="E45" s="21">
        <f>TDIST(ABS(D45*SQRT((100-2)/(1-D45^2))),100-2,2)</f>
        <v>4.6757515121238716E-3</v>
      </c>
      <c r="F45" s="10" t="s">
        <v>447</v>
      </c>
      <c r="G45" s="46" t="s">
        <v>448</v>
      </c>
      <c r="H45" s="46"/>
      <c r="I45" s="46"/>
      <c r="J45" s="46"/>
      <c r="K45" s="46"/>
    </row>
    <row r="46" spans="2:11" ht="31.5" customHeight="1" x14ac:dyDescent="0.2">
      <c r="B46" s="19" t="s">
        <v>445</v>
      </c>
      <c r="C46" s="7" t="s">
        <v>449</v>
      </c>
      <c r="D46" s="23">
        <f t="array" ref="D46">CORREL(IF(Donnees[Échantillon]="Humour",Donnees[Rang abonnés]),IF(Donnees[Échantillon]="Humour",Donnees[Rang engagement]))</f>
        <v>-0.31479313666663467</v>
      </c>
      <c r="E46" s="21">
        <f>TDIST(ABS(D46*SQRT((100-2)/(1-D46^2))),100-2,2)</f>
        <v>1.4234110797277223E-3</v>
      </c>
      <c r="F46" s="10" t="s">
        <v>447</v>
      </c>
      <c r="G46" s="46" t="s">
        <v>450</v>
      </c>
      <c r="H46" s="46"/>
      <c r="I46" s="46"/>
      <c r="J46" s="46"/>
      <c r="K46" s="46"/>
    </row>
    <row r="47" spans="2:11" ht="31.5" customHeight="1" x14ac:dyDescent="0.2">
      <c r="B47" s="19" t="s">
        <v>451</v>
      </c>
      <c r="C47" s="7" t="s">
        <v>446</v>
      </c>
      <c r="D47" s="23">
        <v>0.19742299999999999</v>
      </c>
      <c r="E47" s="21">
        <v>4.8973000000000003E-2</v>
      </c>
      <c r="F47" s="10" t="s">
        <v>447</v>
      </c>
      <c r="G47" s="46" t="s">
        <v>452</v>
      </c>
      <c r="H47" s="46"/>
      <c r="I47" s="46"/>
      <c r="J47" s="46"/>
      <c r="K47" s="46"/>
    </row>
    <row r="48" spans="2:11" ht="31.5" customHeight="1" x14ac:dyDescent="0.2">
      <c r="B48" s="19" t="s">
        <v>453</v>
      </c>
      <c r="C48" s="7" t="s">
        <v>454</v>
      </c>
      <c r="D48" s="20">
        <v>-1.3613999999999999</v>
      </c>
      <c r="E48" s="21">
        <v>0.13186700000000001</v>
      </c>
      <c r="F48" s="10" t="s">
        <v>447</v>
      </c>
      <c r="G48" s="46" t="s">
        <v>455</v>
      </c>
      <c r="H48" s="46"/>
      <c r="I48" s="46"/>
      <c r="J48" s="46"/>
      <c r="K48" s="46"/>
    </row>
    <row r="51" spans="2:11" ht="20" customHeight="1" x14ac:dyDescent="0.2">
      <c r="B51" s="45" t="s">
        <v>456</v>
      </c>
      <c r="C51" s="45"/>
      <c r="D51" s="45"/>
      <c r="E51" s="45"/>
      <c r="F51" s="45"/>
      <c r="G51" s="45"/>
      <c r="H51" s="45"/>
      <c r="I51" s="45"/>
      <c r="J51" s="45"/>
      <c r="K51" s="45"/>
    </row>
    <row r="52" spans="2:11" x14ac:dyDescent="0.2">
      <c r="B52" s="3" t="s">
        <v>457</v>
      </c>
      <c r="D52" s="2" t="s">
        <v>37</v>
      </c>
      <c r="F52" s="2" t="s">
        <v>395</v>
      </c>
      <c r="H52" s="2" t="s">
        <v>237</v>
      </c>
    </row>
    <row r="53" spans="2:11" x14ac:dyDescent="0.2">
      <c r="B53" s="7" t="s">
        <v>52</v>
      </c>
      <c r="D53" s="27">
        <f>AVERAGEIFS(Donnees[Top performer],Donnees[Échantillon],"Tendances",Donnees[Classe de durée],"1. ≤ 10 s")</f>
        <v>0.14285714285714285</v>
      </c>
      <c r="F53" s="27">
        <f>AVERAGEIFS(Donnees[Top performer],Donnees[Échantillon],"Likées par @tiktok",Donnees[Classe de durée],"1. ≤ 10 s")</f>
        <v>0.21428571428571427</v>
      </c>
      <c r="H53" s="27">
        <f>AVERAGEIFS(Donnees[Top performer],Donnees[Échantillon],"Humour",Donnees[Classe de durée],"1. ≤ 10 s")</f>
        <v>0.15384615384615385</v>
      </c>
    </row>
    <row r="54" spans="2:11" x14ac:dyDescent="0.2">
      <c r="B54" s="7" t="s">
        <v>43</v>
      </c>
      <c r="D54" s="27">
        <f>AVERAGEIFS(Donnees[Top performer],Donnees[Échantillon],"Tendances",Donnees[Classe de durée],"2. 11-15 s")</f>
        <v>0.26829268292682928</v>
      </c>
      <c r="F54" s="27">
        <f>AVERAGEIFS(Donnees[Top performer],Donnees[Échantillon],"Likées par @tiktok",Donnees[Classe de durée],"2. 11-15 s")</f>
        <v>0.24324324324324326</v>
      </c>
      <c r="H54" s="27">
        <f>AVERAGEIFS(Donnees[Top performer],Donnees[Échantillon],"Humour",Donnees[Classe de durée],"2. 11-15 s")</f>
        <v>0.31578947368421051</v>
      </c>
    </row>
    <row r="55" spans="2:11" x14ac:dyDescent="0.2">
      <c r="B55" s="7" t="s">
        <v>57</v>
      </c>
      <c r="D55" s="27">
        <f>AVERAGEIFS(Donnees[Top performer],Donnees[Échantillon],"Tendances",Donnees[Classe de durée],"3. 16-30 s")</f>
        <v>0.66666666666666663</v>
      </c>
      <c r="F55" s="27">
        <f>AVERAGEIFS(Donnees[Top performer],Donnees[Échantillon],"Likées par @tiktok",Donnees[Classe de durée],"3. 16-30 s")</f>
        <v>0.33333333333333331</v>
      </c>
      <c r="H55" s="27">
        <f>AVERAGEIFS(Donnees[Top performer],Donnees[Échantillon],"Humour",Donnees[Classe de durée],"3. 16-30 s")</f>
        <v>0.14285714285714285</v>
      </c>
    </row>
    <row r="56" spans="2:11" x14ac:dyDescent="0.2">
      <c r="B56" s="7" t="s">
        <v>48</v>
      </c>
      <c r="D56" s="27">
        <f>AVERAGEIFS(Donnees[Top performer],Donnees[Échantillon],"Tendances",Donnees[Classe de durée],"4. 31-60 s")</f>
        <v>0.16666666666666666</v>
      </c>
      <c r="F56" s="27">
        <f>AVERAGEIFS(Donnees[Top performer],Donnees[Échantillon],"Likées par @tiktok",Donnees[Classe de durée],"4. 31-60 s")</f>
        <v>0.2</v>
      </c>
      <c r="H56" s="27">
        <f>AVERAGEIFS(Donnees[Top performer],Donnees[Échantillon],"Humour",Donnees[Classe de durée],"4. 31-60 s")</f>
        <v>0.38461538461538464</v>
      </c>
    </row>
    <row r="57" spans="2:11" x14ac:dyDescent="0.2">
      <c r="B57" s="7" t="s">
        <v>111</v>
      </c>
      <c r="D57" s="27">
        <f>AVERAGEIFS(Donnees[Top performer],Donnees[Échantillon],"Tendances",Donnees[Classe de durée],"5. &gt; 60 s")</f>
        <v>0.5</v>
      </c>
      <c r="F57" s="27">
        <f>AVERAGEIFS(Donnees[Top performer],Donnees[Échantillon],"Likées par @tiktok",Donnees[Classe de durée],"5. &gt; 60 s")</f>
        <v>0.2</v>
      </c>
      <c r="H57" s="27">
        <f>AVERAGEIFS(Donnees[Top performer],Donnees[Échantillon],"Humour",Donnees[Classe de durée],"5. &gt; 60 s")</f>
        <v>1</v>
      </c>
    </row>
    <row r="59" spans="2:11" x14ac:dyDescent="0.2">
      <c r="B59" s="3" t="s">
        <v>458</v>
      </c>
      <c r="D59" s="2" t="s">
        <v>37</v>
      </c>
      <c r="F59" s="2" t="s">
        <v>395</v>
      </c>
      <c r="H59" s="2" t="s">
        <v>237</v>
      </c>
    </row>
    <row r="60" spans="2:11" x14ac:dyDescent="0.2">
      <c r="B60" s="7" t="s">
        <v>52</v>
      </c>
      <c r="D60" s="28">
        <f t="array" ref="D60">MEDIAN(IF((Donnees[Échantillon]="Tendances")*(Donnees[Classe de durée]="1. ≤ 10 s"),Donnees[Engagement]))</f>
        <v>9.9978401815410206E-2</v>
      </c>
      <c r="F60" s="28">
        <f t="array" ref="F60">MEDIAN(IF((Donnees[Échantillon]="Likées par @tiktok")*(Donnees[Classe de durée]="1. ≤ 10 s"),Donnees[Engagement]))</f>
        <v>0.17793283800458309</v>
      </c>
      <c r="H60" s="28">
        <f t="array" ref="H60">MEDIAN(IF((Donnees[Échantillon]="Humour")*(Donnees[Classe de durée]="1. ≤ 10 s"),Donnees[Engagement]))</f>
        <v>0.15242731648680702</v>
      </c>
    </row>
    <row r="61" spans="2:11" x14ac:dyDescent="0.2">
      <c r="B61" s="7" t="s">
        <v>43</v>
      </c>
      <c r="D61" s="28">
        <f t="array" ref="D61">MEDIAN(IF((Donnees[Échantillon]="Tendances")*(Donnees[Classe de durée]="2. 11-15 s"),Donnees[Engagement]))</f>
        <v>0.10062595419847328</v>
      </c>
      <c r="F61" s="28">
        <f t="array" ref="F61">MEDIAN(IF((Donnees[Échantillon]="Likées par @tiktok")*(Donnees[Classe de durée]="2. 11-15 s"),Donnees[Engagement]))</f>
        <v>0.19137533333333334</v>
      </c>
      <c r="H61" s="28">
        <f t="array" ref="H61">MEDIAN(IF((Donnees[Échantillon]="Humour")*(Donnees[Classe de durée]="2. 11-15 s"),Donnees[Engagement]))</f>
        <v>0.18458953722334004</v>
      </c>
    </row>
    <row r="62" spans="2:11" x14ac:dyDescent="0.2">
      <c r="B62" s="7" t="s">
        <v>57</v>
      </c>
      <c r="D62" s="28">
        <f t="array" ref="D62">MEDIAN(IF((Donnees[Échantillon]="Tendances")*(Donnees[Classe de durée]="3. 16-30 s"),Donnees[Engagement]))</f>
        <v>0.16617599999999999</v>
      </c>
      <c r="F62" s="28">
        <f t="array" ref="F62">MEDIAN(IF((Donnees[Échantillon]="Likées par @tiktok")*(Donnees[Classe de durée]="3. 16-30 s"),Donnees[Engagement]))</f>
        <v>0.19368082949308757</v>
      </c>
      <c r="H62" s="28">
        <f t="array" ref="H62">MEDIAN(IF((Donnees[Échantillon]="Humour")*(Donnees[Classe de durée]="3. 16-30 s"),Donnees[Engagement]))</f>
        <v>0.1408463557804861</v>
      </c>
    </row>
    <row r="63" spans="2:11" x14ac:dyDescent="0.2">
      <c r="B63" s="7" t="s">
        <v>48</v>
      </c>
      <c r="D63" s="28">
        <f t="array" ref="D63">MEDIAN(IF((Donnees[Échantillon]="Tendances")*(Donnees[Classe de durée]="4. 31-60 s"),Donnees[Engagement]))</f>
        <v>0.10457782672923183</v>
      </c>
      <c r="F63" s="28">
        <f t="array" ref="F63">MEDIAN(IF((Donnees[Échantillon]="Likées par @tiktok")*(Donnees[Classe de durée]="4. 31-60 s"),Donnees[Engagement]))</f>
        <v>0.16478818314306534</v>
      </c>
      <c r="H63" s="28">
        <f t="array" ref="H63">MEDIAN(IF((Donnees[Échantillon]="Humour")*(Donnees[Classe de durée]="4. 31-60 s"),Donnees[Engagement]))</f>
        <v>0.19291548216276477</v>
      </c>
    </row>
    <row r="64" spans="2:11" x14ac:dyDescent="0.2">
      <c r="B64" s="7" t="s">
        <v>111</v>
      </c>
      <c r="D64" s="28">
        <f t="array" ref="D64">MEDIAN(IF((Donnees[Échantillon]="Tendances")*(Donnees[Classe de durée]="5. &gt; 60 s"),Donnees[Engagement]))</f>
        <v>0.14249744295830055</v>
      </c>
      <c r="F64" s="28">
        <f t="array" ref="F64">MEDIAN(IF((Donnees[Échantillon]="Likées par @tiktok")*(Donnees[Classe de durée]="5. &gt; 60 s"),Donnees[Engagement]))</f>
        <v>0.20567390354072562</v>
      </c>
      <c r="H64" s="28">
        <f t="array" ref="H64">MEDIAN(IF((Donnees[Échantillon]="Humour")*(Donnees[Classe de durée]="5. &gt; 60 s"),Donnees[Engagement]))</f>
        <v>0.29521527777777778</v>
      </c>
    </row>
    <row r="66" spans="2:11" x14ac:dyDescent="0.2">
      <c r="B66" s="3" t="s">
        <v>459</v>
      </c>
      <c r="D66" s="2" t="s">
        <v>37</v>
      </c>
      <c r="F66" s="2" t="s">
        <v>395</v>
      </c>
      <c r="H66" s="2" t="s">
        <v>237</v>
      </c>
    </row>
    <row r="67" spans="2:11" x14ac:dyDescent="0.2">
      <c r="B67" s="7" t="s">
        <v>52</v>
      </c>
      <c r="D67" s="29">
        <f>COUNTIFS(Donnees[Échantillon],"Tendances",Donnees[Classe de durée],"1. ≤ 10 s")</f>
        <v>42</v>
      </c>
      <c r="F67" s="29">
        <f>COUNTIFS(Donnees[Échantillon],"Likées par @tiktok",Donnees[Classe de durée],"1. ≤ 10 s")</f>
        <v>14</v>
      </c>
      <c r="H67" s="29">
        <f>COUNTIFS(Donnees[Échantillon],"Humour",Donnees[Classe de durée],"1. ≤ 10 s")</f>
        <v>26</v>
      </c>
    </row>
    <row r="68" spans="2:11" x14ac:dyDescent="0.2">
      <c r="B68" s="7" t="s">
        <v>43</v>
      </c>
      <c r="D68" s="29">
        <f>COUNTIFS(Donnees[Échantillon],"Tendances",Donnees[Classe de durée],"2. 11-15 s")</f>
        <v>41</v>
      </c>
      <c r="F68" s="29">
        <f>COUNTIFS(Donnees[Échantillon],"Likées par @tiktok",Donnees[Classe de durée],"2. 11-15 s")</f>
        <v>37</v>
      </c>
      <c r="H68" s="29">
        <f>COUNTIFS(Donnees[Échantillon],"Humour",Donnees[Classe de durée],"2. 11-15 s")</f>
        <v>19</v>
      </c>
    </row>
    <row r="69" spans="2:11" x14ac:dyDescent="0.2">
      <c r="B69" s="7" t="s">
        <v>57</v>
      </c>
      <c r="D69" s="29">
        <f>COUNTIFS(Donnees[Échantillon],"Tendances",Donnees[Classe de durée],"3. 16-30 s")</f>
        <v>9</v>
      </c>
      <c r="F69" s="29">
        <f>COUNTIFS(Donnees[Échantillon],"Likées par @tiktok",Donnees[Classe de durée],"3. 16-30 s")</f>
        <v>24</v>
      </c>
      <c r="H69" s="29">
        <f>COUNTIFS(Donnees[Échantillon],"Humour",Donnees[Classe de durée],"3. 16-30 s")</f>
        <v>28</v>
      </c>
    </row>
    <row r="70" spans="2:11" x14ac:dyDescent="0.2">
      <c r="B70" s="7" t="s">
        <v>48</v>
      </c>
      <c r="D70" s="29">
        <f>COUNTIFS(Donnees[Échantillon],"Tendances",Donnees[Classe de durée],"4. 31-60 s")</f>
        <v>6</v>
      </c>
      <c r="F70" s="29">
        <f>COUNTIFS(Donnees[Échantillon],"Likées par @tiktok",Donnees[Classe de durée],"4. 31-60 s")</f>
        <v>20</v>
      </c>
      <c r="H70" s="29">
        <f>COUNTIFS(Donnees[Échantillon],"Humour",Donnees[Classe de durée],"4. 31-60 s")</f>
        <v>26</v>
      </c>
    </row>
    <row r="71" spans="2:11" x14ac:dyDescent="0.2">
      <c r="B71" s="7" t="s">
        <v>111</v>
      </c>
      <c r="D71" s="29">
        <f>COUNTIFS(Donnees[Échantillon],"Tendances",Donnees[Classe de durée],"5. &gt; 60 s")</f>
        <v>2</v>
      </c>
      <c r="F71" s="29">
        <f>COUNTIFS(Donnees[Échantillon],"Likées par @tiktok",Donnees[Classe de durée],"5. &gt; 60 s")</f>
        <v>5</v>
      </c>
      <c r="H71" s="29">
        <f>COUNTIFS(Donnees[Échantillon],"Humour",Donnees[Classe de durée],"5. &gt; 60 s")</f>
        <v>1</v>
      </c>
    </row>
    <row r="72" spans="2:11" ht="39" x14ac:dyDescent="0.2">
      <c r="B72" s="26" t="s">
        <v>460</v>
      </c>
    </row>
    <row r="74" spans="2:11" ht="20" customHeight="1" x14ac:dyDescent="0.2">
      <c r="B74" s="45" t="s">
        <v>461</v>
      </c>
      <c r="C74" s="45"/>
      <c r="D74" s="45"/>
      <c r="E74" s="45"/>
      <c r="F74" s="45"/>
      <c r="G74" s="45"/>
      <c r="H74" s="45"/>
      <c r="I74" s="45"/>
      <c r="J74" s="45"/>
      <c r="K74" s="45"/>
    </row>
    <row r="75" spans="2:11" x14ac:dyDescent="0.2">
      <c r="B75" s="3" t="s">
        <v>4</v>
      </c>
      <c r="D75" s="2" t="s">
        <v>37</v>
      </c>
      <c r="F75" s="2" t="s">
        <v>395</v>
      </c>
      <c r="H75" s="2" t="s">
        <v>237</v>
      </c>
    </row>
    <row r="76" spans="2:11" x14ac:dyDescent="0.2">
      <c r="B76" s="7" t="s">
        <v>71</v>
      </c>
      <c r="D76" s="28">
        <f t="array" ref="D76">MEDIAN(IF((Donnees[Échantillon]="Tendances")*(Donnees[Jour]="lundi"),Donnees[Engagement]))</f>
        <v>0.10177355814873418</v>
      </c>
      <c r="F76" s="28">
        <f t="array" ref="F76">MEDIAN(IF((Donnees[Échantillon]="Likées par @tiktok")*(Donnees[Jour]="lundi"),Donnees[Engagement]))</f>
        <v>0.16341363636363637</v>
      </c>
      <c r="H76" s="28">
        <f t="array" ref="H76">MEDIAN(IF((Donnees[Échantillon]="Humour")*(Donnees[Jour]="lundi"),Donnees[Engagement]))</f>
        <v>0.15110594711859981</v>
      </c>
    </row>
    <row r="77" spans="2:11" x14ac:dyDescent="0.2">
      <c r="B77" s="7" t="s">
        <v>40</v>
      </c>
      <c r="D77" s="28">
        <f t="array" ref="D77">MEDIAN(IF((Donnees[Échantillon]="Tendances")*(Donnees[Jour]="mardi"),Donnees[Engagement]))</f>
        <v>0.10791923551171394</v>
      </c>
      <c r="F77" s="28">
        <f t="array" ref="F77">MEDIAN(IF((Donnees[Échantillon]="Likées par @tiktok")*(Donnees[Jour]="mardi"),Donnees[Engagement]))</f>
        <v>0.14582776349614396</v>
      </c>
      <c r="H77" s="28">
        <f t="array" ref="H77">MEDIAN(IF((Donnees[Échantillon]="Humour")*(Donnees[Jour]="mardi"),Donnees[Engagement]))</f>
        <v>0.16499059377648148</v>
      </c>
    </row>
    <row r="78" spans="2:11" x14ac:dyDescent="0.2">
      <c r="B78" s="7" t="s">
        <v>59</v>
      </c>
      <c r="D78" s="28">
        <f t="array" ref="D78">MEDIAN(IF((Donnees[Échantillon]="Tendances")*(Donnees[Jour]="mercredi"),Donnees[Engagement]))</f>
        <v>0.15571225577264652</v>
      </c>
      <c r="F78" s="28">
        <f t="array" ref="F78">MEDIAN(IF((Donnees[Échantillon]="Likées par @tiktok")*(Donnees[Jour]="mercredi"),Donnees[Engagement]))</f>
        <v>0.25495914285714288</v>
      </c>
      <c r="H78" s="28">
        <f t="array" ref="H78">MEDIAN(IF((Donnees[Échantillon]="Humour")*(Donnees[Jour]="mercredi"),Donnees[Engagement]))</f>
        <v>0.1680060606060606</v>
      </c>
    </row>
    <row r="79" spans="2:11" x14ac:dyDescent="0.2">
      <c r="B79" s="7" t="s">
        <v>47</v>
      </c>
      <c r="D79" s="28">
        <f t="array" ref="D79">MEDIAN(IF((Donnees[Échantillon]="Tendances")*(Donnees[Jour]="jeudi"),Donnees[Engagement]))</f>
        <v>8.1214047619047616E-2</v>
      </c>
      <c r="F79" s="28">
        <f t="array" ref="F79">MEDIAN(IF((Donnees[Échantillon]="Likées par @tiktok")*(Donnees[Jour]="jeudi"),Donnees[Engagement]))</f>
        <v>0.18415635770453403</v>
      </c>
      <c r="H79" s="28">
        <f t="array" ref="H79">MEDIAN(IF((Donnees[Échantillon]="Humour")*(Donnees[Jour]="jeudi"),Donnees[Engagement]))</f>
        <v>0.17117968083624907</v>
      </c>
    </row>
    <row r="80" spans="2:11" x14ac:dyDescent="0.2">
      <c r="B80" s="7" t="s">
        <v>68</v>
      </c>
      <c r="D80" s="28">
        <f t="array" ref="D80">MEDIAN(IF((Donnees[Échantillon]="Tendances")*(Donnees[Jour]="vendredi"),Donnees[Engagement]))</f>
        <v>9.6678571428571433E-2</v>
      </c>
      <c r="F80" s="28">
        <f t="array" ref="F80">MEDIAN(IF((Donnees[Échantillon]="Likées par @tiktok")*(Donnees[Jour]="vendredi"),Donnees[Engagement]))</f>
        <v>0.16405027932960894</v>
      </c>
      <c r="H80" s="28">
        <f t="array" ref="H80">MEDIAN(IF((Donnees[Échantillon]="Humour")*(Donnees[Jour]="vendredi"),Donnees[Engagement]))</f>
        <v>0.16437362637362637</v>
      </c>
    </row>
    <row r="81" spans="2:11" x14ac:dyDescent="0.2">
      <c r="B81" s="7" t="s">
        <v>75</v>
      </c>
      <c r="D81" s="28">
        <f t="array" ref="D81">MEDIAN(IF((Donnees[Échantillon]="Tendances")*(Donnees[Jour]="samedi"),Donnees[Engagement]))</f>
        <v>0.10062595419847328</v>
      </c>
      <c r="F81" s="28">
        <f t="array" ref="F81">MEDIAN(IF((Donnees[Échantillon]="Likées par @tiktok")*(Donnees[Jour]="samedi"),Donnees[Engagement]))</f>
        <v>0.15941312122333209</v>
      </c>
      <c r="H81" s="28">
        <f t="array" ref="H81">MEDIAN(IF((Donnees[Échantillon]="Humour")*(Donnees[Jour]="samedi"),Donnees[Engagement]))</f>
        <v>0.15078439425051335</v>
      </c>
    </row>
    <row r="82" spans="2:11" x14ac:dyDescent="0.2">
      <c r="B82" s="7" t="s">
        <v>56</v>
      </c>
      <c r="D82" s="28">
        <f t="array" ref="D82">MEDIAN(IF((Donnees[Échantillon]="Tendances")*(Donnees[Jour]="dimanche"),Donnees[Engagement]))</f>
        <v>0.12125230769230769</v>
      </c>
      <c r="F82" s="28">
        <f t="array" ref="F82">MEDIAN(IF((Donnees[Échantillon]="Likées par @tiktok")*(Donnees[Jour]="dimanche"),Donnees[Engagement]))</f>
        <v>0.24109223300970875</v>
      </c>
      <c r="H82" s="28">
        <f t="array" ref="H82">MEDIAN(IF((Donnees[Échantillon]="Humour")*(Donnees[Jour]="dimanche"),Donnees[Engagement]))</f>
        <v>0.16583497053045188</v>
      </c>
    </row>
    <row r="84" spans="2:11" x14ac:dyDescent="0.2">
      <c r="B84" s="3" t="s">
        <v>462</v>
      </c>
      <c r="D84" s="2" t="s">
        <v>37</v>
      </c>
      <c r="F84" s="2" t="s">
        <v>395</v>
      </c>
      <c r="H84" s="2" t="s">
        <v>237</v>
      </c>
    </row>
    <row r="85" spans="2:11" x14ac:dyDescent="0.2">
      <c r="B85" s="7" t="s">
        <v>54</v>
      </c>
      <c r="D85" s="28">
        <f t="array" ref="D85">MEDIAN(IF((Donnees[Échantillon]="Tendances")*(Donnees[Créneau UTC]="0-5 h"),Donnees[Engagement]))</f>
        <v>0.10009792333579579</v>
      </c>
      <c r="F85" s="28">
        <f t="array" ref="F85">MEDIAN(IF((Donnees[Échantillon]="Likées par @tiktok")*(Donnees[Créneau UTC]="0-5 h"),Donnees[Engagement]))</f>
        <v>0.18584920158611079</v>
      </c>
      <c r="H85" s="28">
        <f t="array" ref="H85">MEDIAN(IF((Donnees[Échantillon]="Humour")*(Donnees[Créneau UTC]="0-5 h"),Donnees[Engagement]))</f>
        <v>0.18160567042142187</v>
      </c>
    </row>
    <row r="86" spans="2:11" x14ac:dyDescent="0.2">
      <c r="B86" s="7" t="s">
        <v>69</v>
      </c>
      <c r="D86" s="28">
        <f t="array" ref="D86">MEDIAN(IF((Donnees[Échantillon]="Tendances")*(Donnees[Créneau UTC]="6-11 h"),Donnees[Engagement]))</f>
        <v>0.10895268750000001</v>
      </c>
      <c r="F86" s="28">
        <f t="array" ref="F86">MEDIAN(IF((Donnees[Échantillon]="Likées par @tiktok")*(Donnees[Créneau UTC]="6-11 h"),Donnees[Engagement]))</f>
        <v>0.13294333333333333</v>
      </c>
      <c r="H86" s="28">
        <f t="array" ref="H86">MEDIAN(IF((Donnees[Échantillon]="Humour")*(Donnees[Créneau UTC]="6-11 h"),Donnees[Engagement]))</f>
        <v>0.14974532744266922</v>
      </c>
    </row>
    <row r="87" spans="2:11" x14ac:dyDescent="0.2">
      <c r="B87" s="7" t="s">
        <v>51</v>
      </c>
      <c r="D87" s="28">
        <f t="array" ref="D87">MEDIAN(IF((Donnees[Échantillon]="Tendances")*(Donnees[Créneau UTC]="12-17 h"),Donnees[Engagement]))</f>
        <v>0.10046012269938651</v>
      </c>
      <c r="F87" s="28">
        <f t="array" ref="F87">MEDIAN(IF((Donnees[Échantillon]="Likées par @tiktok")*(Donnees[Créneau UTC]="12-17 h"),Donnees[Engagement]))</f>
        <v>0.14582776349614396</v>
      </c>
      <c r="H87" s="28">
        <f t="array" ref="H87">MEDIAN(IF((Donnees[Échantillon]="Humour")*(Donnees[Créneau UTC]="12-17 h"),Donnees[Engagement]))</f>
        <v>0.13811299435028249</v>
      </c>
    </row>
    <row r="88" spans="2:11" x14ac:dyDescent="0.2">
      <c r="B88" s="7" t="s">
        <v>42</v>
      </c>
      <c r="D88" s="28">
        <f t="array" ref="D88">MEDIAN(IF((Donnees[Échantillon]="Tendances")*(Donnees[Créneau UTC]="18-23 h"),Donnees[Engagement]))</f>
        <v>0.11171604938271605</v>
      </c>
      <c r="F88" s="28">
        <f t="array" ref="F88">MEDIAN(IF((Donnees[Échantillon]="Likées par @tiktok")*(Donnees[Créneau UTC]="18-23 h"),Donnees[Engagement]))</f>
        <v>0.20279716732542818</v>
      </c>
      <c r="H88" s="28">
        <f t="array" ref="H88">MEDIAN(IF((Donnees[Échantillon]="Humour")*(Donnees[Créneau UTC]="18-23 h"),Donnees[Engagement]))</f>
        <v>0.18623968565815324</v>
      </c>
    </row>
    <row r="90" spans="2:11" ht="20" customHeight="1" x14ac:dyDescent="0.2">
      <c r="B90" s="45" t="s">
        <v>463</v>
      </c>
      <c r="C90" s="45"/>
      <c r="D90" s="45"/>
      <c r="E90" s="45"/>
      <c r="F90" s="45"/>
      <c r="G90" s="45"/>
      <c r="H90" s="45"/>
      <c r="I90" s="45"/>
      <c r="J90" s="45"/>
      <c r="K90" s="45"/>
    </row>
    <row r="92" spans="2:11" x14ac:dyDescent="0.2">
      <c r="B92" s="51" t="s">
        <v>457</v>
      </c>
      <c r="C92" s="51" t="s">
        <v>0</v>
      </c>
    </row>
    <row r="93" spans="2:11" x14ac:dyDescent="0.2">
      <c r="B93" s="51" t="s">
        <v>9</v>
      </c>
      <c r="C93" t="s">
        <v>37</v>
      </c>
      <c r="D93" t="s">
        <v>145</v>
      </c>
      <c r="E93" t="s">
        <v>237</v>
      </c>
      <c r="F93" t="s">
        <v>602</v>
      </c>
    </row>
    <row r="94" spans="2:11" x14ac:dyDescent="0.2">
      <c r="B94" s="52" t="s">
        <v>52</v>
      </c>
      <c r="C94" s="53">
        <v>0.14285714285714285</v>
      </c>
      <c r="D94" s="53">
        <v>0.21428571428571427</v>
      </c>
      <c r="E94" s="53">
        <v>0.15384615384615385</v>
      </c>
      <c r="F94" s="53">
        <v>0.15853658536585366</v>
      </c>
    </row>
    <row r="95" spans="2:11" x14ac:dyDescent="0.2">
      <c r="B95" s="52" t="s">
        <v>43</v>
      </c>
      <c r="C95" s="53">
        <v>0.26829268292682928</v>
      </c>
      <c r="D95" s="53">
        <v>0.24324324324324326</v>
      </c>
      <c r="E95" s="53">
        <v>0.31578947368421051</v>
      </c>
      <c r="F95" s="53">
        <v>0.26804123711340205</v>
      </c>
    </row>
    <row r="96" spans="2:11" x14ac:dyDescent="0.2">
      <c r="B96" s="52" t="s">
        <v>57</v>
      </c>
      <c r="C96" s="53">
        <v>0.66666666666666663</v>
      </c>
      <c r="D96" s="53">
        <v>0.33333333333333331</v>
      </c>
      <c r="E96" s="53">
        <v>0.14285714285714285</v>
      </c>
      <c r="F96" s="53">
        <v>0.29508196721311475</v>
      </c>
    </row>
    <row r="97" spans="2:6" x14ac:dyDescent="0.2">
      <c r="B97" s="52" t="s">
        <v>48</v>
      </c>
      <c r="C97" s="53">
        <v>0.16666666666666666</v>
      </c>
      <c r="D97" s="53">
        <v>0.2</v>
      </c>
      <c r="E97" s="53">
        <v>0.38461538461538464</v>
      </c>
      <c r="F97" s="53">
        <v>0.28846153846153844</v>
      </c>
    </row>
    <row r="98" spans="2:6" x14ac:dyDescent="0.2">
      <c r="B98" s="52" t="s">
        <v>111</v>
      </c>
      <c r="C98" s="53">
        <v>0.5</v>
      </c>
      <c r="D98" s="53">
        <v>0.2</v>
      </c>
      <c r="E98" s="53">
        <v>1</v>
      </c>
      <c r="F98" s="53">
        <v>0.375</v>
      </c>
    </row>
    <row r="99" spans="2:6" x14ac:dyDescent="0.2">
      <c r="B99" s="52" t="s">
        <v>602</v>
      </c>
      <c r="C99" s="53">
        <v>0.25</v>
      </c>
      <c r="D99" s="53">
        <v>0.25</v>
      </c>
      <c r="E99" s="53">
        <v>0.25</v>
      </c>
      <c r="F99" s="53">
        <v>0.25</v>
      </c>
    </row>
  </sheetData>
  <sheetProtection algorithmName="SHA-512" hashValue="e/SEYi/UWY5BX1hEVIpg0S7Ack99Rb9tw5mHeThNwsjSLcoYRjabJvqLzaAiyTfHLfv1ZYJIRmfbIMBe9o3Qaw==" saltValue="4f/LlNiwG8haSN7fqwa/aA==" spinCount="100000" sheet="1" objects="1" scenarios="1"/>
  <mergeCells count="13">
    <mergeCell ref="B51:K51"/>
    <mergeCell ref="B74:K74"/>
    <mergeCell ref="B90:K90"/>
    <mergeCell ref="G44:K44"/>
    <mergeCell ref="G45:K45"/>
    <mergeCell ref="G46:K46"/>
    <mergeCell ref="G47:K47"/>
    <mergeCell ref="G48:K48"/>
    <mergeCell ref="B2:K2"/>
    <mergeCell ref="B4:K4"/>
    <mergeCell ref="B21:K21"/>
    <mergeCell ref="B23:K23"/>
    <mergeCell ref="B43:K43"/>
  </mergeCells>
  <pageMargins left="0.7" right="0.7" top="0.75" bottom="0.75" header="0.3" footer="0.3"/>
  <pageSetup fitToHeight="0" orientation="landscape"/>
  <rowBreaks count="3" manualBreakCount="3">
    <brk id="22" max="16383" man="1"/>
    <brk id="50" max="16383" man="1"/>
    <brk id="89"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J67"/>
  <sheetViews>
    <sheetView showGridLines="0" zoomScale="90" zoomScaleNormal="90" workbookViewId="0"/>
  </sheetViews>
  <sheetFormatPr baseColWidth="10" defaultColWidth="8.83203125" defaultRowHeight="15" x14ac:dyDescent="0.2"/>
  <cols>
    <col min="1" max="1" width="2.33203125" customWidth="1"/>
    <col min="2" max="2" width="18.83203125" bestFit="1" customWidth="1"/>
    <col min="3" max="3" width="10" bestFit="1" customWidth="1"/>
    <col min="4" max="4" width="18.83203125" bestFit="1" customWidth="1"/>
    <col min="5" max="5" width="16.5" bestFit="1" customWidth="1"/>
    <col min="6" max="9" width="14.6640625" customWidth="1"/>
    <col min="10" max="10" width="34.6640625" customWidth="1"/>
  </cols>
  <sheetData>
    <row r="1" spans="2:10" ht="30" customHeight="1" x14ac:dyDescent="0.2">
      <c r="B1" s="1" t="s">
        <v>464</v>
      </c>
    </row>
    <row r="2" spans="2:10" ht="30" customHeight="1" x14ac:dyDescent="0.2">
      <c r="B2" s="44" t="s">
        <v>465</v>
      </c>
      <c r="C2" s="44"/>
      <c r="D2" s="44"/>
      <c r="E2" s="44"/>
      <c r="F2" s="44"/>
      <c r="G2" s="44"/>
      <c r="H2" s="44"/>
      <c r="I2" s="44"/>
      <c r="J2" s="44"/>
    </row>
    <row r="4" spans="2:10" ht="20" customHeight="1" x14ac:dyDescent="0.2">
      <c r="B4" s="45" t="s">
        <v>466</v>
      </c>
      <c r="C4" s="45"/>
      <c r="D4" s="45"/>
      <c r="E4" s="45"/>
      <c r="F4" s="45"/>
      <c r="G4" s="45"/>
      <c r="H4" s="45"/>
      <c r="I4" s="45" t="s">
        <v>467</v>
      </c>
      <c r="J4" s="45" t="s">
        <v>468</v>
      </c>
    </row>
    <row r="5" spans="2:10" ht="31.5" customHeight="1" x14ac:dyDescent="0.2">
      <c r="B5" s="46" t="s">
        <v>469</v>
      </c>
      <c r="C5" s="46"/>
      <c r="D5" s="46"/>
      <c r="E5" s="46"/>
      <c r="F5" s="46"/>
      <c r="G5" s="46"/>
      <c r="H5" s="46"/>
      <c r="I5" s="6">
        <f>C19</f>
        <v>0.28067578540508425</v>
      </c>
      <c r="J5" s="26" t="s">
        <v>470</v>
      </c>
    </row>
    <row r="6" spans="2:10" ht="41.5" customHeight="1" x14ac:dyDescent="0.2">
      <c r="B6" s="46" t="s">
        <v>471</v>
      </c>
      <c r="C6" s="46"/>
      <c r="D6" s="46"/>
      <c r="E6" s="46"/>
      <c r="F6" s="46"/>
      <c r="G6" s="46"/>
      <c r="H6" s="46"/>
      <c r="I6" s="6">
        <f>C20</f>
        <v>-0.31479313666663467</v>
      </c>
      <c r="J6" s="26" t="s">
        <v>472</v>
      </c>
    </row>
    <row r="7" spans="2:10" ht="31.5" customHeight="1" x14ac:dyDescent="0.2">
      <c r="B7" s="46" t="s">
        <v>473</v>
      </c>
      <c r="C7" s="46"/>
      <c r="D7" s="46"/>
      <c r="E7" s="46"/>
      <c r="F7" s="46"/>
      <c r="G7" s="46"/>
      <c r="H7" s="46"/>
      <c r="I7" s="30">
        <f>G11/G14</f>
        <v>25.322144689086617</v>
      </c>
      <c r="J7" s="26" t="s">
        <v>474</v>
      </c>
    </row>
    <row r="9" spans="2:10" ht="20" customHeight="1" x14ac:dyDescent="0.2">
      <c r="B9" s="45" t="s">
        <v>475</v>
      </c>
      <c r="C9" s="45"/>
      <c r="D9" s="45"/>
      <c r="E9" s="45"/>
      <c r="F9" s="45"/>
      <c r="G9" s="45"/>
      <c r="H9" s="45"/>
      <c r="I9" s="45"/>
      <c r="J9" s="45"/>
    </row>
    <row r="10" spans="2:10" ht="32" customHeight="1" x14ac:dyDescent="0.2">
      <c r="B10" s="3" t="s">
        <v>476</v>
      </c>
      <c r="C10" s="2" t="s">
        <v>324</v>
      </c>
      <c r="D10" s="2" t="s">
        <v>477</v>
      </c>
      <c r="E10" s="2" t="s">
        <v>478</v>
      </c>
      <c r="F10" s="2" t="s">
        <v>479</v>
      </c>
      <c r="G10" s="2" t="s">
        <v>480</v>
      </c>
      <c r="H10" s="2" t="s">
        <v>481</v>
      </c>
      <c r="I10" s="2" t="s">
        <v>457</v>
      </c>
    </row>
    <row r="11" spans="2:10" x14ac:dyDescent="0.2">
      <c r="B11" s="7" t="s">
        <v>249</v>
      </c>
      <c r="C11" s="29">
        <f>COUNTIFS(Donnees[Échantillon],"Humour",Donnees[Tranche abonnés],"1. &lt; 1 M")</f>
        <v>28</v>
      </c>
      <c r="D11" s="29">
        <f t="array" ref="D11">SUM(IF((Donnees[Échantillon]="Humour")*(Donnees[Tranche abonnés]="1. &lt; 1 M"),1/COUNTIFS(Donnees[Créateur],Donnees[Créateur],Donnees[Échantillon],"Humour")))</f>
        <v>28</v>
      </c>
      <c r="E11" s="31">
        <f t="array" ref="E11">MEDIAN(IF((Donnees[Échantillon]="Humour")*(Donnees[Tranche abonnés]="1. &lt; 1 M"),Donnees[Abonnés]))</f>
        <v>456550</v>
      </c>
      <c r="F11" s="31">
        <f t="array" ref="F11">MEDIAN(IF((Donnees[Échantillon]="Humour")*(Donnees[Tranche abonnés]="1. &lt; 1 M"),Donnees[Vues]))</f>
        <v>48400000</v>
      </c>
      <c r="G11" s="32">
        <f t="array" ref="G11">MEDIAN(IF((Donnees[Échantillon]="Humour")*(Donnees[Tranche abonnés]="1. &lt; 1 M"),Donnees[Vues par abonné]))</f>
        <v>111.79581350664563</v>
      </c>
      <c r="H11" s="28">
        <f t="array" ref="H11">MEDIAN(IF((Donnees[Échantillon]="Humour")*(Donnees[Tranche abonnés]="1. &lt; 1 M"),Donnees[Engagement]))</f>
        <v>0.19109257599043716</v>
      </c>
      <c r="I11" s="27">
        <f>AVERAGEIFS(Donnees[Top performer],Donnees[Échantillon],"Humour",Donnees[Tranche abonnés],"1. &lt; 1 M")</f>
        <v>0.42857142857142855</v>
      </c>
    </row>
    <row r="12" spans="2:10" x14ac:dyDescent="0.2">
      <c r="B12" s="7" t="s">
        <v>242</v>
      </c>
      <c r="C12" s="29">
        <f>COUNTIFS(Donnees[Échantillon],"Humour",Donnees[Tranche abonnés],"2. 1-3 M")</f>
        <v>21</v>
      </c>
      <c r="D12" s="29">
        <f t="array" ref="D12">SUM(IF((Donnees[Échantillon]="Humour")*(Donnees[Tranche abonnés]="2. 1-3 M"),1/COUNTIFS(Donnees[Créateur],Donnees[Créateur],Donnees[Échantillon],"Humour")))</f>
        <v>20</v>
      </c>
      <c r="E12" s="31">
        <f t="array" ref="E12">MEDIAN(IF((Donnees[Échantillon]="Humour")*(Donnees[Tranche abonnés]="2. 1-3 M"),Donnees[Abonnés]))</f>
        <v>1800000</v>
      </c>
      <c r="F12" s="31">
        <f t="array" ref="F12">MEDIAN(IF((Donnees[Échantillon]="Humour")*(Donnees[Tranche abonnés]="2. 1-3 M"),Donnees[Vues]))</f>
        <v>73600000</v>
      </c>
      <c r="G12" s="32">
        <f t="array" ref="G12">MEDIAN(IF((Donnees[Échantillon]="Humour")*(Donnees[Tranche abonnés]="2. 1-3 M"),Donnees[Vues par abonné]))</f>
        <v>39.277777777777779</v>
      </c>
      <c r="H12" s="28">
        <f t="array" ref="H12">MEDIAN(IF((Donnees[Échantillon]="Humour")*(Donnees[Tranche abonnés]="2. 1-3 M"),Donnees[Engagement]))</f>
        <v>0.16583497053045188</v>
      </c>
      <c r="I12" s="27">
        <f>AVERAGEIFS(Donnees[Top performer],Donnees[Échantillon],"Humour",Donnees[Tranche abonnés],"2. 1-3 M")</f>
        <v>0.2857142857142857</v>
      </c>
    </row>
    <row r="13" spans="2:10" x14ac:dyDescent="0.2">
      <c r="B13" s="7" t="s">
        <v>239</v>
      </c>
      <c r="C13" s="29">
        <f>COUNTIFS(Donnees[Échantillon],"Humour",Donnees[Tranche abonnés],"3. 3-8 M")</f>
        <v>31</v>
      </c>
      <c r="D13" s="29">
        <f t="array" ref="D13">SUM(IF((Donnees[Échantillon]="Humour")*(Donnees[Tranche abonnés]="3. 3-8 M"),1/COUNTIFS(Donnees[Créateur],Donnees[Créateur],Donnees[Échantillon],"Humour")))</f>
        <v>20</v>
      </c>
      <c r="E13" s="31">
        <f t="array" ref="E13">MEDIAN(IF((Donnees[Échantillon]="Humour")*(Donnees[Tranche abonnés]="3. 3-8 M"),Donnees[Abonnés]))</f>
        <v>5200000</v>
      </c>
      <c r="F13" s="31">
        <f t="array" ref="F13">MEDIAN(IF((Donnees[Échantillon]="Humour")*(Donnees[Tranche abonnés]="3. 3-8 M"),Donnees[Vues]))</f>
        <v>53100000</v>
      </c>
      <c r="G13" s="32">
        <f t="array" ref="G13">MEDIAN(IF((Donnees[Échantillon]="Humour")*(Donnees[Tranche abonnés]="3. 3-8 M"),Donnees[Vues par abonné]))</f>
        <v>9.3157894736842106</v>
      </c>
      <c r="H13" s="28">
        <f t="array" ref="H13">MEDIAN(IF((Donnees[Échantillon]="Humour")*(Donnees[Tranche abonnés]="3. 3-8 M"),Donnees[Engagement]))</f>
        <v>0.15494876325088339</v>
      </c>
      <c r="I13" s="27">
        <f>AVERAGEIFS(Donnees[Top performer],Donnees[Échantillon],"Humour",Donnees[Tranche abonnés],"3. 3-8 M")</f>
        <v>0.16129032258064516</v>
      </c>
    </row>
    <row r="14" spans="2:10" x14ac:dyDescent="0.2">
      <c r="B14" s="7" t="s">
        <v>243</v>
      </c>
      <c r="C14" s="29">
        <f>COUNTIFS(Donnees[Échantillon],"Humour",Donnees[Tranche abonnés],"4. ≥ 8 M")</f>
        <v>20</v>
      </c>
      <c r="D14" s="29">
        <f t="array" ref="D14">SUM(IF((Donnees[Échantillon]="Humour")*(Donnees[Tranche abonnés]="4. ≥ 8 M"),1/COUNTIFS(Donnees[Créateur],Donnees[Créateur],Donnees[Échantillon],"Humour")))</f>
        <v>11</v>
      </c>
      <c r="E14" s="31">
        <f t="array" ref="E14">MEDIAN(IF((Donnees[Échantillon]="Humour")*(Donnees[Tranche abonnés]="4. ≥ 8 M"),Donnees[Abonnés]))</f>
        <v>16450000</v>
      </c>
      <c r="F14" s="31">
        <f t="array" ref="F14">MEDIAN(IF((Donnees[Échantillon]="Humour")*(Donnees[Tranche abonnés]="4. ≥ 8 M"),Donnees[Vues]))</f>
        <v>65050000</v>
      </c>
      <c r="G14" s="32">
        <f t="array" ref="G14">MEDIAN(IF((Donnees[Échantillon]="Humour")*(Donnees[Tranche abonnés]="4. ≥ 8 M"),Donnees[Vues par abonné]))</f>
        <v>4.4149425287356321</v>
      </c>
      <c r="H14" s="28">
        <f t="array" ref="H14">MEDIAN(IF((Donnees[Échantillon]="Humour")*(Donnees[Tranche abonnés]="4. ≥ 8 M"),Donnees[Engagement]))</f>
        <v>0.13169012400713243</v>
      </c>
      <c r="I14" s="27">
        <f>AVERAGEIFS(Donnees[Top performer],Donnees[Échantillon],"Humour",Donnees[Tranche abonnés],"4. ≥ 8 M")</f>
        <v>0.1</v>
      </c>
    </row>
    <row r="15" spans="2:10" x14ac:dyDescent="0.2">
      <c r="B15" s="19" t="s">
        <v>482</v>
      </c>
      <c r="C15" s="29">
        <f>COUNTIFS(Donnees[Échantillon],"Humour")</f>
        <v>100</v>
      </c>
      <c r="D15" s="29">
        <f t="array" ref="D15">SUM(IF((Donnees[Échantillon]="Humour"),1/COUNTIFS(Donnees[Créateur],Donnees[Créateur],Donnees[Échantillon],"Humour")))</f>
        <v>79</v>
      </c>
      <c r="E15" s="31">
        <f t="array" ref="E15">MEDIAN(IF((Donnees[Échantillon]="Humour"),Donnees[Abonnés]))</f>
        <v>3050000</v>
      </c>
      <c r="F15" s="31">
        <f t="array" ref="F15">MEDIAN(IF((Donnees[Échantillon]="Humour"),Donnees[Vues]))</f>
        <v>53650000</v>
      </c>
      <c r="G15" s="32">
        <f t="array" ref="G15">MEDIAN(IF((Donnees[Échantillon]="Humour"),Donnees[Vues par abonné]))</f>
        <v>23.63247863247863</v>
      </c>
      <c r="H15" s="28">
        <f t="array" ref="H15">MEDIAN(IF((Donnees[Échantillon]="Humour"),Donnees[Engagement]))</f>
        <v>0.16348722051878875</v>
      </c>
      <c r="I15" s="27">
        <f>AVERAGEIFS(Donnees[Top performer],Donnees[Échantillon],"Humour")</f>
        <v>0.25</v>
      </c>
    </row>
    <row r="17" spans="2:10" ht="20" customHeight="1" x14ac:dyDescent="0.2">
      <c r="B17" s="45" t="s">
        <v>483</v>
      </c>
      <c r="C17" s="45"/>
      <c r="D17" s="45"/>
      <c r="E17" s="45"/>
      <c r="F17" s="45"/>
      <c r="G17" s="45"/>
      <c r="H17" s="45"/>
      <c r="I17" s="45"/>
      <c r="J17" s="45"/>
    </row>
    <row r="18" spans="2:10" ht="30" customHeight="1" x14ac:dyDescent="0.2">
      <c r="B18" s="3" t="s">
        <v>484</v>
      </c>
      <c r="C18" s="2" t="s">
        <v>485</v>
      </c>
      <c r="D18" s="2" t="s">
        <v>394</v>
      </c>
      <c r="E18" s="2" t="s">
        <v>486</v>
      </c>
      <c r="F18" s="48" t="s">
        <v>487</v>
      </c>
      <c r="G18" s="48"/>
      <c r="H18" s="48"/>
      <c r="I18" s="48"/>
      <c r="J18" s="48"/>
    </row>
    <row r="19" spans="2:10" ht="18.25" customHeight="1" x14ac:dyDescent="0.2">
      <c r="B19" s="19" t="s">
        <v>488</v>
      </c>
      <c r="C19" s="23">
        <f t="array" ref="C19">CORREL(IF(Donnees[Échantillon]="Humour",Donnees[Rang abonnés]),IF(Donnees[Échantillon]="Humour",Donnees[Rang vues]))</f>
        <v>0.28067578540508425</v>
      </c>
      <c r="D19" s="21">
        <f>TDIST(ABS(C19*SQRT((100-2)/(1-C19^2))),100-2,2)</f>
        <v>4.6757515121238716E-3</v>
      </c>
      <c r="E19" s="29">
        <v>100</v>
      </c>
      <c r="F19" s="46" t="s">
        <v>489</v>
      </c>
      <c r="G19" s="46"/>
      <c r="H19" s="46"/>
      <c r="I19" s="46"/>
      <c r="J19" s="46"/>
    </row>
    <row r="20" spans="2:10" ht="18.25" customHeight="1" x14ac:dyDescent="0.2">
      <c r="B20" s="19" t="s">
        <v>490</v>
      </c>
      <c r="C20" s="23">
        <f t="array" ref="C20">CORREL(IF(Donnees[Échantillon]="Humour",Donnees[Rang abonnés]),IF(Donnees[Échantillon]="Humour",Donnees[Rang engagement]))</f>
        <v>-0.31479313666663467</v>
      </c>
      <c r="D20" s="21">
        <f>TDIST(ABS(C20*SQRT((100-2)/(1-C20^2))),100-2,2)</f>
        <v>1.4234110797277223E-3</v>
      </c>
      <c r="E20" s="29">
        <v>100</v>
      </c>
      <c r="F20" s="46" t="s">
        <v>450</v>
      </c>
      <c r="G20" s="46"/>
      <c r="H20" s="46"/>
      <c r="I20" s="46"/>
      <c r="J20" s="46"/>
    </row>
    <row r="21" spans="2:10" ht="18.25" customHeight="1" x14ac:dyDescent="0.2">
      <c r="B21" s="19" t="s">
        <v>491</v>
      </c>
      <c r="C21" s="23">
        <v>0.24704899999999999</v>
      </c>
      <c r="D21" s="21">
        <v>2.8166E-2</v>
      </c>
      <c r="E21" s="29">
        <v>79</v>
      </c>
      <c r="F21" s="46" t="s">
        <v>492</v>
      </c>
      <c r="G21" s="46"/>
      <c r="H21" s="46"/>
      <c r="I21" s="46"/>
      <c r="J21" s="46"/>
    </row>
    <row r="22" spans="2:10" ht="31.5" customHeight="1" x14ac:dyDescent="0.2">
      <c r="B22" s="19" t="s">
        <v>493</v>
      </c>
      <c r="C22" s="23">
        <v>-0.154053</v>
      </c>
      <c r="D22" s="21">
        <v>0.1278976831820261</v>
      </c>
      <c r="E22" s="29">
        <v>100</v>
      </c>
      <c r="F22" s="46" t="s">
        <v>494</v>
      </c>
      <c r="G22" s="46"/>
      <c r="H22" s="46"/>
      <c r="I22" s="46"/>
      <c r="J22" s="46"/>
    </row>
    <row r="23" spans="2:10" ht="31.5" customHeight="1" x14ac:dyDescent="0.2">
      <c r="B23" s="19" t="s">
        <v>495</v>
      </c>
      <c r="C23" s="23">
        <f t="array" ref="C23">CORREL(IF(Donnees[Échantillon]="Humour",Donnees[Rang vues]),IF(Donnees[Échantillon]="Humour",Donnees[Rang engagement]))</f>
        <v>-0.8201347760364498</v>
      </c>
      <c r="D23" s="21">
        <f>TDIST(ABS(C23*SQRT((100-2)/(1-C23^2))),100-2,2)</f>
        <v>1.6855104103349309E-25</v>
      </c>
      <c r="E23" s="29">
        <v>100</v>
      </c>
      <c r="F23" s="46" t="s">
        <v>496</v>
      </c>
      <c r="G23" s="46"/>
      <c r="H23" s="46"/>
      <c r="I23" s="46"/>
      <c r="J23" s="46"/>
    </row>
    <row r="25" spans="2:10" ht="20" customHeight="1" x14ac:dyDescent="0.2">
      <c r="B25" s="45" t="s">
        <v>497</v>
      </c>
      <c r="C25" s="45"/>
      <c r="D25" s="45"/>
      <c r="E25" s="45"/>
      <c r="F25" s="45" t="s">
        <v>498</v>
      </c>
      <c r="G25" s="45"/>
      <c r="H25" s="45"/>
      <c r="I25" s="45"/>
      <c r="J25" s="45"/>
    </row>
    <row r="26" spans="2:10" ht="31.5" customHeight="1" x14ac:dyDescent="0.2">
      <c r="B26" s="46" t="s">
        <v>499</v>
      </c>
      <c r="C26" s="46"/>
      <c r="D26" s="46"/>
      <c r="E26" s="46"/>
      <c r="F26" s="46" t="s">
        <v>500</v>
      </c>
      <c r="G26" s="46"/>
      <c r="H26" s="46"/>
      <c r="I26" s="46"/>
      <c r="J26" s="46"/>
    </row>
    <row r="27" spans="2:10" ht="31.5" customHeight="1" x14ac:dyDescent="0.2">
      <c r="B27" s="46" t="s">
        <v>501</v>
      </c>
      <c r="C27" s="46"/>
      <c r="D27" s="46"/>
      <c r="E27" s="46"/>
      <c r="F27" s="46" t="s">
        <v>502</v>
      </c>
      <c r="G27" s="46"/>
      <c r="H27" s="46"/>
      <c r="I27" s="46"/>
      <c r="J27" s="46"/>
    </row>
    <row r="28" spans="2:10" ht="18.25" customHeight="1" x14ac:dyDescent="0.2">
      <c r="B28" s="46" t="s">
        <v>503</v>
      </c>
      <c r="C28" s="46"/>
      <c r="D28" s="46"/>
      <c r="E28" s="46"/>
      <c r="F28" s="46" t="s">
        <v>504</v>
      </c>
      <c r="G28" s="46"/>
      <c r="H28" s="46"/>
      <c r="I28" s="46"/>
      <c r="J28" s="46"/>
    </row>
    <row r="29" spans="2:10" ht="31.5" customHeight="1" x14ac:dyDescent="0.2">
      <c r="B29" s="46" t="s">
        <v>505</v>
      </c>
      <c r="C29" s="46"/>
      <c r="D29" s="46"/>
      <c r="E29" s="46"/>
      <c r="F29" s="46" t="s">
        <v>506</v>
      </c>
      <c r="G29" s="46"/>
      <c r="H29" s="46"/>
      <c r="I29" s="46"/>
      <c r="J29" s="46"/>
    </row>
    <row r="31" spans="2:10" ht="20" customHeight="1" x14ac:dyDescent="0.2">
      <c r="B31" s="45" t="s">
        <v>507</v>
      </c>
      <c r="C31" s="45"/>
      <c r="D31" s="45"/>
      <c r="E31" s="45"/>
      <c r="F31" s="45"/>
      <c r="G31" s="45"/>
      <c r="H31" s="45"/>
      <c r="I31" s="45"/>
      <c r="J31" s="45"/>
    </row>
    <row r="57" spans="2:10" ht="20" customHeight="1" x14ac:dyDescent="0.2">
      <c r="B57" s="45" t="s">
        <v>508</v>
      </c>
      <c r="C57" s="45"/>
      <c r="D57" s="45"/>
      <c r="E57" s="45"/>
      <c r="F57" s="45"/>
      <c r="G57" s="45"/>
      <c r="H57" s="45"/>
      <c r="I57" s="45"/>
      <c r="J57" s="45"/>
    </row>
    <row r="59" spans="2:10" x14ac:dyDescent="0.2">
      <c r="B59" s="51" t="s">
        <v>0</v>
      </c>
      <c r="C59" t="s">
        <v>237</v>
      </c>
    </row>
    <row r="61" spans="2:10" x14ac:dyDescent="0.2">
      <c r="C61" s="51" t="s">
        <v>605</v>
      </c>
    </row>
    <row r="62" spans="2:10" x14ac:dyDescent="0.2">
      <c r="B62" s="51" t="s">
        <v>476</v>
      </c>
      <c r="C62" t="s">
        <v>324</v>
      </c>
      <c r="D62" t="s">
        <v>457</v>
      </c>
      <c r="E62" t="s">
        <v>603</v>
      </c>
    </row>
    <row r="63" spans="2:10" x14ac:dyDescent="0.2">
      <c r="B63" s="52" t="s">
        <v>249</v>
      </c>
      <c r="C63" s="54">
        <v>28</v>
      </c>
      <c r="D63" s="53">
        <v>0.42857142857142855</v>
      </c>
      <c r="E63" s="55">
        <v>0.18807504572350062</v>
      </c>
    </row>
    <row r="64" spans="2:10" x14ac:dyDescent="0.2">
      <c r="B64" s="52" t="s">
        <v>242</v>
      </c>
      <c r="C64" s="54">
        <v>21</v>
      </c>
      <c r="D64" s="53">
        <v>0.2857142857142857</v>
      </c>
      <c r="E64" s="55">
        <v>0.14912613624538865</v>
      </c>
    </row>
    <row r="65" spans="2:5" x14ac:dyDescent="0.2">
      <c r="B65" s="52" t="s">
        <v>239</v>
      </c>
      <c r="C65" s="54">
        <v>31</v>
      </c>
      <c r="D65" s="53">
        <v>0.16129032258064516</v>
      </c>
      <c r="E65" s="55">
        <v>0.16056141205718008</v>
      </c>
    </row>
    <row r="66" spans="2:5" x14ac:dyDescent="0.2">
      <c r="B66" s="52" t="s">
        <v>243</v>
      </c>
      <c r="C66" s="54">
        <v>20</v>
      </c>
      <c r="D66" s="53">
        <v>0.1</v>
      </c>
      <c r="E66" s="55">
        <v>0.14459139614319305</v>
      </c>
    </row>
    <row r="67" spans="2:5" x14ac:dyDescent="0.2">
      <c r="B67" s="52" t="s">
        <v>602</v>
      </c>
      <c r="C67" s="54">
        <v>100</v>
      </c>
      <c r="D67" s="53">
        <v>0.25</v>
      </c>
      <c r="E67" s="55">
        <v>0.1626698183804762</v>
      </c>
    </row>
  </sheetData>
  <sheetProtection algorithmName="SHA-512" hashValue="erc5g4xPndStHy4SCXsL58eCv+OyICNLouTd7ItV9WB+3QONQqiy553LwU1CCG1r5uOUzQEVU5IFzWvWxAAbcQ==" saltValue="ybBsyzjhtbbl+VPR67ZFUg==" spinCount="100000" sheet="1" objects="1" scenarios="1"/>
  <mergeCells count="25">
    <mergeCell ref="B29:E29"/>
    <mergeCell ref="F29:J29"/>
    <mergeCell ref="B31:J31"/>
    <mergeCell ref="B57:J57"/>
    <mergeCell ref="B26:E26"/>
    <mergeCell ref="F26:J26"/>
    <mergeCell ref="B27:E27"/>
    <mergeCell ref="F27:J27"/>
    <mergeCell ref="B28:E28"/>
    <mergeCell ref="F28:J28"/>
    <mergeCell ref="F21:J21"/>
    <mergeCell ref="F22:J22"/>
    <mergeCell ref="F23:J23"/>
    <mergeCell ref="B25:E25"/>
    <mergeCell ref="F25:J25"/>
    <mergeCell ref="B9:J9"/>
    <mergeCell ref="B17:J17"/>
    <mergeCell ref="F18:J18"/>
    <mergeCell ref="F19:J19"/>
    <mergeCell ref="F20:J20"/>
    <mergeCell ref="B2:J2"/>
    <mergeCell ref="B4:J4"/>
    <mergeCell ref="B5:H5"/>
    <mergeCell ref="B6:H6"/>
    <mergeCell ref="B7:H7"/>
  </mergeCells>
  <pageMargins left="0.7" right="0.7" top="0.75" bottom="0.75" header="0.3" footer="0.3"/>
  <pageSetup fitToHeight="0" orientation="landscape"/>
  <rowBreaks count="1" manualBreakCount="1">
    <brk id="3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K106"/>
  <sheetViews>
    <sheetView showGridLines="0" zoomScale="90" zoomScaleNormal="90" workbookViewId="0"/>
  </sheetViews>
  <sheetFormatPr baseColWidth="10" defaultColWidth="8.83203125" defaultRowHeight="15" x14ac:dyDescent="0.2"/>
  <cols>
    <col min="1" max="1" width="2.33203125" customWidth="1"/>
    <col min="2" max="2" width="20.83203125" bestFit="1" customWidth="1"/>
    <col min="3" max="3" width="12.5" bestFit="1" customWidth="1"/>
    <col min="4" max="4" width="15.6640625" bestFit="1" customWidth="1"/>
    <col min="5" max="5" width="9" bestFit="1" customWidth="1"/>
    <col min="6" max="6" width="10" bestFit="1" customWidth="1"/>
    <col min="7" max="10" width="13.6640625" customWidth="1"/>
    <col min="11" max="11" width="62.6640625" customWidth="1"/>
  </cols>
  <sheetData>
    <row r="1" spans="2:11" ht="30" customHeight="1" x14ac:dyDescent="0.2">
      <c r="B1" s="1" t="s">
        <v>509</v>
      </c>
    </row>
    <row r="2" spans="2:11" ht="30" customHeight="1" x14ac:dyDescent="0.2">
      <c r="B2" s="44" t="s">
        <v>510</v>
      </c>
      <c r="C2" s="44"/>
      <c r="D2" s="44"/>
      <c r="E2" s="44"/>
      <c r="F2" s="44"/>
      <c r="G2" s="44"/>
      <c r="H2" s="44"/>
      <c r="I2" s="44"/>
      <c r="J2" s="44"/>
      <c r="K2" s="44"/>
    </row>
    <row r="4" spans="2:11" ht="20" customHeight="1" x14ac:dyDescent="0.2">
      <c r="B4" s="45" t="s">
        <v>511</v>
      </c>
      <c r="C4" s="45"/>
      <c r="D4" s="45"/>
      <c r="E4" s="45"/>
      <c r="F4" s="45"/>
      <c r="G4" s="45"/>
      <c r="H4" s="45"/>
      <c r="I4" s="45"/>
      <c r="J4" s="45"/>
      <c r="K4" s="45"/>
    </row>
    <row r="5" spans="2:11" ht="32" customHeight="1" x14ac:dyDescent="0.2">
      <c r="B5" s="3" t="s">
        <v>512</v>
      </c>
      <c r="C5" s="2" t="s">
        <v>477</v>
      </c>
      <c r="D5" s="2" t="s">
        <v>324</v>
      </c>
      <c r="E5" s="2" t="s">
        <v>513</v>
      </c>
      <c r="F5" s="2" t="s">
        <v>514</v>
      </c>
      <c r="G5" s="2" t="s">
        <v>323</v>
      </c>
      <c r="H5" s="2" t="s">
        <v>457</v>
      </c>
      <c r="I5" s="48" t="s">
        <v>487</v>
      </c>
      <c r="J5" s="48"/>
      <c r="K5" s="48"/>
    </row>
    <row r="6" spans="2:11" ht="22" customHeight="1" x14ac:dyDescent="0.2">
      <c r="B6" s="33" t="s">
        <v>67</v>
      </c>
      <c r="C6" s="29">
        <f t="array" ref="C6">SUM(IF((Donnees[Thème]="Animaux")*(Donnees[Échantillon]&lt;&gt;"Likées par @tiktok"),1/COUNTIFS(Donnees[Créateur],Donnees[Créateur],Donnees[Échantillon],"&lt;&gt;Likées par @tiktok")))</f>
        <v>33</v>
      </c>
      <c r="D6" s="29">
        <f>COUNTIFS(Donnees[Thème],"Animaux",Donnees[Échantillon],"&lt;&gt;Likées par @tiktok",Donnees[Compté dans les cumuls],"Oui")</f>
        <v>34</v>
      </c>
      <c r="E6" s="31">
        <f>SUMIFS(Donnees[Vues],Donnees[Thème],"Animaux",Donnees[Échantillon],"&lt;&gt;Likées par @tiktok",Donnees[Compté dans les cumuls],"Oui")</f>
        <v>1664891300</v>
      </c>
      <c r="F6" s="28">
        <f>E6/SUM($E$6:$E$10)</f>
        <v>0.18257807221836675</v>
      </c>
      <c r="G6" s="28">
        <f t="array" ref="G6">MEDIAN(IF((Donnees[Thème]="Animaux")*(Donnees[Échantillon]&lt;&gt;"Likées par @tiktok")*(Donnees[Compté dans les cumuls]="Oui"),Donnees[Engagement]))</f>
        <v>0.12163461538461538</v>
      </c>
      <c r="H6" s="27">
        <f>AVERAGEIFS(Donnees[Top performer],Donnees[Thème],"Animaux",Donnees[Échantillon],"&lt;&gt;Likées par @tiktok",Donnees[Compté dans les cumuls],"Oui")</f>
        <v>0.23529411764705882</v>
      </c>
      <c r="I6" s="46" t="s">
        <v>515</v>
      </c>
      <c r="J6" s="46"/>
      <c r="K6" s="46"/>
    </row>
    <row r="7" spans="2:11" ht="22" customHeight="1" x14ac:dyDescent="0.2">
      <c r="B7" s="34" t="s">
        <v>62</v>
      </c>
      <c r="C7" s="29">
        <f t="array" ref="C7">SUM(IF((Donnees[Thème]="Famille &amp; enfants")*(Donnees[Échantillon]&lt;&gt;"Likées par @tiktok"),1/COUNTIFS(Donnees[Créateur],Donnees[Créateur],Donnees[Échantillon],"&lt;&gt;Likées par @tiktok")))</f>
        <v>23.999999999999993</v>
      </c>
      <c r="D7" s="29">
        <f>COUNTIFS(Donnees[Thème],"Famille &amp; enfants",Donnees[Échantillon],"&lt;&gt;Likées par @tiktok",Donnees[Compté dans les cumuls],"Oui")</f>
        <v>30</v>
      </c>
      <c r="E7" s="31">
        <f>SUMIFS(Donnees[Vues],Donnees[Thème],"Famille &amp; enfants",Donnees[Échantillon],"&lt;&gt;Likées par @tiktok",Donnees[Compté dans les cumuls],"Oui")</f>
        <v>1356700000</v>
      </c>
      <c r="F7" s="28">
        <f>E7/SUM($E$6:$E$10)</f>
        <v>0.14878068651007917</v>
      </c>
      <c r="G7" s="28">
        <f t="array" ref="G7">MEDIAN(IF((Donnees[Thème]="Famille &amp; enfants")*(Donnees[Échantillon]&lt;&gt;"Likées par @tiktok")*(Donnees[Compté dans les cumuls]="Oui"),Donnees[Engagement]))</f>
        <v>0.15176602887642227</v>
      </c>
      <c r="H7" s="27">
        <f>AVERAGEIFS(Donnees[Top performer],Donnees[Thème],"Famille &amp; enfants",Donnees[Échantillon],"&lt;&gt;Likées par @tiktok",Donnees[Compté dans les cumuls],"Oui")</f>
        <v>0.23333333333333334</v>
      </c>
      <c r="I7" s="46" t="s">
        <v>516</v>
      </c>
      <c r="J7" s="46"/>
      <c r="K7" s="46"/>
    </row>
    <row r="8" spans="2:11" ht="22" customHeight="1" x14ac:dyDescent="0.2">
      <c r="B8" s="35" t="s">
        <v>50</v>
      </c>
      <c r="C8" s="29">
        <f t="array" ref="C8">SUM(IF((Donnees[Thème]="Humour &amp; sketchs")*(Donnees[Échantillon]&lt;&gt;"Likées par @tiktok"),1/COUNTIFS(Donnees[Créateur],Donnees[Créateur],Donnees[Échantillon],"&lt;&gt;Likées par @tiktok")))</f>
        <v>51</v>
      </c>
      <c r="D8" s="29">
        <f>COUNTIFS(Donnees[Thème],"Humour &amp; sketchs",Donnees[Échantillon],"&lt;&gt;Likées par @tiktok",Donnees[Compté dans les cumuls],"Oui")</f>
        <v>65</v>
      </c>
      <c r="E8" s="31">
        <f>SUMIFS(Donnees[Vues],Donnees[Thème],"Humour &amp; sketchs",Donnees[Échantillon],"&lt;&gt;Likées par @tiktok",Donnees[Compté dans les cumuls],"Oui")</f>
        <v>3682637500</v>
      </c>
      <c r="F8" s="28">
        <f>E8/SUM($E$6:$E$10)</f>
        <v>0.40385150395648389</v>
      </c>
      <c r="G8" s="28">
        <f t="array" ref="G8">MEDIAN(IF((Donnees[Thème]="Humour &amp; sketchs")*(Donnees[Échantillon]&lt;&gt;"Likées par @tiktok")*(Donnees[Compté dans les cumuls]="Oui"),Donnees[Engagement]))</f>
        <v>0.15936127744510978</v>
      </c>
      <c r="H8" s="27">
        <f>AVERAGEIFS(Donnees[Top performer],Donnees[Thème],"Humour &amp; sketchs",Donnees[Échantillon],"&lt;&gt;Likées par @tiktok",Donnees[Compté dans les cumuls],"Oui")</f>
        <v>0.24615384615384617</v>
      </c>
      <c r="I8" s="46" t="s">
        <v>517</v>
      </c>
      <c r="J8" s="46"/>
      <c r="K8" s="46"/>
    </row>
    <row r="9" spans="2:11" ht="22" customHeight="1" x14ac:dyDescent="0.2">
      <c r="B9" s="36" t="s">
        <v>46</v>
      </c>
      <c r="C9" s="29">
        <f t="array" ref="C9">SUM(IF((Donnees[Thème]="Lifestyle, musique &amp; sport")*(Donnees[Échantillon]&lt;&gt;"Likées par @tiktok"),1/COUNTIFS(Donnees[Créateur],Donnees[Créateur],Donnees[Échantillon],"&lt;&gt;Likées par @tiktok")))</f>
        <v>26</v>
      </c>
      <c r="D9" s="29">
        <f>COUNTIFS(Donnees[Thème],"Lifestyle, musique &amp; sport",Donnees[Échantillon],"&lt;&gt;Likées par @tiktok",Donnees[Compté dans les cumuls],"Oui")</f>
        <v>33</v>
      </c>
      <c r="E9" s="31">
        <f>SUMIFS(Donnees[Vues],Donnees[Thème],"Lifestyle, musique &amp; sport",Donnees[Échantillon],"&lt;&gt;Likées par @tiktok",Donnees[Compté dans les cumuls],"Oui")</f>
        <v>1648700000</v>
      </c>
      <c r="F9" s="28">
        <f>E9/SUM($E$6:$E$10)</f>
        <v>0.18080247501228536</v>
      </c>
      <c r="G9" s="28">
        <f t="array" ref="G9">MEDIAN(IF((Donnees[Thème]="Lifestyle, musique &amp; sport")*(Donnees[Échantillon]&lt;&gt;"Likées par @tiktok")*(Donnees[Compté dans les cumuls]="Oui"),Donnees[Engagement]))</f>
        <v>0.13837275132275131</v>
      </c>
      <c r="H9" s="27">
        <f>AVERAGEIFS(Donnees[Top performer],Donnees[Thème],"Lifestyle, musique &amp; sport",Donnees[Échantillon],"&lt;&gt;Likées par @tiktok",Donnees[Compté dans les cumuls],"Oui")</f>
        <v>0.30303030303030304</v>
      </c>
      <c r="I9" s="46" t="s">
        <v>518</v>
      </c>
      <c r="J9" s="46"/>
      <c r="K9" s="46"/>
    </row>
    <row r="10" spans="2:11" ht="22" customHeight="1" x14ac:dyDescent="0.2">
      <c r="B10" s="37" t="s">
        <v>39</v>
      </c>
      <c r="C10" s="29">
        <f t="array" ref="C10">SUM(IF((Donnees[Thème]="Sujet non déclaré")*(Donnees[Échantillon]&lt;&gt;"Likées par @tiktok"),1/COUNTIFS(Donnees[Créateur],Donnees[Créateur],Donnees[Échantillon],"&lt;&gt;Likées par @tiktok")))</f>
        <v>24</v>
      </c>
      <c r="D10" s="29">
        <f>COUNTIFS(Donnees[Thème],"Sujet non déclaré",Donnees[Échantillon],"&lt;&gt;Likées par @tiktok",Donnees[Compté dans les cumuls],"Oui")</f>
        <v>37</v>
      </c>
      <c r="E10" s="31">
        <f>SUMIFS(Donnees[Vues],Donnees[Thème],"Sujet non déclaré",Donnees[Échantillon],"&lt;&gt;Likées par @tiktok",Donnees[Compté dans les cumuls],"Oui")</f>
        <v>765862300</v>
      </c>
      <c r="F10" s="28">
        <f>E10/SUM($E$6:$E$10)</f>
        <v>8.3987262302784846E-2</v>
      </c>
      <c r="G10" s="28">
        <f t="array" ref="G10">MEDIAN(IF((Donnees[Thème]="Sujet non déclaré")*(Donnees[Échantillon]&lt;&gt;"Likées par @tiktok")*(Donnees[Compté dans les cumuls]="Oui"),Donnees[Engagement]))</f>
        <v>0.10046012269938651</v>
      </c>
      <c r="H10" s="27">
        <f>AVERAGEIFS(Donnees[Top performer],Donnees[Thème],"Sujet non déclaré",Donnees[Échantillon],"&lt;&gt;Likées par @tiktok",Donnees[Compté dans les cumuls],"Oui")</f>
        <v>0.24324324324324326</v>
      </c>
      <c r="I10" s="46" t="s">
        <v>519</v>
      </c>
      <c r="J10" s="46"/>
      <c r="K10" s="46"/>
    </row>
    <row r="11" spans="2:11" ht="30" customHeight="1" x14ac:dyDescent="0.2">
      <c r="B11" s="47" t="s">
        <v>520</v>
      </c>
      <c r="C11" s="47"/>
      <c r="D11" s="47"/>
      <c r="E11" s="47"/>
      <c r="F11" s="47"/>
      <c r="G11" s="47"/>
      <c r="H11" s="47"/>
      <c r="I11" s="47"/>
      <c r="J11" s="47"/>
      <c r="K11" s="47"/>
    </row>
    <row r="14" spans="2:11" ht="20" customHeight="1" x14ac:dyDescent="0.2">
      <c r="B14" s="45" t="s">
        <v>521</v>
      </c>
      <c r="C14" s="45"/>
      <c r="D14" s="45"/>
      <c r="E14" s="45"/>
      <c r="F14" s="45"/>
      <c r="G14" s="45"/>
      <c r="H14" s="45"/>
      <c r="I14" s="45"/>
      <c r="J14" s="45"/>
      <c r="K14" s="45"/>
    </row>
    <row r="15" spans="2:11" ht="32" customHeight="1" x14ac:dyDescent="0.2">
      <c r="B15" s="3" t="s">
        <v>512</v>
      </c>
      <c r="C15" s="2" t="s">
        <v>1</v>
      </c>
      <c r="D15" s="2" t="s">
        <v>522</v>
      </c>
      <c r="E15" s="2" t="s">
        <v>0</v>
      </c>
      <c r="F15" s="2" t="s">
        <v>324</v>
      </c>
      <c r="G15" s="2" t="s">
        <v>325</v>
      </c>
      <c r="H15" s="2" t="s">
        <v>323</v>
      </c>
      <c r="I15" s="2" t="s">
        <v>523</v>
      </c>
      <c r="J15" s="2" t="s">
        <v>19</v>
      </c>
      <c r="K15" s="2" t="s">
        <v>334</v>
      </c>
    </row>
    <row r="16" spans="2:11" ht="31.5" customHeight="1" x14ac:dyDescent="0.2">
      <c r="B16" s="7" t="s">
        <v>67</v>
      </c>
      <c r="C16" s="19" t="s">
        <v>100</v>
      </c>
      <c r="D16" s="29">
        <v>1</v>
      </c>
      <c r="E16" s="10" t="s">
        <v>37</v>
      </c>
      <c r="F16" s="29">
        <f>COUNTIFS(Donnees[Créateur],"@www9781",Donnees[Échantillon],"Tendances")</f>
        <v>1</v>
      </c>
      <c r="G16" s="31">
        <f t="array" ref="G16">MEDIAN(IF((Donnees[Créateur]="@www9781")*(Donnees[Échantillon]="Tendances"),Donnees[Vues]))</f>
        <v>11400000</v>
      </c>
      <c r="H16" s="28">
        <f t="array" ref="H16">MEDIAN(IF((Donnees[Créateur]="@www9781")*(Donnees[Échantillon]="Tendances"),Donnees[Engagement]))</f>
        <v>0.19607894736842105</v>
      </c>
      <c r="I16" s="38">
        <f>H16/VLOOKUP(E16,'Méthode &amp; limites'!$B$9:$D$11,3,FALSE)</f>
        <v>1.8364300097629485</v>
      </c>
      <c r="J16" s="10" t="s">
        <v>354</v>
      </c>
      <c r="K16" s="7" t="s">
        <v>524</v>
      </c>
    </row>
    <row r="17" spans="2:11" ht="31.5" customHeight="1" x14ac:dyDescent="0.2">
      <c r="B17" s="7" t="s">
        <v>67</v>
      </c>
      <c r="C17" s="19" t="s">
        <v>98</v>
      </c>
      <c r="D17" s="29">
        <v>2</v>
      </c>
      <c r="E17" s="10" t="s">
        <v>37</v>
      </c>
      <c r="F17" s="29">
        <f>COUNTIFS(Donnees[Créateur],"@thepetcollective",Donnees[Échantillon],"Tendances")</f>
        <v>1</v>
      </c>
      <c r="G17" s="31">
        <f t="array" ref="G17">MEDIAN(IF((Donnees[Créateur]="@thepetcollective")*(Donnees[Échantillon]="Tendances"),Donnees[Vues]))</f>
        <v>13200000</v>
      </c>
      <c r="H17" s="28">
        <f t="array" ref="H17">MEDIAN(IF((Donnees[Créateur]="@thepetcollective")*(Donnees[Échantillon]="Tendances"),Donnees[Engagement]))</f>
        <v>0.17941666666666667</v>
      </c>
      <c r="I17" s="38">
        <f>H17/VLOOKUP(E17,'Méthode &amp; limites'!$B$9:$D$11,3,FALSE)</f>
        <v>1.680374947644006</v>
      </c>
      <c r="J17" s="10" t="s">
        <v>354</v>
      </c>
      <c r="K17" s="7" t="s">
        <v>525</v>
      </c>
    </row>
    <row r="18" spans="2:11" ht="31.5" customHeight="1" x14ac:dyDescent="0.2">
      <c r="B18" s="7" t="s">
        <v>67</v>
      </c>
      <c r="C18" s="19" t="s">
        <v>269</v>
      </c>
      <c r="D18" s="29">
        <v>3</v>
      </c>
      <c r="E18" s="10" t="s">
        <v>237</v>
      </c>
      <c r="F18" s="29">
        <f>COUNTIFS(Donnees[Créateur],"@ttmmff100",Donnees[Échantillon],"Humour")</f>
        <v>1</v>
      </c>
      <c r="G18" s="31">
        <f t="array" ref="G18">MEDIAN(IF((Donnees[Créateur]="@ttmmff100")*(Donnees[Échantillon]="Humour"),Donnees[Vues]))</f>
        <v>59400000</v>
      </c>
      <c r="H18" s="28">
        <f t="array" ref="H18">MEDIAN(IF((Donnees[Créateur]="@ttmmff100")*(Donnees[Échantillon]="Humour"),Donnees[Engagement]))</f>
        <v>0.2334107744107744</v>
      </c>
      <c r="I18" s="38">
        <f>H18/VLOOKUP(E18,'Méthode &amp; limites'!$B$9:$D$11,3,FALSE)</f>
        <v>1.4277004261868267</v>
      </c>
      <c r="J18" s="31">
        <f>AVERAGEIFS(Donnees[Abonnés],Donnees[Créateur],"@ttmmff100",Donnees[Échantillon],"Humour")</f>
        <v>168400</v>
      </c>
      <c r="K18" s="7" t="s">
        <v>526</v>
      </c>
    </row>
    <row r="19" spans="2:11" ht="31.5" customHeight="1" x14ac:dyDescent="0.2">
      <c r="B19" s="7" t="s">
        <v>62</v>
      </c>
      <c r="C19" s="19" t="s">
        <v>77</v>
      </c>
      <c r="D19" s="29">
        <v>1</v>
      </c>
      <c r="E19" s="10" t="s">
        <v>37</v>
      </c>
      <c r="F19" s="29">
        <f>COUNTIFS(Donnees[Créateur],"@hayndkay_mom",Donnees[Échantillon],"Tendances")</f>
        <v>1</v>
      </c>
      <c r="G19" s="31">
        <f t="array" ref="G19">MEDIAN(IF((Donnees[Créateur]="@hayndkay_mom")*(Donnees[Échantillon]="Tendances"),Donnees[Vues]))</f>
        <v>33500000</v>
      </c>
      <c r="H19" s="28">
        <f t="array" ref="H19">MEDIAN(IF((Donnees[Créateur]="@hayndkay_mom")*(Donnees[Échantillon]="Tendances"),Donnees[Engagement]))</f>
        <v>0.17048358208955225</v>
      </c>
      <c r="I19" s="38">
        <f>H19/VLOOKUP(E19,'Méthode &amp; limites'!$B$9:$D$11,3,FALSE)</f>
        <v>1.5967097463700546</v>
      </c>
      <c r="J19" s="10" t="s">
        <v>354</v>
      </c>
      <c r="K19" s="7" t="s">
        <v>527</v>
      </c>
    </row>
    <row r="20" spans="2:11" ht="31.5" customHeight="1" x14ac:dyDescent="0.2">
      <c r="B20" s="7" t="s">
        <v>62</v>
      </c>
      <c r="C20" s="19" t="s">
        <v>86</v>
      </c>
      <c r="D20" s="29">
        <v>2</v>
      </c>
      <c r="E20" s="10" t="s">
        <v>37</v>
      </c>
      <c r="F20" s="29">
        <f>COUNTIFS(Donnees[Créateur],"@relaxedbryan",Donnees[Échantillon],"Tendances")</f>
        <v>1</v>
      </c>
      <c r="G20" s="31">
        <f t="array" ref="G20">MEDIAN(IF((Donnees[Créateur]="@relaxedbryan")*(Donnees[Échantillon]="Tendances"),Donnees[Vues]))</f>
        <v>25000000</v>
      </c>
      <c r="H20" s="28">
        <f t="array" ref="H20">MEDIAN(IF((Donnees[Créateur]="@relaxedbryan")*(Donnees[Échantillon]="Tendances"),Donnees[Engagement]))</f>
        <v>0.16617599999999999</v>
      </c>
      <c r="I20" s="38">
        <f>H20/VLOOKUP(E20,'Méthode &amp; limites'!$B$9:$D$11,3,FALSE)</f>
        <v>1.5563659301422592</v>
      </c>
      <c r="J20" s="10" t="s">
        <v>354</v>
      </c>
      <c r="K20" s="7" t="s">
        <v>528</v>
      </c>
    </row>
    <row r="21" spans="2:11" ht="31.5" customHeight="1" x14ac:dyDescent="0.2">
      <c r="B21" s="7" t="s">
        <v>62</v>
      </c>
      <c r="C21" s="19" t="s">
        <v>79</v>
      </c>
      <c r="D21" s="29">
        <v>3</v>
      </c>
      <c r="E21" s="10" t="s">
        <v>37</v>
      </c>
      <c r="F21" s="29">
        <f>COUNTIFS(Donnees[Créateur],"@momma_mandy_plus7",Donnees[Échantillon],"Tendances")</f>
        <v>1</v>
      </c>
      <c r="G21" s="31">
        <f t="array" ref="G21">MEDIAN(IF((Donnees[Créateur]="@momma_mandy_plus7")*(Donnees[Échantillon]="Tendances"),Donnees[Vues]))</f>
        <v>32200000</v>
      </c>
      <c r="H21" s="28">
        <f t="array" ref="H21">MEDIAN(IF((Donnees[Créateur]="@momma_mandy_plus7")*(Donnees[Échantillon]="Tendances"),Donnees[Engagement]))</f>
        <v>0.16485403726708076</v>
      </c>
      <c r="I21" s="38">
        <f>H21/VLOOKUP(E21,'Méthode &amp; limites'!$B$9:$D$11,3,FALSE)</f>
        <v>1.5439847333482983</v>
      </c>
      <c r="J21" s="10" t="s">
        <v>354</v>
      </c>
      <c r="K21" s="7" t="s">
        <v>529</v>
      </c>
    </row>
    <row r="22" spans="2:11" ht="31.5" customHeight="1" x14ac:dyDescent="0.2">
      <c r="B22" s="7" t="s">
        <v>50</v>
      </c>
      <c r="C22" s="19" t="s">
        <v>53</v>
      </c>
      <c r="D22" s="29">
        <v>1</v>
      </c>
      <c r="E22" s="10" t="s">
        <v>37</v>
      </c>
      <c r="F22" s="29">
        <f>COUNTIFS(Donnees[Créateur],"@hassankhadair",Donnees[Échantillon],"Tendances")</f>
        <v>1</v>
      </c>
      <c r="G22" s="31">
        <f t="array" ref="G22">MEDIAN(IF((Donnees[Créateur]="@hassankhadair")*(Donnees[Échantillon]="Tendances"),Donnees[Vues]))</f>
        <v>106000000</v>
      </c>
      <c r="H22" s="28">
        <f t="array" ref="H22">MEDIAN(IF((Donnees[Créateur]="@hassankhadair")*(Donnees[Échantillon]="Tendances"),Donnees[Engagement]))</f>
        <v>0.14754811320754718</v>
      </c>
      <c r="I22" s="38">
        <f>H22/VLOOKUP(E22,'Méthode &amp; limites'!$B$9:$D$11,3,FALSE)</f>
        <v>1.381901456606246</v>
      </c>
      <c r="J22" s="10" t="s">
        <v>354</v>
      </c>
      <c r="K22" s="7" t="s">
        <v>530</v>
      </c>
    </row>
    <row r="23" spans="2:11" ht="31.5" customHeight="1" x14ac:dyDescent="0.2">
      <c r="B23" s="7" t="s">
        <v>50</v>
      </c>
      <c r="C23" s="19" t="s">
        <v>60</v>
      </c>
      <c r="D23" s="29">
        <v>2</v>
      </c>
      <c r="E23" s="10" t="s">
        <v>37</v>
      </c>
      <c r="F23" s="29">
        <f>COUNTIFS(Donnees[Créateur],"@khaby.lame",Donnees[Échantillon],"Tendances")</f>
        <v>1</v>
      </c>
      <c r="G23" s="31">
        <f t="array" ref="G23">MEDIAN(IF((Donnees[Créateur]="@khaby.lame")*(Donnees[Échantillon]="Tendances"),Donnees[Vues]))</f>
        <v>84500000</v>
      </c>
      <c r="H23" s="28">
        <f t="array" ref="H23">MEDIAN(IF((Donnees[Créateur]="@khaby.lame")*(Donnees[Échantillon]="Tendances"),Donnees[Engagement]))</f>
        <v>0.14416449704142012</v>
      </c>
      <c r="I23" s="38">
        <f>H23/VLOOKUP(E23,'Méthode &amp; limites'!$B$9:$D$11,3,FALSE)</f>
        <v>1.3502112912295445</v>
      </c>
      <c r="J23" s="10" t="s">
        <v>354</v>
      </c>
      <c r="K23" s="7" t="s">
        <v>531</v>
      </c>
    </row>
    <row r="24" spans="2:11" ht="31.5" customHeight="1" x14ac:dyDescent="0.2">
      <c r="B24" s="7" t="s">
        <v>50</v>
      </c>
      <c r="C24" s="19" t="s">
        <v>261</v>
      </c>
      <c r="D24" s="29">
        <v>3</v>
      </c>
      <c r="E24" s="10" t="s">
        <v>237</v>
      </c>
      <c r="F24" s="29">
        <f>COUNTIFS(Donnees[Créateur],"@crinka11",Donnees[Échantillon],"Humour")</f>
        <v>1</v>
      </c>
      <c r="G24" s="31">
        <f t="array" ref="G24">MEDIAN(IF((Donnees[Créateur]="@crinka11")*(Donnees[Échantillon]="Humour"),Donnees[Vues]))</f>
        <v>73600000</v>
      </c>
      <c r="H24" s="28">
        <f t="array" ref="H24">MEDIAN(IF((Donnees[Créateur]="@crinka11")*(Donnees[Échantillon]="Humour"),Donnees[Engagement]))</f>
        <v>0.20872554347826086</v>
      </c>
      <c r="I24" s="38">
        <f>H24/VLOOKUP(E24,'Méthode &amp; limites'!$B$9:$D$11,3,FALSE)</f>
        <v>1.2767086186670664</v>
      </c>
      <c r="J24" s="31">
        <f>AVERAGEIFS(Donnees[Abonnés],Donnees[Créateur],"@crinka11",Donnees[Échantillon],"Humour")</f>
        <v>1300000</v>
      </c>
      <c r="K24" s="7" t="s">
        <v>532</v>
      </c>
    </row>
    <row r="25" spans="2:11" ht="31.5" customHeight="1" x14ac:dyDescent="0.2">
      <c r="B25" s="7" t="s">
        <v>46</v>
      </c>
      <c r="C25" s="19" t="s">
        <v>91</v>
      </c>
      <c r="D25" s="29">
        <v>1</v>
      </c>
      <c r="E25" s="10" t="s">
        <v>37</v>
      </c>
      <c r="F25" s="29">
        <f>COUNTIFS(Donnees[Créateur],"@bts_official_bighit",Donnees[Échantillon],"Tendances")</f>
        <v>2</v>
      </c>
      <c r="G25" s="31">
        <f t="array" ref="G25">MEDIAN(IF((Donnees[Créateur]="@bts_official_bighit")*(Donnees[Échantillon]="Tendances"),Donnees[Vues]))</f>
        <v>13350000</v>
      </c>
      <c r="H25" s="28">
        <f t="array" ref="H25">MEDIAN(IF((Donnees[Créateur]="@bts_official_bighit")*(Donnees[Échantillon]="Tendances"),Donnees[Engagement]))</f>
        <v>0.37024733171619162</v>
      </c>
      <c r="I25" s="38">
        <f>H25/VLOOKUP(E25,'Méthode &amp; limites'!$B$9:$D$11,3,FALSE)</f>
        <v>3.4676507606944456</v>
      </c>
      <c r="J25" s="10" t="s">
        <v>354</v>
      </c>
      <c r="K25" s="7" t="s">
        <v>533</v>
      </c>
    </row>
    <row r="26" spans="2:11" ht="31.5" customHeight="1" x14ac:dyDescent="0.2">
      <c r="B26" s="7" t="s">
        <v>46</v>
      </c>
      <c r="C26" s="19" t="s">
        <v>87</v>
      </c>
      <c r="D26" s="29">
        <v>2</v>
      </c>
      <c r="E26" s="10" t="s">
        <v>37</v>
      </c>
      <c r="F26" s="29">
        <f>COUNTIFS(Donnees[Créateur],"@miakhalifa",Donnees[Échantillon],"Tendances")</f>
        <v>1</v>
      </c>
      <c r="G26" s="31">
        <f t="array" ref="G26">MEDIAN(IF((Donnees[Créateur]="@miakhalifa")*(Donnees[Échantillon]="Tendances"),Donnees[Vues]))</f>
        <v>24900000</v>
      </c>
      <c r="H26" s="28">
        <f t="array" ref="H26">MEDIAN(IF((Donnees[Créateur]="@miakhalifa")*(Donnees[Échantillon]="Tendances"),Donnees[Engagement]))</f>
        <v>0.16186746987951808</v>
      </c>
      <c r="I26" s="38">
        <f>H26/VLOOKUP(E26,'Méthode &amp; limites'!$B$9:$D$11,3,FALSE)</f>
        <v>1.5160132348763378</v>
      </c>
      <c r="J26" s="10" t="s">
        <v>354</v>
      </c>
      <c r="K26" s="7" t="s">
        <v>534</v>
      </c>
    </row>
    <row r="27" spans="2:11" ht="31.5" customHeight="1" x14ac:dyDescent="0.2">
      <c r="B27" s="7" t="s">
        <v>46</v>
      </c>
      <c r="C27" s="19" t="s">
        <v>73</v>
      </c>
      <c r="D27" s="29">
        <v>3</v>
      </c>
      <c r="E27" s="10" t="s">
        <v>37</v>
      </c>
      <c r="F27" s="29">
        <f>COUNTIFS(Donnees[Créateur],"@lights.are.off",Donnees[Échantillon],"Tendances")</f>
        <v>1</v>
      </c>
      <c r="G27" s="31">
        <f t="array" ref="G27">MEDIAN(IF((Donnees[Créateur]="@lights.are.off")*(Donnees[Échantillon]="Tendances"),Donnees[Vues]))</f>
        <v>38200000</v>
      </c>
      <c r="H27" s="28">
        <f t="array" ref="H27">MEDIAN(IF((Donnees[Créateur]="@lights.are.off")*(Donnees[Échantillon]="Tendances"),Donnees[Engagement]))</f>
        <v>0.15597905759162303</v>
      </c>
      <c r="I27" s="38">
        <f>H27/VLOOKUP(E27,'Méthode &amp; limites'!$B$9:$D$11,3,FALSE)</f>
        <v>1.4608637291263444</v>
      </c>
      <c r="J27" s="10" t="s">
        <v>354</v>
      </c>
      <c r="K27" s="7" t="s">
        <v>535</v>
      </c>
    </row>
    <row r="28" spans="2:11" ht="31.5" customHeight="1" x14ac:dyDescent="0.2">
      <c r="B28" s="7" t="s">
        <v>39</v>
      </c>
      <c r="C28" s="19" t="s">
        <v>83</v>
      </c>
      <c r="D28" s="29">
        <v>1</v>
      </c>
      <c r="E28" s="10" t="s">
        <v>37</v>
      </c>
      <c r="F28" s="29">
        <f>COUNTIFS(Donnees[Créateur],"@roses_are_rosie",Donnees[Échantillon],"Tendances")</f>
        <v>3</v>
      </c>
      <c r="G28" s="31">
        <f t="array" ref="G28">MEDIAN(IF((Donnees[Créateur]="@roses_are_rosie")*(Donnees[Échantillon]="Tendances"),Donnees[Vues]))</f>
        <v>25200000</v>
      </c>
      <c r="H28" s="28">
        <f t="array" ref="H28">MEDIAN(IF((Donnees[Créateur]="@roses_are_rosie")*(Donnees[Échantillon]="Tendances"),Donnees[Engagement]))</f>
        <v>0.25304119850187268</v>
      </c>
      <c r="I28" s="38">
        <f>H28/VLOOKUP(E28,'Méthode &amp; limites'!$B$9:$D$11,3,FALSE)</f>
        <v>2.3699252615942079</v>
      </c>
      <c r="J28" s="10" t="s">
        <v>354</v>
      </c>
      <c r="K28" s="7" t="s">
        <v>536</v>
      </c>
    </row>
    <row r="29" spans="2:11" ht="31.5" customHeight="1" x14ac:dyDescent="0.2">
      <c r="B29" s="7" t="s">
        <v>39</v>
      </c>
      <c r="C29" s="19" t="s">
        <v>95</v>
      </c>
      <c r="D29" s="29">
        <v>2</v>
      </c>
      <c r="E29" s="10" t="s">
        <v>37</v>
      </c>
      <c r="F29" s="29">
        <f>COUNTIFS(Donnees[Créateur],"@gagesmellslikecabbage",Donnees[Échantillon],"Tendances")</f>
        <v>1</v>
      </c>
      <c r="G29" s="31">
        <f t="array" ref="G29">MEDIAN(IF((Donnees[Créateur]="@gagesmellslikecabbage")*(Donnees[Échantillon]="Tendances"),Donnees[Vues]))</f>
        <v>14100000</v>
      </c>
      <c r="H29" s="28">
        <f t="array" ref="H29">MEDIAN(IF((Donnees[Créateur]="@gagesmellslikecabbage")*(Donnees[Échantillon]="Tendances"),Donnees[Engagement]))</f>
        <v>0.23800709219858157</v>
      </c>
      <c r="I29" s="38">
        <f>H29/VLOOKUP(E29,'Méthode &amp; limites'!$B$9:$D$11,3,FALSE)</f>
        <v>2.2291193038110189</v>
      </c>
      <c r="J29" s="10" t="s">
        <v>354</v>
      </c>
      <c r="K29" s="7" t="s">
        <v>537</v>
      </c>
    </row>
    <row r="30" spans="2:11" ht="31.5" customHeight="1" x14ac:dyDescent="0.2">
      <c r="B30" s="7" t="s">
        <v>39</v>
      </c>
      <c r="C30" s="19" t="s">
        <v>65</v>
      </c>
      <c r="D30" s="29">
        <v>3</v>
      </c>
      <c r="E30" s="10" t="s">
        <v>37</v>
      </c>
      <c r="F30" s="29">
        <f>COUNTIFS(Donnees[Créateur],"@user4350486101671",Donnees[Échantillon],"Tendances")</f>
        <v>1</v>
      </c>
      <c r="G30" s="31">
        <f t="array" ref="G30">MEDIAN(IF((Donnees[Créateur]="@user4350486101671")*(Donnees[Échantillon]="Tendances"),Donnees[Vues]))</f>
        <v>50500000</v>
      </c>
      <c r="H30" s="28">
        <f t="array" ref="H30">MEDIAN(IF((Donnees[Créateur]="@user4350486101671")*(Donnees[Échantillon]="Tendances"),Donnees[Engagement]))</f>
        <v>0.19853861386138613</v>
      </c>
      <c r="I30" s="38">
        <f>H30/VLOOKUP(E30,'Méthode &amp; limites'!$B$9:$D$11,3,FALSE)</f>
        <v>1.8594666764847576</v>
      </c>
      <c r="J30" s="10" t="s">
        <v>354</v>
      </c>
      <c r="K30" s="7" t="s">
        <v>538</v>
      </c>
    </row>
    <row r="32" spans="2:11" ht="20" customHeight="1" x14ac:dyDescent="0.2">
      <c r="B32" s="45" t="s">
        <v>539</v>
      </c>
      <c r="C32" s="45"/>
      <c r="D32" s="45"/>
      <c r="E32" s="45"/>
      <c r="F32" s="45"/>
      <c r="G32" s="45"/>
      <c r="H32" s="45"/>
      <c r="I32" s="45"/>
      <c r="J32" s="45"/>
      <c r="K32" s="45"/>
    </row>
    <row r="33" spans="2:11" ht="30" customHeight="1" x14ac:dyDescent="0.2">
      <c r="B33" s="3" t="s">
        <v>512</v>
      </c>
      <c r="C33" s="2" t="s">
        <v>1</v>
      </c>
      <c r="D33" s="2" t="s">
        <v>324</v>
      </c>
      <c r="E33" s="2" t="s">
        <v>513</v>
      </c>
      <c r="F33" s="48" t="s">
        <v>540</v>
      </c>
      <c r="G33" s="48"/>
      <c r="H33" s="48"/>
      <c r="I33" s="48"/>
      <c r="J33" s="48"/>
      <c r="K33" s="48"/>
    </row>
    <row r="34" spans="2:11" x14ac:dyDescent="0.2">
      <c r="B34" s="7" t="s">
        <v>67</v>
      </c>
      <c r="C34" s="19" t="s">
        <v>240</v>
      </c>
      <c r="D34" s="29">
        <f>COUNTIFS(Donnees[Créateur],"@funnyvids2k21",Donnees[Échantillon],"&lt;&gt;Likées par @tiktok",Donnees[Compté dans les cumuls],"Oui")</f>
        <v>2</v>
      </c>
      <c r="E34" s="31">
        <f>SUMIFS(Donnees[Vues],Donnees[Créateur],"@funnyvids2k21",Donnees[Échantillon],"&lt;&gt;Likées par @tiktok",Donnees[Compté dans les cumuls],"Oui")</f>
        <v>310100000</v>
      </c>
      <c r="F34" s="46" t="s">
        <v>541</v>
      </c>
      <c r="G34" s="46"/>
      <c r="H34" s="46"/>
      <c r="I34" s="46"/>
      <c r="J34" s="46"/>
      <c r="K34" s="46"/>
    </row>
    <row r="35" spans="2:11" x14ac:dyDescent="0.2">
      <c r="B35" s="7" t="s">
        <v>62</v>
      </c>
      <c r="C35" s="19" t="s">
        <v>61</v>
      </c>
      <c r="D35" s="29">
        <f>COUNTIFS(Donnees[Créateur],"@mercuri_88",Donnees[Échantillon],"&lt;&gt;Likées par @tiktok",Donnees[Compté dans les cumuls],"Oui")</f>
        <v>3</v>
      </c>
      <c r="E35" s="31">
        <f>SUMIFS(Donnees[Vues],Donnees[Créateur],"@mercuri_88",Donnees[Échantillon],"&lt;&gt;Likées par @tiktok",Donnees[Compté dans les cumuls],"Oui")</f>
        <v>215200000</v>
      </c>
      <c r="F35" s="46" t="s">
        <v>542</v>
      </c>
      <c r="G35" s="46"/>
      <c r="H35" s="46"/>
      <c r="I35" s="46"/>
      <c r="J35" s="46"/>
      <c r="K35" s="46"/>
    </row>
    <row r="36" spans="2:11" x14ac:dyDescent="0.2">
      <c r="B36" s="7" t="s">
        <v>50</v>
      </c>
      <c r="C36" s="19" t="s">
        <v>244</v>
      </c>
      <c r="D36" s="29">
        <f>COUNTIFS(Donnees[Créateur],"@samuelgrubbs",Donnees[Échantillon],"&lt;&gt;Likées par @tiktok",Donnees[Compté dans les cumuls],"Oui")</f>
        <v>8</v>
      </c>
      <c r="E36" s="31">
        <f>SUMIFS(Donnees[Vues],Donnees[Créateur],"@samuelgrubbs",Donnees[Échantillon],"&lt;&gt;Likées par @tiktok",Donnees[Compté dans les cumuls],"Oui")</f>
        <v>616200000</v>
      </c>
      <c r="F36" s="46" t="s">
        <v>543</v>
      </c>
      <c r="G36" s="46"/>
      <c r="H36" s="46"/>
      <c r="I36" s="46"/>
      <c r="J36" s="46"/>
      <c r="K36" s="46"/>
    </row>
    <row r="37" spans="2:11" x14ac:dyDescent="0.2">
      <c r="B37" s="7" t="s">
        <v>46</v>
      </c>
      <c r="C37" s="19" t="s">
        <v>45</v>
      </c>
      <c r="D37" s="29">
        <f>COUNTIFS(Donnees[Créateur],"@pimplepom",Donnees[Échantillon],"&lt;&gt;Likées par @tiktok",Donnees[Compté dans les cumuls],"Oui")</f>
        <v>1</v>
      </c>
      <c r="E37" s="31">
        <f>SUMIFS(Donnees[Vues],Donnees[Créateur],"@pimplepom",Donnees[Échantillon],"&lt;&gt;Likées par @tiktok",Donnees[Compté dans les cumuls],"Oui")</f>
        <v>200200000</v>
      </c>
      <c r="F37" s="46" t="s">
        <v>544</v>
      </c>
      <c r="G37" s="46"/>
      <c r="H37" s="46"/>
      <c r="I37" s="46"/>
      <c r="J37" s="46"/>
      <c r="K37" s="46"/>
    </row>
    <row r="38" spans="2:11" x14ac:dyDescent="0.2">
      <c r="B38" s="7" t="s">
        <v>39</v>
      </c>
      <c r="C38" s="19" t="s">
        <v>38</v>
      </c>
      <c r="D38" s="29">
        <f>COUNTIFS(Donnees[Créateur],"@cacha.7.griselda",Donnees[Échantillon],"&lt;&gt;Likées par @tiktok",Donnees[Compté dans les cumuls],"Oui")</f>
        <v>1</v>
      </c>
      <c r="E38" s="31">
        <f>SUMIFS(Donnees[Vues],Donnees[Créateur],"@cacha.7.griselda",Donnees[Échantillon],"&lt;&gt;Likées par @tiktok",Donnees[Compté dans les cumuls],"Oui")</f>
        <v>222300000</v>
      </c>
      <c r="F38" s="46" t="s">
        <v>545</v>
      </c>
      <c r="G38" s="46"/>
      <c r="H38" s="46"/>
      <c r="I38" s="46"/>
      <c r="J38" s="46"/>
      <c r="K38" s="46"/>
    </row>
    <row r="40" spans="2:11" ht="20" customHeight="1" x14ac:dyDescent="0.2">
      <c r="B40" s="45" t="s">
        <v>546</v>
      </c>
      <c r="C40" s="45"/>
      <c r="D40" s="45"/>
      <c r="E40" s="45"/>
      <c r="F40" s="45"/>
      <c r="G40" s="45"/>
      <c r="H40" s="45"/>
      <c r="I40" s="45"/>
      <c r="J40" s="45"/>
      <c r="K40" s="45"/>
    </row>
    <row r="41" spans="2:11" ht="32" customHeight="1" x14ac:dyDescent="0.2">
      <c r="B41" s="49" t="s">
        <v>547</v>
      </c>
      <c r="C41" s="49"/>
      <c r="D41" s="49"/>
      <c r="E41" s="49"/>
      <c r="F41" s="49"/>
      <c r="G41" s="49"/>
      <c r="H41" s="49"/>
      <c r="I41" s="49"/>
      <c r="J41" s="49"/>
      <c r="K41" s="49"/>
    </row>
    <row r="42" spans="2:11" x14ac:dyDescent="0.2">
      <c r="B42" s="3" t="s">
        <v>512</v>
      </c>
      <c r="C42" s="2" t="s">
        <v>548</v>
      </c>
      <c r="D42" s="2" t="s">
        <v>513</v>
      </c>
    </row>
    <row r="43" spans="2:11" x14ac:dyDescent="0.2">
      <c r="B43" s="7" t="s">
        <v>67</v>
      </c>
      <c r="C43" s="19" t="s">
        <v>240</v>
      </c>
      <c r="D43" s="31">
        <f>SUMIFS(Donnees[Vues],Donnees[Créateur],"@funnyvids2k21",Donnees[Échantillon],"&lt;&gt;Likées par @tiktok",Donnees[Compté dans les cumuls],"Oui")</f>
        <v>310100000</v>
      </c>
    </row>
    <row r="44" spans="2:11" x14ac:dyDescent="0.2">
      <c r="B44" s="7" t="s">
        <v>67</v>
      </c>
      <c r="C44" s="19" t="s">
        <v>269</v>
      </c>
      <c r="D44" s="31">
        <f>SUMIFS(Donnees[Vues],Donnees[Créateur],"@ttmmff100",Donnees[Échantillon],"&lt;&gt;Likées par @tiktok",Donnees[Compté dans les cumuls],"Oui")</f>
        <v>59400000</v>
      </c>
    </row>
    <row r="45" spans="2:11" x14ac:dyDescent="0.2">
      <c r="B45" s="7" t="s">
        <v>67</v>
      </c>
      <c r="C45" s="19" t="s">
        <v>98</v>
      </c>
      <c r="D45" s="31">
        <f>SUMIFS(Donnees[Vues],Donnees[Créateur],"@thepetcollective",Donnees[Échantillon],"&lt;&gt;Likées par @tiktok",Donnees[Compté dans les cumuls],"Oui")</f>
        <v>13200000</v>
      </c>
    </row>
    <row r="46" spans="2:11" x14ac:dyDescent="0.2">
      <c r="B46" s="7" t="s">
        <v>67</v>
      </c>
      <c r="C46" s="19" t="s">
        <v>100</v>
      </c>
      <c r="D46" s="31">
        <f>SUMIFS(Donnees[Vues],Donnees[Créateur],"@www9781",Donnees[Échantillon],"&lt;&gt;Likées par @tiktok",Donnees[Compté dans les cumuls],"Oui")</f>
        <v>11400000</v>
      </c>
    </row>
    <row r="47" spans="2:11" x14ac:dyDescent="0.2">
      <c r="B47" s="7" t="s">
        <v>67</v>
      </c>
      <c r="C47" s="7" t="s">
        <v>549</v>
      </c>
      <c r="D47" s="31">
        <f>SUMIFS(Donnees[Vues],Donnees[Thème],"Animaux",Donnees[Échantillon],"&lt;&gt;Likées par @tiktok",Donnees[Compté dans les cumuls],"Oui")-SUM(D43:D46)</f>
        <v>1270791300</v>
      </c>
    </row>
    <row r="48" spans="2:11" x14ac:dyDescent="0.2">
      <c r="B48" s="7" t="s">
        <v>62</v>
      </c>
      <c r="C48" s="19" t="s">
        <v>61</v>
      </c>
      <c r="D48" s="31">
        <f>SUMIFS(Donnees[Vues],Donnees[Créateur],"@mercuri_88",Donnees[Échantillon],"&lt;&gt;Likées par @tiktok",Donnees[Compté dans les cumuls],"Oui")</f>
        <v>215200000</v>
      </c>
    </row>
    <row r="49" spans="2:4" x14ac:dyDescent="0.2">
      <c r="B49" s="7" t="s">
        <v>62</v>
      </c>
      <c r="C49" s="19" t="s">
        <v>86</v>
      </c>
      <c r="D49" s="31">
        <f>SUMIFS(Donnees[Vues],Donnees[Créateur],"@relaxedbryan",Donnees[Échantillon],"&lt;&gt;Likées par @tiktok",Donnees[Compté dans les cumuls],"Oui")</f>
        <v>167000000</v>
      </c>
    </row>
    <row r="50" spans="2:4" x14ac:dyDescent="0.2">
      <c r="B50" s="7" t="s">
        <v>62</v>
      </c>
      <c r="C50" s="19" t="s">
        <v>77</v>
      </c>
      <c r="D50" s="31">
        <f>SUMIFS(Donnees[Vues],Donnees[Créateur],"@hayndkay_mom",Donnees[Échantillon],"&lt;&gt;Likées par @tiktok",Donnees[Compté dans les cumuls],"Oui")</f>
        <v>33500000</v>
      </c>
    </row>
    <row r="51" spans="2:4" x14ac:dyDescent="0.2">
      <c r="B51" s="7" t="s">
        <v>62</v>
      </c>
      <c r="C51" s="19" t="s">
        <v>79</v>
      </c>
      <c r="D51" s="31">
        <f>SUMIFS(Donnees[Vues],Donnees[Créateur],"@momma_mandy_plus7",Donnees[Échantillon],"&lt;&gt;Likées par @tiktok",Donnees[Compté dans les cumuls],"Oui")</f>
        <v>32200000</v>
      </c>
    </row>
    <row r="52" spans="2:4" x14ac:dyDescent="0.2">
      <c r="B52" s="7" t="s">
        <v>62</v>
      </c>
      <c r="C52" s="7" t="s">
        <v>550</v>
      </c>
      <c r="D52" s="31">
        <f>SUMIFS(Donnees[Vues],Donnees[Thème],"Famille &amp; enfants",Donnees[Échantillon],"&lt;&gt;Likées par @tiktok",Donnees[Compté dans les cumuls],"Oui")-SUM(D48:D51)</f>
        <v>908800000</v>
      </c>
    </row>
    <row r="53" spans="2:4" x14ac:dyDescent="0.2">
      <c r="B53" s="7" t="s">
        <v>50</v>
      </c>
      <c r="C53" s="19" t="s">
        <v>244</v>
      </c>
      <c r="D53" s="31">
        <f>SUMIFS(Donnees[Vues],Donnees[Créateur],"@samuelgrubbs",Donnees[Échantillon],"&lt;&gt;Likées par @tiktok",Donnees[Compté dans les cumuls],"Oui")</f>
        <v>616200000</v>
      </c>
    </row>
    <row r="54" spans="2:4" x14ac:dyDescent="0.2">
      <c r="B54" s="7" t="s">
        <v>50</v>
      </c>
      <c r="C54" s="19" t="s">
        <v>53</v>
      </c>
      <c r="D54" s="31">
        <f>SUMIFS(Donnees[Vues],Donnees[Créateur],"@hassankhadair",Donnees[Échantillon],"&lt;&gt;Likées par @tiktok",Donnees[Compté dans les cumuls],"Oui")</f>
        <v>106000000</v>
      </c>
    </row>
    <row r="55" spans="2:4" x14ac:dyDescent="0.2">
      <c r="B55" s="7" t="s">
        <v>50</v>
      </c>
      <c r="C55" s="19" t="s">
        <v>60</v>
      </c>
      <c r="D55" s="31">
        <f>SUMIFS(Donnees[Vues],Donnees[Créateur],"@khaby.lame",Donnees[Échantillon],"&lt;&gt;Likées par @tiktok",Donnees[Compté dans les cumuls],"Oui")</f>
        <v>84500000</v>
      </c>
    </row>
    <row r="56" spans="2:4" x14ac:dyDescent="0.2">
      <c r="B56" s="7" t="s">
        <v>50</v>
      </c>
      <c r="C56" s="19" t="s">
        <v>261</v>
      </c>
      <c r="D56" s="31">
        <f>SUMIFS(Donnees[Vues],Donnees[Créateur],"@crinka11",Donnees[Échantillon],"&lt;&gt;Likées par @tiktok",Donnees[Compté dans les cumuls],"Oui")</f>
        <v>73600000</v>
      </c>
    </row>
    <row r="57" spans="2:4" x14ac:dyDescent="0.2">
      <c r="B57" s="7" t="s">
        <v>50</v>
      </c>
      <c r="C57" s="7" t="s">
        <v>551</v>
      </c>
      <c r="D57" s="31">
        <f>SUMIFS(Donnees[Vues],Donnees[Thème],"Humour &amp; sketchs",Donnees[Échantillon],"&lt;&gt;Likées par @tiktok",Donnees[Compté dans les cumuls],"Oui")-SUM(D53:D56)</f>
        <v>2802337500</v>
      </c>
    </row>
    <row r="58" spans="2:4" x14ac:dyDescent="0.2">
      <c r="B58" s="7" t="s">
        <v>46</v>
      </c>
      <c r="C58" s="19" t="s">
        <v>45</v>
      </c>
      <c r="D58" s="31">
        <f>SUMIFS(Donnees[Vues],Donnees[Créateur],"@pimplepom",Donnees[Échantillon],"&lt;&gt;Likées par @tiktok",Donnees[Compté dans les cumuls],"Oui")</f>
        <v>200200000</v>
      </c>
    </row>
    <row r="59" spans="2:4" x14ac:dyDescent="0.2">
      <c r="B59" s="7" t="s">
        <v>46</v>
      </c>
      <c r="C59" s="19" t="s">
        <v>73</v>
      </c>
      <c r="D59" s="31">
        <f>SUMIFS(Donnees[Vues],Donnees[Créateur],"@lights.are.off",Donnees[Échantillon],"&lt;&gt;Likées par @tiktok",Donnees[Compté dans les cumuls],"Oui")</f>
        <v>38200000</v>
      </c>
    </row>
    <row r="60" spans="2:4" x14ac:dyDescent="0.2">
      <c r="B60" s="7" t="s">
        <v>46</v>
      </c>
      <c r="C60" s="19" t="s">
        <v>91</v>
      </c>
      <c r="D60" s="31">
        <f>SUMIFS(Donnees[Vues],Donnees[Créateur],"@bts_official_bighit",Donnees[Échantillon],"&lt;&gt;Likées par @tiktok",Donnees[Compté dans les cumuls],"Oui")</f>
        <v>26700000</v>
      </c>
    </row>
    <row r="61" spans="2:4" x14ac:dyDescent="0.2">
      <c r="B61" s="7" t="s">
        <v>46</v>
      </c>
      <c r="C61" s="19" t="s">
        <v>87</v>
      </c>
      <c r="D61" s="31">
        <f>SUMIFS(Donnees[Vues],Donnees[Créateur],"@miakhalifa",Donnees[Échantillon],"&lt;&gt;Likées par @tiktok",Donnees[Compté dans les cumuls],"Oui")</f>
        <v>24900000</v>
      </c>
    </row>
    <row r="62" spans="2:4" x14ac:dyDescent="0.2">
      <c r="B62" s="7" t="s">
        <v>46</v>
      </c>
      <c r="C62" s="7" t="s">
        <v>552</v>
      </c>
      <c r="D62" s="31">
        <f>SUMIFS(Donnees[Vues],Donnees[Thème],"Lifestyle, musique &amp; sport",Donnees[Échantillon],"&lt;&gt;Likées par @tiktok",Donnees[Compté dans les cumuls],"Oui")-SUM(D58:D61)</f>
        <v>1358700000</v>
      </c>
    </row>
    <row r="63" spans="2:4" x14ac:dyDescent="0.2">
      <c r="B63" s="7" t="s">
        <v>39</v>
      </c>
      <c r="C63" s="19" t="s">
        <v>38</v>
      </c>
      <c r="D63" s="31">
        <f>SUMIFS(Donnees[Vues],Donnees[Créateur],"@cacha.7.griselda",Donnees[Échantillon],"&lt;&gt;Likées par @tiktok",Donnees[Compté dans les cumuls],"Oui")</f>
        <v>222300000</v>
      </c>
    </row>
    <row r="64" spans="2:4" x14ac:dyDescent="0.2">
      <c r="B64" s="7" t="s">
        <v>39</v>
      </c>
      <c r="C64" s="19" t="s">
        <v>83</v>
      </c>
      <c r="D64" s="31">
        <f>SUMIFS(Donnees[Vues],Donnees[Créateur],"@roses_are_rosie",Donnees[Échantillon],"&lt;&gt;Likées par @tiktok",Donnees[Compté dans les cumuls],"Oui")</f>
        <v>73900000</v>
      </c>
    </row>
    <row r="65" spans="2:11" x14ac:dyDescent="0.2">
      <c r="B65" s="7" t="s">
        <v>39</v>
      </c>
      <c r="C65" s="19" t="s">
        <v>65</v>
      </c>
      <c r="D65" s="31">
        <f>SUMIFS(Donnees[Vues],Donnees[Créateur],"@user4350486101671",Donnees[Échantillon],"&lt;&gt;Likées par @tiktok",Donnees[Compté dans les cumuls],"Oui")</f>
        <v>50500000</v>
      </c>
    </row>
    <row r="66" spans="2:11" x14ac:dyDescent="0.2">
      <c r="B66" s="7" t="s">
        <v>39</v>
      </c>
      <c r="C66" s="19" t="s">
        <v>95</v>
      </c>
      <c r="D66" s="31">
        <f>SUMIFS(Donnees[Vues],Donnees[Créateur],"@gagesmellslikecabbage",Donnees[Échantillon],"&lt;&gt;Likées par @tiktok",Donnees[Compté dans les cumuls],"Oui")</f>
        <v>14100000</v>
      </c>
    </row>
    <row r="67" spans="2:11" x14ac:dyDescent="0.2">
      <c r="B67" s="7" t="s">
        <v>39</v>
      </c>
      <c r="C67" s="7" t="s">
        <v>550</v>
      </c>
      <c r="D67" s="31">
        <f>SUMIFS(Donnees[Vues],Donnees[Thème],"Sujet non déclaré",Donnees[Échantillon],"&lt;&gt;Likées par @tiktok",Donnees[Compté dans les cumuls],"Oui")-SUM(D63:D66)</f>
        <v>405062300</v>
      </c>
    </row>
    <row r="68" spans="2:11" ht="30" customHeight="1" x14ac:dyDescent="0.2">
      <c r="B68" s="47" t="s">
        <v>553</v>
      </c>
      <c r="C68" s="47"/>
      <c r="D68" s="47"/>
    </row>
    <row r="71" spans="2:11" ht="20" customHeight="1" x14ac:dyDescent="0.2">
      <c r="B71" s="45" t="s">
        <v>554</v>
      </c>
      <c r="C71" s="45"/>
      <c r="D71" s="45"/>
      <c r="E71" s="45"/>
      <c r="F71" s="45"/>
      <c r="G71" s="45"/>
      <c r="H71" s="45"/>
      <c r="I71" s="45"/>
      <c r="J71" s="45"/>
      <c r="K71" s="45"/>
    </row>
    <row r="72" spans="2:11" x14ac:dyDescent="0.2">
      <c r="B72" s="3" t="s">
        <v>512</v>
      </c>
      <c r="C72" s="2" t="s">
        <v>37</v>
      </c>
      <c r="D72" s="2" t="s">
        <v>237</v>
      </c>
    </row>
    <row r="73" spans="2:11" x14ac:dyDescent="0.2">
      <c r="B73" s="7" t="s">
        <v>67</v>
      </c>
      <c r="C73" s="28">
        <f t="array" ref="C73">MEDIAN(IF((Donnees[Échantillon]="Tendances")*(Donnees[Thème]="Animaux"),Donnees[Engagement]))</f>
        <v>0.11228100000000001</v>
      </c>
      <c r="D73" s="28">
        <f t="array" ref="D73">MEDIAN(IF((Donnees[Échantillon]="Humour")*(Donnees[Thème]="Animaux"),Donnees[Engagement]))</f>
        <v>0.14329602220166512</v>
      </c>
    </row>
    <row r="74" spans="2:11" x14ac:dyDescent="0.2">
      <c r="B74" s="7" t="s">
        <v>62</v>
      </c>
      <c r="C74" s="28">
        <f t="array" ref="C74">MEDIAN(IF((Donnees[Échantillon]="Tendances")*(Donnees[Thème]="Famille &amp; enfants"),Donnees[Engagement]))</f>
        <v>0.10062595419847328</v>
      </c>
      <c r="D74" s="28">
        <f t="array" ref="D74">MEDIAN(IF((Donnees[Échantillon]="Humour")*(Donnees[Thème]="Famille &amp; enfants"),Donnees[Engagement]))</f>
        <v>0.15790436190157581</v>
      </c>
    </row>
    <row r="75" spans="2:11" x14ac:dyDescent="0.2">
      <c r="B75" s="7" t="s">
        <v>50</v>
      </c>
      <c r="C75" s="28">
        <f t="array" ref="C75">MEDIAN(IF((Donnees[Échantillon]="Tendances")*(Donnees[Thème]="Humour &amp; sketchs"),Donnees[Engagement]))</f>
        <v>7.8600357274919402E-2</v>
      </c>
      <c r="D75" s="28">
        <f t="array" ref="D75">MEDIAN(IF((Donnees[Échantillon]="Humour")*(Donnees[Thème]="Humour &amp; sketchs"),Donnees[Engagement]))</f>
        <v>0.18458953722334004</v>
      </c>
    </row>
    <row r="76" spans="2:11" x14ac:dyDescent="0.2">
      <c r="B76" s="7" t="s">
        <v>46</v>
      </c>
      <c r="C76" s="28">
        <f t="array" ref="C76">MEDIAN(IF((Donnees[Échantillon]="Tendances")*(Donnees[Thème]="Lifestyle, musique &amp; sport"),Donnees[Engagement]))</f>
        <v>0.12081466666666667</v>
      </c>
      <c r="D76" s="28">
        <f t="array" ref="D76">MEDIAN(IF((Donnees[Échantillon]="Humour")*(Donnees[Thème]="Lifestyle, musique &amp; sport"),Donnees[Engagement]))</f>
        <v>0.1408463557804861</v>
      </c>
    </row>
    <row r="77" spans="2:11" x14ac:dyDescent="0.2">
      <c r="B77" s="7" t="s">
        <v>39</v>
      </c>
      <c r="C77" s="28">
        <f t="array" ref="C77">MEDIAN(IF((Donnees[Échantillon]="Tendances")*(Donnees[Thème]="Sujet non déclaré"),Donnees[Engagement]))</f>
        <v>0.10046012269938651</v>
      </c>
      <c r="D77" s="10" t="s">
        <v>354</v>
      </c>
    </row>
    <row r="89" spans="2:11" ht="20" customHeight="1" x14ac:dyDescent="0.2">
      <c r="B89" s="45" t="s">
        <v>555</v>
      </c>
      <c r="C89" s="45"/>
      <c r="D89" s="45"/>
      <c r="E89" s="45"/>
      <c r="F89" s="45"/>
      <c r="G89" s="45"/>
      <c r="H89" s="45"/>
      <c r="I89" s="45"/>
      <c r="J89" s="45"/>
      <c r="K89" s="45"/>
    </row>
    <row r="90" spans="2:11" ht="31.5" customHeight="1" x14ac:dyDescent="0.2">
      <c r="B90" s="50" t="s">
        <v>556</v>
      </c>
      <c r="C90" s="50"/>
      <c r="D90" s="50"/>
      <c r="E90" s="50"/>
      <c r="F90" s="50"/>
      <c r="G90" s="50"/>
      <c r="H90" s="50"/>
      <c r="I90" s="50"/>
      <c r="J90" s="50"/>
      <c r="K90" s="50"/>
    </row>
    <row r="91" spans="2:11" ht="18.25" customHeight="1" x14ac:dyDescent="0.2">
      <c r="B91" s="50" t="s">
        <v>557</v>
      </c>
      <c r="C91" s="50"/>
      <c r="D91" s="50"/>
      <c r="E91" s="50"/>
      <c r="F91" s="50"/>
      <c r="G91" s="50"/>
      <c r="H91" s="50"/>
      <c r="I91" s="50"/>
      <c r="J91" s="50"/>
      <c r="K91" s="50"/>
    </row>
    <row r="92" spans="2:11" ht="18.25" customHeight="1" x14ac:dyDescent="0.2">
      <c r="B92" s="50" t="s">
        <v>558</v>
      </c>
      <c r="C92" s="50"/>
      <c r="D92" s="50"/>
      <c r="E92" s="50"/>
      <c r="F92" s="50"/>
      <c r="G92" s="50"/>
      <c r="H92" s="50"/>
      <c r="I92" s="50"/>
      <c r="J92" s="50"/>
      <c r="K92" s="50"/>
    </row>
    <row r="93" spans="2:11" ht="18.25" customHeight="1" x14ac:dyDescent="0.2">
      <c r="B93" s="50" t="s">
        <v>559</v>
      </c>
      <c r="C93" s="50"/>
      <c r="D93" s="50"/>
      <c r="E93" s="50"/>
      <c r="F93" s="50"/>
      <c r="G93" s="50"/>
      <c r="H93" s="50"/>
      <c r="I93" s="50"/>
      <c r="J93" s="50"/>
      <c r="K93" s="50"/>
    </row>
    <row r="97" spans="2:11" ht="20" customHeight="1" x14ac:dyDescent="0.2">
      <c r="B97" s="45" t="s">
        <v>560</v>
      </c>
      <c r="C97" s="45"/>
      <c r="D97" s="45"/>
      <c r="E97" s="45"/>
      <c r="F97" s="45"/>
      <c r="G97" s="45"/>
      <c r="H97" s="45"/>
      <c r="I97" s="45"/>
      <c r="J97" s="45"/>
      <c r="K97" s="45"/>
    </row>
    <row r="99" spans="2:11" x14ac:dyDescent="0.2">
      <c r="B99" s="51" t="s">
        <v>604</v>
      </c>
      <c r="C99" s="51" t="s">
        <v>0</v>
      </c>
    </row>
    <row r="100" spans="2:11" x14ac:dyDescent="0.2">
      <c r="B100" s="51" t="s">
        <v>512</v>
      </c>
      <c r="C100" t="s">
        <v>37</v>
      </c>
      <c r="D100" t="s">
        <v>145</v>
      </c>
      <c r="E100" t="s">
        <v>237</v>
      </c>
      <c r="F100" t="s">
        <v>602</v>
      </c>
    </row>
    <row r="101" spans="2:11" x14ac:dyDescent="0.2">
      <c r="B101" s="52" t="s">
        <v>67</v>
      </c>
      <c r="C101" s="56">
        <v>185191300</v>
      </c>
      <c r="D101" s="56">
        <v>51700000</v>
      </c>
      <c r="E101" s="56">
        <v>1479700000</v>
      </c>
      <c r="F101" s="56">
        <v>1716591300</v>
      </c>
    </row>
    <row r="102" spans="2:11" x14ac:dyDescent="0.2">
      <c r="B102" s="52" t="s">
        <v>62</v>
      </c>
      <c r="C102" s="56">
        <v>298400000</v>
      </c>
      <c r="D102" s="56">
        <v>35174900</v>
      </c>
      <c r="E102" s="56">
        <v>1114900000</v>
      </c>
      <c r="F102" s="56">
        <v>1448474900</v>
      </c>
    </row>
    <row r="103" spans="2:11" x14ac:dyDescent="0.2">
      <c r="B103" s="52" t="s">
        <v>50</v>
      </c>
      <c r="C103" s="56">
        <v>585337500</v>
      </c>
      <c r="D103" s="56">
        <v>264000000</v>
      </c>
      <c r="E103" s="56">
        <v>3097300000</v>
      </c>
      <c r="F103" s="56">
        <v>3946637500</v>
      </c>
    </row>
    <row r="104" spans="2:11" x14ac:dyDescent="0.2">
      <c r="B104" s="52" t="s">
        <v>46</v>
      </c>
      <c r="C104" s="56">
        <v>503700000</v>
      </c>
      <c r="D104" s="56">
        <v>72339989</v>
      </c>
      <c r="E104" s="56">
        <v>1145000000</v>
      </c>
      <c r="F104" s="56">
        <v>1721039989</v>
      </c>
    </row>
    <row r="105" spans="2:11" x14ac:dyDescent="0.2">
      <c r="B105" s="52" t="s">
        <v>39</v>
      </c>
      <c r="C105" s="56">
        <v>765862300</v>
      </c>
      <c r="D105" s="56">
        <v>993707500</v>
      </c>
      <c r="E105" s="56"/>
      <c r="F105" s="56">
        <v>1759569800</v>
      </c>
    </row>
    <row r="106" spans="2:11" x14ac:dyDescent="0.2">
      <c r="B106" s="52" t="s">
        <v>602</v>
      </c>
      <c r="C106" s="56">
        <v>2338491100</v>
      </c>
      <c r="D106" s="56">
        <v>1416922389</v>
      </c>
      <c r="E106" s="56">
        <v>6836900000</v>
      </c>
      <c r="F106" s="56">
        <v>10592313489</v>
      </c>
    </row>
  </sheetData>
  <sheetProtection algorithmName="SHA-512" hashValue="ksnHTds7JBwmPxy5/mvOf92ZmXgkxW41FIMomGqDWMLkhtpiHSbtxFvP//A1UJglpWL6ooM/dRxGmqEEW+2keQ==" saltValue="o+I7bOJsn0MM8KtZ7Lebrg==" spinCount="100000" sheet="1" objects="1" scenarios="1"/>
  <mergeCells count="27">
    <mergeCell ref="B93:K93"/>
    <mergeCell ref="B97:K97"/>
    <mergeCell ref="B71:K71"/>
    <mergeCell ref="B89:K89"/>
    <mergeCell ref="B90:K90"/>
    <mergeCell ref="B91:K91"/>
    <mergeCell ref="B92:K92"/>
    <mergeCell ref="F37:K37"/>
    <mergeCell ref="F38:K38"/>
    <mergeCell ref="B40:K40"/>
    <mergeCell ref="B41:K41"/>
    <mergeCell ref="B68:D68"/>
    <mergeCell ref="B32:K32"/>
    <mergeCell ref="F33:K33"/>
    <mergeCell ref="F34:K34"/>
    <mergeCell ref="F35:K35"/>
    <mergeCell ref="F36:K36"/>
    <mergeCell ref="I8:K8"/>
    <mergeCell ref="I9:K9"/>
    <mergeCell ref="I10:K10"/>
    <mergeCell ref="B11:K11"/>
    <mergeCell ref="B14:K14"/>
    <mergeCell ref="B2:K2"/>
    <mergeCell ref="B4:K4"/>
    <mergeCell ref="I5:K5"/>
    <mergeCell ref="I6:K6"/>
    <mergeCell ref="I7:K7"/>
  </mergeCells>
  <pageMargins left="0.7" right="0.7" top="0.75" bottom="0.75" header="0.3" footer="0.3"/>
  <pageSetup fitToHeight="0" orientation="landscape"/>
  <rowBreaks count="2" manualBreakCount="2">
    <brk id="39" max="16383" man="1"/>
    <brk id="9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H51"/>
  <sheetViews>
    <sheetView showGridLines="0" zoomScale="90" zoomScaleNormal="90" workbookViewId="0"/>
  </sheetViews>
  <sheetFormatPr baseColWidth="10" defaultColWidth="8.83203125" defaultRowHeight="15" x14ac:dyDescent="0.2"/>
  <cols>
    <col min="1" max="1" width="2.33203125" customWidth="1"/>
    <col min="2" max="2" width="30.6640625" customWidth="1"/>
    <col min="3" max="7" width="15.6640625" customWidth="1"/>
    <col min="8" max="8" width="55.6640625" customWidth="1"/>
  </cols>
  <sheetData>
    <row r="1" spans="2:8" ht="30" customHeight="1" x14ac:dyDescent="0.2">
      <c r="B1" s="1" t="s">
        <v>316</v>
      </c>
    </row>
    <row r="2" spans="2:8" ht="30" customHeight="1" x14ac:dyDescent="0.2">
      <c r="B2" s="44" t="s">
        <v>317</v>
      </c>
      <c r="C2" s="44"/>
      <c r="D2" s="44"/>
      <c r="E2" s="44"/>
      <c r="F2" s="44"/>
      <c r="G2" s="44"/>
      <c r="H2" s="44"/>
    </row>
    <row r="4" spans="2:8" ht="20" customHeight="1" x14ac:dyDescent="0.2">
      <c r="B4" s="45" t="s">
        <v>318</v>
      </c>
      <c r="C4" s="45"/>
      <c r="D4" s="45"/>
      <c r="E4" s="45"/>
      <c r="F4" s="45"/>
      <c r="G4" s="45"/>
      <c r="H4" s="45"/>
    </row>
    <row r="5" spans="2:8" ht="32" customHeight="1" x14ac:dyDescent="0.2">
      <c r="B5" s="49" t="s">
        <v>319</v>
      </c>
      <c r="C5" s="49"/>
      <c r="D5" s="49"/>
      <c r="E5" s="49"/>
      <c r="F5" s="49"/>
      <c r="G5" s="49"/>
      <c r="H5" s="49"/>
    </row>
    <row r="6" spans="2:8" ht="58" customHeight="1" x14ac:dyDescent="0.2">
      <c r="B6" s="49" t="s">
        <v>320</v>
      </c>
      <c r="C6" s="49"/>
      <c r="D6" s="49"/>
      <c r="E6" s="49"/>
      <c r="F6" s="49"/>
      <c r="G6" s="49"/>
      <c r="H6" s="49"/>
    </row>
    <row r="7" spans="2:8" ht="32" customHeight="1" x14ac:dyDescent="0.2">
      <c r="B7" s="49" t="s">
        <v>321</v>
      </c>
      <c r="C7" s="49"/>
      <c r="D7" s="49"/>
      <c r="E7" s="49"/>
      <c r="F7" s="49"/>
      <c r="G7" s="49"/>
      <c r="H7" s="49"/>
    </row>
    <row r="8" spans="2:8" ht="30" customHeight="1" x14ac:dyDescent="0.2">
      <c r="B8" s="3" t="s">
        <v>0</v>
      </c>
      <c r="C8" s="2" t="s">
        <v>322</v>
      </c>
      <c r="D8" s="2" t="s">
        <v>323</v>
      </c>
      <c r="E8" s="2" t="s">
        <v>324</v>
      </c>
      <c r="F8" s="2" t="s">
        <v>325</v>
      </c>
      <c r="G8" s="2" t="s">
        <v>326</v>
      </c>
    </row>
    <row r="9" spans="2:8" x14ac:dyDescent="0.2">
      <c r="B9" s="19" t="s">
        <v>37</v>
      </c>
      <c r="C9" s="28">
        <f t="array" ref="C9">PERCENTILE(IF(Donnees[Échantillon]="Tendances",Donnees[Engagement]),0.75)</f>
        <v>0.15577895622739066</v>
      </c>
      <c r="D9" s="28">
        <f t="array" ref="D9">MEDIAN(IF((Donnees[Échantillon]="Tendances"),Donnees[Engagement]))</f>
        <v>0.10677180525585697</v>
      </c>
      <c r="E9" s="29">
        <f>COUNTIFS(Donnees[Échantillon],"Tendances")</f>
        <v>100</v>
      </c>
      <c r="F9" s="31">
        <f t="array" ref="F9">MEDIAN(IF((Donnees[Échantillon]="Tendances"),Donnees[Vues]))</f>
        <v>10400000</v>
      </c>
      <c r="G9" s="29">
        <f t="array" ref="G9">SUM(IF(Donnees[Échantillon]="Tendances",1/COUNTIFS(Donnees[Créateur],Donnees[Créateur],Donnees[Échantillon],"Tendances")))</f>
        <v>84</v>
      </c>
    </row>
    <row r="10" spans="2:8" x14ac:dyDescent="0.2">
      <c r="B10" s="19" t="s">
        <v>145</v>
      </c>
      <c r="C10" s="28">
        <f t="array" ref="C10">PERCENTILE(IF(Donnees[Échantillon]="Likées par @tiktok",Donnees[Engagement]),0.75)</f>
        <v>0.24260065891472871</v>
      </c>
      <c r="D10" s="28">
        <f t="array" ref="D10">MEDIAN(IF((Donnees[Échantillon]="Likées par @tiktok"),Donnees[Engagement]))</f>
        <v>0.18322881510459835</v>
      </c>
      <c r="E10" s="29">
        <f>COUNTIFS(Donnees[Échantillon],"Likées par @tiktok")</f>
        <v>100</v>
      </c>
      <c r="F10" s="31">
        <f t="array" ref="F10">MEDIAN(IF((Donnees[Échantillon]="Likées par @tiktok"),Donnees[Vues]))</f>
        <v>5700000</v>
      </c>
      <c r="G10" s="29">
        <f t="array" ref="G10">SUM(IF(Donnees[Échantillon]="Likées par @tiktok",1/COUNTIFS(Donnees[Créateur],Donnees[Créateur],Donnees[Échantillon],"Likées par @tiktok")))</f>
        <v>92</v>
      </c>
    </row>
    <row r="11" spans="2:8" x14ac:dyDescent="0.2">
      <c r="B11" s="19" t="s">
        <v>237</v>
      </c>
      <c r="C11" s="28">
        <f t="array" ref="C11">PERCENTILE(IF(Donnees[Échantillon]="Humour",Donnees[Engagement]),0.75)</f>
        <v>0.20452412480478918</v>
      </c>
      <c r="D11" s="28">
        <f t="array" ref="D11">MEDIAN(IF((Donnees[Échantillon]="Humour"),Donnees[Engagement]))</f>
        <v>0.16348722051878875</v>
      </c>
      <c r="E11" s="29">
        <f>COUNTIFS(Donnees[Échantillon],"Humour")</f>
        <v>100</v>
      </c>
      <c r="F11" s="31">
        <f t="array" ref="F11">MEDIAN(IF((Donnees[Échantillon]="Humour"),Donnees[Vues]))</f>
        <v>53650000</v>
      </c>
      <c r="G11" s="29">
        <f t="array" ref="G11">SUM(IF(Donnees[Échantillon]="Humour",1/COUNTIFS(Donnees[Créateur],Donnees[Créateur],Donnees[Échantillon],"Humour")))</f>
        <v>79</v>
      </c>
    </row>
    <row r="13" spans="2:8" ht="45" customHeight="1" x14ac:dyDescent="0.2">
      <c r="B13" s="47" t="s">
        <v>327</v>
      </c>
      <c r="C13" s="47"/>
      <c r="D13" s="47"/>
      <c r="E13" s="47"/>
      <c r="F13" s="47"/>
      <c r="G13" s="47"/>
      <c r="H13" s="47"/>
    </row>
    <row r="15" spans="2:8" ht="20" customHeight="1" x14ac:dyDescent="0.2">
      <c r="B15" s="45" t="s">
        <v>328</v>
      </c>
      <c r="C15" s="45"/>
      <c r="D15" s="45"/>
      <c r="E15" s="45"/>
      <c r="F15" s="45"/>
      <c r="G15" s="45"/>
      <c r="H15" s="45"/>
    </row>
    <row r="16" spans="2:8" ht="30" customHeight="1" x14ac:dyDescent="0.2">
      <c r="B16" s="3" t="s">
        <v>329</v>
      </c>
      <c r="C16" s="2" t="s">
        <v>330</v>
      </c>
      <c r="D16" s="2" t="s">
        <v>331</v>
      </c>
      <c r="E16" s="2" t="s">
        <v>332</v>
      </c>
      <c r="F16" s="2" t="s">
        <v>333</v>
      </c>
      <c r="G16" s="48" t="s">
        <v>334</v>
      </c>
      <c r="H16" s="48"/>
    </row>
    <row r="17" spans="2:8" ht="44.5" customHeight="1" x14ac:dyDescent="0.2">
      <c r="B17" s="19" t="s">
        <v>335</v>
      </c>
      <c r="C17" s="7" t="s">
        <v>336</v>
      </c>
      <c r="D17" s="7" t="s">
        <v>337</v>
      </c>
      <c r="E17" s="7" t="s">
        <v>338</v>
      </c>
      <c r="F17" s="7" t="s">
        <v>339</v>
      </c>
      <c r="G17" s="46" t="s">
        <v>340</v>
      </c>
      <c r="H17" s="46"/>
    </row>
    <row r="18" spans="2:8" ht="31.5" customHeight="1" x14ac:dyDescent="0.2">
      <c r="B18" s="19" t="s">
        <v>341</v>
      </c>
      <c r="C18" s="7" t="s">
        <v>342</v>
      </c>
      <c r="D18" s="7" t="s">
        <v>343</v>
      </c>
      <c r="E18" s="7" t="s">
        <v>338</v>
      </c>
      <c r="F18" s="7" t="s">
        <v>344</v>
      </c>
      <c r="G18" s="46" t="s">
        <v>345</v>
      </c>
      <c r="H18" s="46"/>
    </row>
    <row r="19" spans="2:8" ht="31.5" customHeight="1" x14ac:dyDescent="0.2">
      <c r="B19" s="19" t="s">
        <v>346</v>
      </c>
      <c r="C19" s="7" t="s">
        <v>347</v>
      </c>
      <c r="D19" s="7" t="s">
        <v>348</v>
      </c>
      <c r="E19" s="7" t="s">
        <v>349</v>
      </c>
      <c r="F19" s="7" t="s">
        <v>350</v>
      </c>
      <c r="G19" s="46" t="s">
        <v>351</v>
      </c>
      <c r="H19" s="46"/>
    </row>
    <row r="20" spans="2:8" ht="57.75" customHeight="1" x14ac:dyDescent="0.2">
      <c r="B20" s="19" t="s">
        <v>352</v>
      </c>
      <c r="C20" s="7" t="s">
        <v>353</v>
      </c>
      <c r="D20" s="7" t="s">
        <v>354</v>
      </c>
      <c r="E20" s="7" t="s">
        <v>355</v>
      </c>
      <c r="F20" s="7" t="s">
        <v>356</v>
      </c>
      <c r="G20" s="46" t="s">
        <v>357</v>
      </c>
      <c r="H20" s="46"/>
    </row>
    <row r="21" spans="2:8" ht="31.5" customHeight="1" x14ac:dyDescent="0.2">
      <c r="B21" s="19" t="s">
        <v>358</v>
      </c>
      <c r="C21" s="7" t="s">
        <v>359</v>
      </c>
      <c r="D21" s="7" t="s">
        <v>360</v>
      </c>
      <c r="E21" s="7" t="s">
        <v>361</v>
      </c>
      <c r="F21" s="7" t="s">
        <v>356</v>
      </c>
      <c r="G21" s="46" t="s">
        <v>362</v>
      </c>
      <c r="H21" s="46"/>
    </row>
    <row r="23" spans="2:8" ht="20" customHeight="1" x14ac:dyDescent="0.2">
      <c r="B23" s="45" t="s">
        <v>363</v>
      </c>
      <c r="C23" s="45"/>
      <c r="D23" s="45"/>
      <c r="E23" s="45"/>
      <c r="F23" s="45"/>
      <c r="G23" s="45"/>
      <c r="H23" s="45"/>
    </row>
    <row r="24" spans="2:8" ht="31.5" customHeight="1" x14ac:dyDescent="0.2">
      <c r="B24" s="50" t="s">
        <v>364</v>
      </c>
      <c r="C24" s="50"/>
      <c r="D24" s="50"/>
      <c r="E24" s="50"/>
      <c r="F24" s="50"/>
      <c r="G24" s="50"/>
      <c r="H24" s="50"/>
    </row>
    <row r="25" spans="2:8" ht="31.5" customHeight="1" x14ac:dyDescent="0.2">
      <c r="B25" s="50" t="s">
        <v>365</v>
      </c>
      <c r="C25" s="50"/>
      <c r="D25" s="50"/>
      <c r="E25" s="50"/>
      <c r="F25" s="50"/>
      <c r="G25" s="50"/>
      <c r="H25" s="50"/>
    </row>
    <row r="26" spans="2:8" ht="31.5" customHeight="1" x14ac:dyDescent="0.2">
      <c r="B26" s="50" t="s">
        <v>366</v>
      </c>
      <c r="C26" s="50"/>
      <c r="D26" s="50"/>
      <c r="E26" s="50"/>
      <c r="F26" s="50"/>
      <c r="G26" s="50"/>
      <c r="H26" s="50"/>
    </row>
    <row r="27" spans="2:8" ht="31.5" customHeight="1" x14ac:dyDescent="0.2">
      <c r="B27" s="50" t="s">
        <v>367</v>
      </c>
      <c r="C27" s="50"/>
      <c r="D27" s="50"/>
      <c r="E27" s="50"/>
      <c r="F27" s="50"/>
      <c r="G27" s="50"/>
      <c r="H27" s="50"/>
    </row>
    <row r="28" spans="2:8" ht="31.5" customHeight="1" x14ac:dyDescent="0.2">
      <c r="B28" s="50" t="s">
        <v>368</v>
      </c>
      <c r="C28" s="50"/>
      <c r="D28" s="50"/>
      <c r="E28" s="50"/>
      <c r="F28" s="50"/>
      <c r="G28" s="50"/>
      <c r="H28" s="50"/>
    </row>
    <row r="29" spans="2:8" ht="31.5" customHeight="1" x14ac:dyDescent="0.2">
      <c r="B29" s="50" t="s">
        <v>369</v>
      </c>
      <c r="C29" s="50"/>
      <c r="D29" s="50"/>
      <c r="E29" s="50"/>
      <c r="F29" s="50"/>
      <c r="G29" s="50"/>
      <c r="H29" s="50"/>
    </row>
    <row r="30" spans="2:8" ht="44.5" customHeight="1" x14ac:dyDescent="0.2">
      <c r="B30" s="50" t="s">
        <v>370</v>
      </c>
      <c r="C30" s="50"/>
      <c r="D30" s="50"/>
      <c r="E30" s="50"/>
      <c r="F30" s="50"/>
      <c r="G30" s="50"/>
      <c r="H30" s="50"/>
    </row>
    <row r="32" spans="2:8" ht="20" customHeight="1" x14ac:dyDescent="0.2">
      <c r="B32" s="45" t="s">
        <v>371</v>
      </c>
      <c r="C32" s="45"/>
      <c r="D32" s="45"/>
      <c r="E32" s="45"/>
      <c r="F32" s="45"/>
      <c r="G32" s="45"/>
      <c r="H32" s="45"/>
    </row>
    <row r="33" spans="2:8" ht="18.25" customHeight="1" x14ac:dyDescent="0.2">
      <c r="B33" s="50" t="s">
        <v>372</v>
      </c>
      <c r="C33" s="50"/>
      <c r="D33" s="50"/>
      <c r="E33" s="50"/>
      <c r="F33" s="50"/>
      <c r="G33" s="50"/>
      <c r="H33" s="50"/>
    </row>
    <row r="34" spans="2:8" ht="44.5" customHeight="1" x14ac:dyDescent="0.2">
      <c r="B34" s="50" t="s">
        <v>373</v>
      </c>
      <c r="C34" s="50"/>
      <c r="D34" s="50"/>
      <c r="E34" s="50"/>
      <c r="F34" s="50"/>
      <c r="G34" s="50"/>
      <c r="H34" s="50"/>
    </row>
    <row r="35" spans="2:8" ht="31.5" customHeight="1" x14ac:dyDescent="0.2">
      <c r="B35" s="50" t="s">
        <v>374</v>
      </c>
      <c r="C35" s="50"/>
      <c r="D35" s="50"/>
      <c r="E35" s="50"/>
      <c r="F35" s="50"/>
      <c r="G35" s="50"/>
      <c r="H35" s="50"/>
    </row>
    <row r="36" spans="2:8" ht="18.25" customHeight="1" x14ac:dyDescent="0.2">
      <c r="B36" s="50" t="s">
        <v>375</v>
      </c>
      <c r="C36" s="50"/>
      <c r="D36" s="50"/>
      <c r="E36" s="50"/>
      <c r="F36" s="50"/>
      <c r="G36" s="50"/>
      <c r="H36" s="50"/>
    </row>
    <row r="37" spans="2:8" ht="31.5" customHeight="1" x14ac:dyDescent="0.2">
      <c r="B37" s="50" t="s">
        <v>376</v>
      </c>
      <c r="C37" s="50"/>
      <c r="D37" s="50"/>
      <c r="E37" s="50"/>
      <c r="F37" s="50"/>
      <c r="G37" s="50"/>
      <c r="H37" s="50"/>
    </row>
    <row r="39" spans="2:8" ht="20" customHeight="1" x14ac:dyDescent="0.2">
      <c r="B39" s="45" t="s">
        <v>377</v>
      </c>
      <c r="C39" s="45"/>
      <c r="D39" s="45"/>
      <c r="E39" s="45"/>
      <c r="F39" s="45"/>
      <c r="G39" s="45"/>
      <c r="H39" s="45"/>
    </row>
    <row r="40" spans="2:8" ht="31.5" customHeight="1" x14ac:dyDescent="0.2">
      <c r="B40" s="50" t="s">
        <v>378</v>
      </c>
      <c r="C40" s="50"/>
      <c r="D40" s="50"/>
      <c r="E40" s="50"/>
      <c r="F40" s="50"/>
      <c r="G40" s="50"/>
      <c r="H40" s="50"/>
    </row>
    <row r="41" spans="2:8" ht="31.5" customHeight="1" x14ac:dyDescent="0.2">
      <c r="B41" s="50" t="s">
        <v>379</v>
      </c>
      <c r="C41" s="50"/>
      <c r="D41" s="50"/>
      <c r="E41" s="50"/>
      <c r="F41" s="50"/>
      <c r="G41" s="50"/>
      <c r="H41" s="50"/>
    </row>
    <row r="42" spans="2:8" ht="31.5" customHeight="1" x14ac:dyDescent="0.2">
      <c r="B42" s="50" t="s">
        <v>380</v>
      </c>
      <c r="C42" s="50"/>
      <c r="D42" s="50"/>
      <c r="E42" s="50"/>
      <c r="F42" s="50"/>
      <c r="G42" s="50"/>
      <c r="H42" s="50"/>
    </row>
    <row r="43" spans="2:8" ht="18.25" customHeight="1" x14ac:dyDescent="0.2">
      <c r="B43" s="50" t="s">
        <v>381</v>
      </c>
      <c r="C43" s="50"/>
      <c r="D43" s="50"/>
      <c r="E43" s="50"/>
      <c r="F43" s="50"/>
      <c r="G43" s="50"/>
      <c r="H43" s="50"/>
    </row>
    <row r="44" spans="2:8" ht="31.5" customHeight="1" x14ac:dyDescent="0.2">
      <c r="B44" s="50" t="s">
        <v>382</v>
      </c>
      <c r="C44" s="50"/>
      <c r="D44" s="50"/>
      <c r="E44" s="50"/>
      <c r="F44" s="50"/>
      <c r="G44" s="50"/>
      <c r="H44" s="50"/>
    </row>
    <row r="46" spans="2:8" ht="20" customHeight="1" x14ac:dyDescent="0.2">
      <c r="B46" s="45" t="s">
        <v>383</v>
      </c>
      <c r="C46" s="45"/>
      <c r="D46" s="45"/>
      <c r="E46" s="45"/>
      <c r="F46" s="45"/>
      <c r="G46" s="45"/>
      <c r="H46" s="45"/>
    </row>
    <row r="47" spans="2:8" ht="31.5" customHeight="1" x14ac:dyDescent="0.2">
      <c r="B47" s="50" t="s">
        <v>384</v>
      </c>
      <c r="C47" s="50"/>
      <c r="D47" s="50"/>
      <c r="E47" s="50"/>
      <c r="F47" s="50"/>
      <c r="G47" s="50"/>
      <c r="H47" s="50"/>
    </row>
    <row r="48" spans="2:8" ht="44.5" customHeight="1" x14ac:dyDescent="0.2">
      <c r="B48" s="50" t="s">
        <v>385</v>
      </c>
      <c r="C48" s="50"/>
      <c r="D48" s="50"/>
      <c r="E48" s="50"/>
      <c r="F48" s="50"/>
      <c r="G48" s="50"/>
      <c r="H48" s="50"/>
    </row>
    <row r="49" spans="2:8" ht="31.5" customHeight="1" x14ac:dyDescent="0.2">
      <c r="B49" s="50" t="s">
        <v>386</v>
      </c>
      <c r="C49" s="50"/>
      <c r="D49" s="50"/>
      <c r="E49" s="50"/>
      <c r="F49" s="50"/>
      <c r="G49" s="50"/>
      <c r="H49" s="50"/>
    </row>
    <row r="50" spans="2:8" ht="31.5" customHeight="1" x14ac:dyDescent="0.2">
      <c r="B50" s="50" t="s">
        <v>387</v>
      </c>
      <c r="C50" s="50"/>
      <c r="D50" s="50"/>
      <c r="E50" s="50"/>
      <c r="F50" s="50"/>
      <c r="G50" s="50"/>
      <c r="H50" s="50"/>
    </row>
    <row r="51" spans="2:8" ht="31.5" customHeight="1" x14ac:dyDescent="0.2">
      <c r="B51" s="50" t="s">
        <v>388</v>
      </c>
      <c r="C51" s="50"/>
      <c r="D51" s="50"/>
      <c r="E51" s="50"/>
      <c r="F51" s="50"/>
      <c r="G51" s="50"/>
      <c r="H51" s="50"/>
    </row>
  </sheetData>
  <sheetProtection algorithmName="SHA-512" hashValue="2PsslSInNPD7/I66Y923rXrOrZ+hQR5xhPU0IVYu+J9gv+453kuGomXer+bescbpPVtVBHm0+ABVHzzxglDdkw==" saltValue="avG26T8cYf0dELTDRaY75Q==" spinCount="100000" sheet="1" objects="1" scenarios="1"/>
  <mergeCells count="39">
    <mergeCell ref="B48:H48"/>
    <mergeCell ref="B49:H49"/>
    <mergeCell ref="B50:H50"/>
    <mergeCell ref="B51:H51"/>
    <mergeCell ref="B42:H42"/>
    <mergeCell ref="B43:H43"/>
    <mergeCell ref="B44:H44"/>
    <mergeCell ref="B46:H46"/>
    <mergeCell ref="B47:H47"/>
    <mergeCell ref="B36:H36"/>
    <mergeCell ref="B37:H37"/>
    <mergeCell ref="B39:H39"/>
    <mergeCell ref="B40:H40"/>
    <mergeCell ref="B41:H41"/>
    <mergeCell ref="B30:H30"/>
    <mergeCell ref="B32:H32"/>
    <mergeCell ref="B33:H33"/>
    <mergeCell ref="B34:H34"/>
    <mergeCell ref="B35:H35"/>
    <mergeCell ref="B25:H25"/>
    <mergeCell ref="B26:H26"/>
    <mergeCell ref="B27:H27"/>
    <mergeCell ref="B28:H28"/>
    <mergeCell ref="B29:H29"/>
    <mergeCell ref="G19:H19"/>
    <mergeCell ref="G20:H20"/>
    <mergeCell ref="G21:H21"/>
    <mergeCell ref="B23:H23"/>
    <mergeCell ref="B24:H24"/>
    <mergeCell ref="B13:H13"/>
    <mergeCell ref="B15:H15"/>
    <mergeCell ref="G16:H16"/>
    <mergeCell ref="G17:H17"/>
    <mergeCell ref="G18:H18"/>
    <mergeCell ref="B2:H2"/>
    <mergeCell ref="B4:H4"/>
    <mergeCell ref="B5:H5"/>
    <mergeCell ref="B6:H6"/>
    <mergeCell ref="B7:H7"/>
  </mergeCells>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K301"/>
  <sheetViews>
    <sheetView zoomScale="90" zoomScaleNormal="90" workbookViewId="0">
      <pane xSplit="2" ySplit="1" topLeftCell="C2" activePane="bottomRight" state="frozen"/>
      <selection pane="topRight" activeCell="C1" sqref="C1"/>
      <selection pane="bottomLeft" activeCell="A2" sqref="A2"/>
      <selection pane="bottomRight"/>
    </sheetView>
  </sheetViews>
  <sheetFormatPr baseColWidth="10" defaultColWidth="8.83203125" defaultRowHeight="15" x14ac:dyDescent="0.2"/>
  <cols>
    <col min="1" max="1" width="17.6640625" customWidth="1"/>
    <col min="2" max="2" width="21.6640625" customWidth="1"/>
    <col min="3" max="3" width="23.6640625" customWidth="1"/>
    <col min="4" max="9" width="11.33203125" customWidth="1"/>
    <col min="10" max="10" width="12.6640625" customWidth="1"/>
    <col min="11" max="20" width="11.33203125" customWidth="1"/>
    <col min="21" max="21" width="11.6640625" customWidth="1"/>
    <col min="22" max="29" width="11.33203125" customWidth="1"/>
    <col min="30" max="30" width="11.6640625" customWidth="1"/>
    <col min="31" max="37" width="11.33203125" customWidth="1"/>
  </cols>
  <sheetData>
    <row r="1" spans="1:37" ht="32" customHeight="1" x14ac:dyDescent="0.2">
      <c r="A1" s="39" t="s">
        <v>0</v>
      </c>
      <c r="B1" s="39" t="s">
        <v>1</v>
      </c>
      <c r="C1" s="39" t="s">
        <v>2</v>
      </c>
      <c r="D1" s="39" t="s">
        <v>3</v>
      </c>
      <c r="E1" s="39" t="s">
        <v>4</v>
      </c>
      <c r="F1" s="39" t="s">
        <v>5</v>
      </c>
      <c r="G1" s="39" t="s">
        <v>6</v>
      </c>
      <c r="H1" s="39" t="s">
        <v>7</v>
      </c>
      <c r="I1" s="39" t="s">
        <v>8</v>
      </c>
      <c r="J1" s="39" t="s">
        <v>9</v>
      </c>
      <c r="K1" s="39" t="s">
        <v>10</v>
      </c>
      <c r="L1" s="39" t="s">
        <v>11</v>
      </c>
      <c r="M1" s="39" t="s">
        <v>12</v>
      </c>
      <c r="N1" s="39" t="s">
        <v>13</v>
      </c>
      <c r="O1" s="39" t="s">
        <v>14</v>
      </c>
      <c r="P1" s="39" t="s">
        <v>15</v>
      </c>
      <c r="Q1" s="39" t="s">
        <v>16</v>
      </c>
      <c r="R1" s="39" t="s">
        <v>17</v>
      </c>
      <c r="S1" s="39" t="s">
        <v>18</v>
      </c>
      <c r="T1" s="39" t="s">
        <v>19</v>
      </c>
      <c r="U1" s="39" t="s">
        <v>20</v>
      </c>
      <c r="V1" s="39" t="s">
        <v>21</v>
      </c>
      <c r="W1" s="39" t="s">
        <v>22</v>
      </c>
      <c r="X1" s="39" t="s">
        <v>23</v>
      </c>
      <c r="Y1" s="39" t="s">
        <v>24</v>
      </c>
      <c r="Z1" s="39" t="s">
        <v>25</v>
      </c>
      <c r="AA1" s="39" t="s">
        <v>26</v>
      </c>
      <c r="AB1" s="39" t="s">
        <v>27</v>
      </c>
      <c r="AC1" s="39" t="s">
        <v>28</v>
      </c>
      <c r="AD1" s="39" t="s">
        <v>29</v>
      </c>
      <c r="AE1" s="39" t="s">
        <v>30</v>
      </c>
      <c r="AF1" s="39" t="s">
        <v>31</v>
      </c>
      <c r="AG1" s="39" t="s">
        <v>32</v>
      </c>
      <c r="AH1" s="39" t="s">
        <v>33</v>
      </c>
      <c r="AI1" s="39" t="s">
        <v>34</v>
      </c>
      <c r="AJ1" s="39" t="s">
        <v>35</v>
      </c>
      <c r="AK1" s="39" t="s">
        <v>36</v>
      </c>
    </row>
    <row r="2" spans="1:37" x14ac:dyDescent="0.2">
      <c r="A2" s="40" t="s">
        <v>37</v>
      </c>
      <c r="B2" s="40" t="s">
        <v>38</v>
      </c>
      <c r="C2" s="40" t="s">
        <v>39</v>
      </c>
      <c r="D2" s="40">
        <v>42</v>
      </c>
      <c r="E2" s="40" t="s">
        <v>40</v>
      </c>
      <c r="F2" s="40" t="str">
        <f>IF(OR(Donnees[[#This Row],[Jour]]="samedi",Donnees[[#This Row],[Jour]]="dimanche"),"Oui","Non")</f>
        <v>Non</v>
      </c>
      <c r="G2" s="40">
        <v>18</v>
      </c>
      <c r="H2" s="40" t="str">
        <f>IF(Donnees[[#This Row],[Heure UTC]]&lt;6,"0-5 h",IF(Donnees[[#This Row],[Heure UTC]]&lt;12,"6-11 h",IF(Donnees[[#This Row],[Heure UTC]]&lt;18,"12-17 h","18-23 h")))</f>
        <v>18-23 h</v>
      </c>
      <c r="I2" s="40">
        <v>12</v>
      </c>
      <c r="J2" s="40" t="str">
        <f>IF(Donnees[[#This Row],[Durée (s)]]&lt;=10,"1. ≤ 10 s",IF(Donnees[[#This Row],[Durée (s)]]&lt;=15,"2. 11-15 s",IF(Donnees[[#This Row],[Durée (s)]]&lt;=30,"3. 16-30 s",IF(Donnees[[#This Row],[Durée (s)]]&lt;=60,"4. 31-60 s","5. &gt; 60 s"))))</f>
        <v>2. 11-15 s</v>
      </c>
      <c r="K2" s="40" t="str">
        <f>IF(Donnees[[#This Row],[Durée (s)]]&gt;15,"Oui","Non")</f>
        <v>Non</v>
      </c>
      <c r="L2" s="40">
        <v>3</v>
      </c>
      <c r="M2" s="40" t="s">
        <v>44</v>
      </c>
      <c r="N2" s="40">
        <v>0</v>
      </c>
      <c r="O2" s="40" t="s">
        <v>41</v>
      </c>
      <c r="P2" s="40" t="s">
        <v>41</v>
      </c>
      <c r="Q2" s="40" t="s">
        <v>41</v>
      </c>
      <c r="R2" s="40"/>
      <c r="S2" s="40"/>
      <c r="T2" s="41"/>
      <c r="U2" s="40" t="str">
        <f>IF(Donnees[[#This Row],[Abonnés]]="","",IF(Donnees[[#This Row],[Abonnés]]&lt;1000000,"1. &lt; 1 M",IF(Donnees[[#This Row],[Abonnés]]&lt;3000000,"2. 1-3 M",IF(Donnees[[#This Row],[Abonnés]]&lt;8000000,"3. 3-8 M","4. ≥ 8 M"))))</f>
        <v/>
      </c>
      <c r="V2" s="41"/>
      <c r="W2" s="41">
        <v>222300000</v>
      </c>
      <c r="X2" s="41">
        <v>28000000</v>
      </c>
      <c r="Y2" s="41">
        <v>1500000</v>
      </c>
      <c r="Z2" s="41">
        <v>2100000</v>
      </c>
      <c r="AA2" s="42">
        <f>(Donnees[[#This Row],[Likes]]+Donnees[[#This Row],[Commentaires]]+Donnees[[#This Row],[Partages]])/Donnees[[#This Row],[Vues]]</f>
        <v>0.14215024741340532</v>
      </c>
      <c r="AB2" s="40">
        <f>IF(Donnees[[#This Row],[Engagement]]&gt;=VLOOKUP(Donnees[[#This Row],[Échantillon]],'Méthode &amp; limites'!$B$9:$D$11,2,FALSE),1,0)</f>
        <v>0</v>
      </c>
      <c r="AC2" s="43" t="str">
        <f>IF(Donnees[[#This Row],[Abonnés]]="","",Donnees[[#This Row],[Vues]]/Donnees[[#This Row],[Abonnés]])</f>
        <v/>
      </c>
      <c r="AD2" s="40" t="s">
        <v>44</v>
      </c>
      <c r="AE2" s="43">
        <f>SUMPRODUCT((Donnees[Échantillon]=Donnees[[#This Row],[Échantillon]])*(Donnees[Engagement]&lt;Donnees[[#This Row],[Engagement]]))+(SUMPRODUCT((Donnees[Échantillon]=Donnees[[#This Row],[Échantillon]])*(Donnees[Engagement]=Donnees[[#This Row],[Engagement]]))+1)/2</f>
        <v>71</v>
      </c>
      <c r="AF2" s="43">
        <f>SUMPRODUCT((Donnees[Échantillon]=Donnees[[#This Row],[Échantillon]])*(Donnees[Vues]&lt;Donnees[[#This Row],[Vues]]))+(SUMPRODUCT((Donnees[Échantillon]=Donnees[[#This Row],[Échantillon]])*(Donnees[Vues]=Donnees[[#This Row],[Vues]]))+1)/2</f>
        <v>100</v>
      </c>
      <c r="AG2" s="43">
        <f>SUMPRODUCT((Donnees[Échantillon]=Donnees[[#This Row],[Échantillon]])*(Donnees[Durée (s)]&lt;Donnees[[#This Row],[Durée (s)]]))+(SUMPRODUCT((Donnees[Échantillon]=Donnees[[#This Row],[Échantillon]])*(Donnees[Durée (s)]=Donnees[[#This Row],[Durée (s)]]))+1)/2</f>
        <v>56</v>
      </c>
      <c r="AH2" s="43">
        <f>SUMPRODUCT((Donnees[Échantillon]=Donnees[[#This Row],[Échantillon]])*(Donnees[Nb hashtags]&lt;Donnees[[#This Row],[Nb hashtags]]))+(SUMPRODUCT((Donnees[Échantillon]=Donnees[[#This Row],[Échantillon]])*(Donnees[Nb hashtags]=Donnees[[#This Row],[Nb hashtags]]))+1)/2</f>
        <v>52</v>
      </c>
      <c r="AI2" s="43">
        <f>SUMPRODUCT((Donnees[Échantillon]=Donnees[[#This Row],[Échantillon]])*(Donnees[Longueur du texte]&lt;Donnees[[#This Row],[Longueur du texte]]))+(SUMPRODUCT((Donnees[Échantillon]=Donnees[[#This Row],[Échantillon]])*(Donnees[Longueur du texte]=Donnees[[#This Row],[Longueur du texte]]))+1)/2</f>
        <v>16</v>
      </c>
      <c r="AJ2" s="43" t="str">
        <f>IF(Donnees[[#This Row],[Abonnés]]="","",SUMPRODUCT((Donnees[Échantillon]=Donnees[[#This Row],[Échantillon]])*(Donnees[Abonnés]&lt;Donnees[[#This Row],[Abonnés]]))+(SUMPRODUCT((Donnees[Échantillon]=Donnees[[#This Row],[Échantillon]])*(Donnees[Abonnés]=Donnees[[#This Row],[Abonnés]]))+1)/2)</f>
        <v/>
      </c>
      <c r="AK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3" spans="1:37" x14ac:dyDescent="0.2">
      <c r="A3" s="40" t="s">
        <v>37</v>
      </c>
      <c r="B3" s="40" t="s">
        <v>45</v>
      </c>
      <c r="C3" s="40" t="s">
        <v>46</v>
      </c>
      <c r="D3" s="40">
        <v>89</v>
      </c>
      <c r="E3" s="40" t="s">
        <v>47</v>
      </c>
      <c r="F3" s="40" t="str">
        <f>IF(OR(Donnees[[#This Row],[Jour]]="samedi",Donnees[[#This Row],[Jour]]="dimanche"),"Oui","Non")</f>
        <v>Non</v>
      </c>
      <c r="G3" s="40">
        <v>21</v>
      </c>
      <c r="H3" s="40" t="str">
        <f>IF(Donnees[[#This Row],[Heure UTC]]&lt;6,"0-5 h",IF(Donnees[[#This Row],[Heure UTC]]&lt;12,"6-11 h",IF(Donnees[[#This Row],[Heure UTC]]&lt;18,"12-17 h","18-23 h")))</f>
        <v>18-23 h</v>
      </c>
      <c r="I3" s="40">
        <v>58</v>
      </c>
      <c r="J3" s="40" t="str">
        <f>IF(Donnees[[#This Row],[Durée (s)]]&lt;=10,"1. ≤ 10 s",IF(Donnees[[#This Row],[Durée (s)]]&lt;=15,"2. 11-15 s",IF(Donnees[[#This Row],[Durée (s)]]&lt;=30,"3. 16-30 s",IF(Donnees[[#This Row],[Durée (s)]]&lt;=60,"4. 31-60 s","5. &gt; 60 s"))))</f>
        <v>4. 31-60 s</v>
      </c>
      <c r="K3" s="40" t="str">
        <f>IF(Donnees[[#This Row],[Durée (s)]]&gt;15,"Oui","Non")</f>
        <v>Oui</v>
      </c>
      <c r="L3" s="40">
        <v>3</v>
      </c>
      <c r="M3" s="40" t="s">
        <v>41</v>
      </c>
      <c r="N3" s="40">
        <v>0</v>
      </c>
      <c r="O3" s="40" t="s">
        <v>41</v>
      </c>
      <c r="P3" s="40" t="s">
        <v>41</v>
      </c>
      <c r="Q3" s="40" t="s">
        <v>41</v>
      </c>
      <c r="R3" s="40"/>
      <c r="S3" s="40"/>
      <c r="T3" s="41"/>
      <c r="U3" s="40" t="str">
        <f>IF(Donnees[[#This Row],[Abonnés]]="","",IF(Donnees[[#This Row],[Abonnés]]&lt;1000000,"1. &lt; 1 M",IF(Donnees[[#This Row],[Abonnés]]&lt;3000000,"2. 1-3 M",IF(Donnees[[#This Row],[Abonnés]]&lt;8000000,"3. 3-8 M","4. ≥ 8 M"))))</f>
        <v/>
      </c>
      <c r="V3" s="41"/>
      <c r="W3" s="41">
        <v>200200000</v>
      </c>
      <c r="X3" s="41">
        <v>6100000</v>
      </c>
      <c r="Y3" s="41">
        <v>90200</v>
      </c>
      <c r="Z3" s="41">
        <v>108200</v>
      </c>
      <c r="AA3" s="42">
        <f>(Donnees[[#This Row],[Likes]]+Donnees[[#This Row],[Commentaires]]+Donnees[[#This Row],[Partages]])/Donnees[[#This Row],[Vues]]</f>
        <v>3.1460539460539463E-2</v>
      </c>
      <c r="AB3" s="40">
        <f>IF(Donnees[[#This Row],[Engagement]]&gt;=VLOOKUP(Donnees[[#This Row],[Échantillon]],'Méthode &amp; limites'!$B$9:$D$11,2,FALSE),1,0)</f>
        <v>0</v>
      </c>
      <c r="AC3" s="43" t="str">
        <f>IF(Donnees[[#This Row],[Abonnés]]="","",Donnees[[#This Row],[Vues]]/Donnees[[#This Row],[Abonnés]])</f>
        <v/>
      </c>
      <c r="AD3" s="40" t="s">
        <v>44</v>
      </c>
      <c r="AE3" s="43">
        <f>SUMPRODUCT((Donnees[Échantillon]=Donnees[[#This Row],[Échantillon]])*(Donnees[Engagement]&lt;Donnees[[#This Row],[Engagement]]))+(SUMPRODUCT((Donnees[Échantillon]=Donnees[[#This Row],[Échantillon]])*(Donnees[Engagement]=Donnees[[#This Row],[Engagement]]))+1)/2</f>
        <v>4</v>
      </c>
      <c r="AF3" s="43">
        <f>SUMPRODUCT((Donnees[Échantillon]=Donnees[[#This Row],[Échantillon]])*(Donnees[Vues]&lt;Donnees[[#This Row],[Vues]]))+(SUMPRODUCT((Donnees[Échantillon]=Donnees[[#This Row],[Échantillon]])*(Donnees[Vues]=Donnees[[#This Row],[Vues]]))+1)/2</f>
        <v>99</v>
      </c>
      <c r="AG3" s="43">
        <f>SUMPRODUCT((Donnees[Échantillon]=Donnees[[#This Row],[Échantillon]])*(Donnees[Durée (s)]&lt;Donnees[[#This Row],[Durée (s)]]))+(SUMPRODUCT((Donnees[Échantillon]=Donnees[[#This Row],[Échantillon]])*(Donnees[Durée (s)]=Donnees[[#This Row],[Durée (s)]]))+1)/2</f>
        <v>97.5</v>
      </c>
      <c r="AH3" s="43">
        <f>SUMPRODUCT((Donnees[Échantillon]=Donnees[[#This Row],[Échantillon]])*(Donnees[Nb hashtags]&lt;Donnees[[#This Row],[Nb hashtags]]))+(SUMPRODUCT((Donnees[Échantillon]=Donnees[[#This Row],[Échantillon]])*(Donnees[Nb hashtags]=Donnees[[#This Row],[Nb hashtags]]))+1)/2</f>
        <v>52</v>
      </c>
      <c r="AI3" s="43">
        <f>SUMPRODUCT((Donnees[Échantillon]=Donnees[[#This Row],[Échantillon]])*(Donnees[Longueur du texte]&lt;Donnees[[#This Row],[Longueur du texte]]))+(SUMPRODUCT((Donnees[Échantillon]=Donnees[[#This Row],[Échantillon]])*(Donnees[Longueur du texte]=Donnees[[#This Row],[Longueur du texte]]))+1)/2</f>
        <v>16</v>
      </c>
      <c r="AJ3" s="43" t="str">
        <f>IF(Donnees[[#This Row],[Abonnés]]="","",SUMPRODUCT((Donnees[Échantillon]=Donnees[[#This Row],[Échantillon]])*(Donnees[Abonnés]&lt;Donnees[[#This Row],[Abonnés]]))+(SUMPRODUCT((Donnees[Échantillon]=Donnees[[#This Row],[Échantillon]])*(Donnees[Abonnés]=Donnees[[#This Row],[Abonnés]]))+1)/2)</f>
        <v/>
      </c>
      <c r="AK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4" spans="1:37" x14ac:dyDescent="0.2">
      <c r="A4" s="40" t="s">
        <v>37</v>
      </c>
      <c r="B4" s="40" t="s">
        <v>49</v>
      </c>
      <c r="C4" s="40" t="s">
        <v>50</v>
      </c>
      <c r="D4" s="40">
        <v>63</v>
      </c>
      <c r="E4" s="40" t="s">
        <v>40</v>
      </c>
      <c r="F4" s="40" t="str">
        <f>IF(OR(Donnees[[#This Row],[Jour]]="samedi",Donnees[[#This Row],[Jour]]="dimanche"),"Oui","Non")</f>
        <v>Non</v>
      </c>
      <c r="G4" s="40">
        <v>14</v>
      </c>
      <c r="H4" s="40" t="str">
        <f>IF(Donnees[[#This Row],[Heure UTC]]&lt;6,"0-5 h",IF(Donnees[[#This Row],[Heure UTC]]&lt;12,"6-11 h",IF(Donnees[[#This Row],[Heure UTC]]&lt;18,"12-17 h","18-23 h")))</f>
        <v>12-17 h</v>
      </c>
      <c r="I4" s="40">
        <v>8</v>
      </c>
      <c r="J4" s="40" t="str">
        <f>IF(Donnees[[#This Row],[Durée (s)]]&lt;=10,"1. ≤ 10 s",IF(Donnees[[#This Row],[Durée (s)]]&lt;=15,"2. 11-15 s",IF(Donnees[[#This Row],[Durée (s)]]&lt;=30,"3. 16-30 s",IF(Donnees[[#This Row],[Durée (s)]]&lt;=60,"4. 31-60 s","5. &gt; 60 s"))))</f>
        <v>1. ≤ 10 s</v>
      </c>
      <c r="K4" s="40" t="str">
        <f>IF(Donnees[[#This Row],[Durée (s)]]&gt;15,"Oui","Non")</f>
        <v>Non</v>
      </c>
      <c r="L4" s="40">
        <v>0</v>
      </c>
      <c r="M4" s="40" t="s">
        <v>41</v>
      </c>
      <c r="N4" s="40">
        <v>5</v>
      </c>
      <c r="O4" s="40" t="s">
        <v>41</v>
      </c>
      <c r="P4" s="40" t="s">
        <v>41</v>
      </c>
      <c r="Q4" s="40" t="s">
        <v>41</v>
      </c>
      <c r="R4" s="40"/>
      <c r="S4" s="40"/>
      <c r="T4" s="41"/>
      <c r="U4" s="40" t="str">
        <f>IF(Donnees[[#This Row],[Abonnés]]="","",IF(Donnees[[#This Row],[Abonnés]]&lt;1000000,"1. &lt; 1 M",IF(Donnees[[#This Row],[Abonnés]]&lt;3000000,"2. 1-3 M",IF(Donnees[[#This Row],[Abonnés]]&lt;8000000,"3. 3-8 M","4. ≥ 8 M"))))</f>
        <v/>
      </c>
      <c r="V4" s="41"/>
      <c r="W4" s="41">
        <v>162200000</v>
      </c>
      <c r="X4" s="41">
        <v>17100000</v>
      </c>
      <c r="Y4" s="41">
        <v>294300</v>
      </c>
      <c r="Z4" s="41">
        <v>110200</v>
      </c>
      <c r="AA4" s="42">
        <f>(Donnees[[#This Row],[Likes]]+Donnees[[#This Row],[Commentaires]]+Donnees[[#This Row],[Partages]])/Donnees[[#This Row],[Vues]]</f>
        <v>0.10791923551171394</v>
      </c>
      <c r="AB4" s="40">
        <f>IF(Donnees[[#This Row],[Engagement]]&gt;=VLOOKUP(Donnees[[#This Row],[Échantillon]],'Méthode &amp; limites'!$B$9:$D$11,2,FALSE),1,0)</f>
        <v>0</v>
      </c>
      <c r="AC4" s="43" t="str">
        <f>IF(Donnees[[#This Row],[Abonnés]]="","",Donnees[[#This Row],[Vues]]/Donnees[[#This Row],[Abonnés]])</f>
        <v/>
      </c>
      <c r="AD4" s="40" t="s">
        <v>44</v>
      </c>
      <c r="AE4" s="43">
        <f>SUMPRODUCT((Donnees[Échantillon]=Donnees[[#This Row],[Échantillon]])*(Donnees[Engagement]&lt;Donnees[[#This Row],[Engagement]]))+(SUMPRODUCT((Donnees[Échantillon]=Donnees[[#This Row],[Échantillon]])*(Donnees[Engagement]=Donnees[[#This Row],[Engagement]]))+1)/2</f>
        <v>51</v>
      </c>
      <c r="AF4" s="43">
        <f>SUMPRODUCT((Donnees[Échantillon]=Donnees[[#This Row],[Échantillon]])*(Donnees[Vues]&lt;Donnees[[#This Row],[Vues]]))+(SUMPRODUCT((Donnees[Échantillon]=Donnees[[#This Row],[Échantillon]])*(Donnees[Vues]=Donnees[[#This Row],[Vues]]))+1)/2</f>
        <v>98</v>
      </c>
      <c r="AG4" s="43">
        <f>SUMPRODUCT((Donnees[Échantillon]=Donnees[[#This Row],[Échantillon]])*(Donnees[Durée (s)]&lt;Donnees[[#This Row],[Durée (s)]]))+(SUMPRODUCT((Donnees[Échantillon]=Donnees[[#This Row],[Échantillon]])*(Donnees[Durée (s)]=Donnees[[#This Row],[Durée (s)]]))+1)/2</f>
        <v>14</v>
      </c>
      <c r="AH4" s="43">
        <f>SUMPRODUCT((Donnees[Échantillon]=Donnees[[#This Row],[Échantillon]])*(Donnees[Nb hashtags]&lt;Donnees[[#This Row],[Nb hashtags]]))+(SUMPRODUCT((Donnees[Échantillon]=Donnees[[#This Row],[Échantillon]])*(Donnees[Nb hashtags]=Donnees[[#This Row],[Nb hashtags]]))+1)/2</f>
        <v>19</v>
      </c>
      <c r="AI4" s="43">
        <f>SUMPRODUCT((Donnees[Échantillon]=Donnees[[#This Row],[Échantillon]])*(Donnees[Longueur du texte]&lt;Donnees[[#This Row],[Longueur du texte]]))+(SUMPRODUCT((Donnees[Échantillon]=Donnees[[#This Row],[Échantillon]])*(Donnees[Longueur du texte]=Donnees[[#This Row],[Longueur du texte]]))+1)/2</f>
        <v>41.5</v>
      </c>
      <c r="AJ4" s="43" t="str">
        <f>IF(Donnees[[#This Row],[Abonnés]]="","",SUMPRODUCT((Donnees[Échantillon]=Donnees[[#This Row],[Échantillon]])*(Donnees[Abonnés]&lt;Donnees[[#This Row],[Abonnés]]))+(SUMPRODUCT((Donnees[Échantillon]=Donnees[[#This Row],[Échantillon]])*(Donnees[Abonnés]=Donnees[[#This Row],[Abonnés]]))+1)/2)</f>
        <v/>
      </c>
      <c r="AK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5" spans="1:37" x14ac:dyDescent="0.2">
      <c r="A5" s="40" t="s">
        <v>37</v>
      </c>
      <c r="B5" s="40" t="s">
        <v>53</v>
      </c>
      <c r="C5" s="40" t="s">
        <v>50</v>
      </c>
      <c r="D5" s="40">
        <v>68</v>
      </c>
      <c r="E5" s="40" t="s">
        <v>47</v>
      </c>
      <c r="F5" s="40" t="str">
        <f>IF(OR(Donnees[[#This Row],[Jour]]="samedi",Donnees[[#This Row],[Jour]]="dimanche"),"Oui","Non")</f>
        <v>Non</v>
      </c>
      <c r="G5" s="40">
        <v>2</v>
      </c>
      <c r="H5" s="40" t="str">
        <f>IF(Donnees[[#This Row],[Heure UTC]]&lt;6,"0-5 h",IF(Donnees[[#This Row],[Heure UTC]]&lt;12,"6-11 h",IF(Donnees[[#This Row],[Heure UTC]]&lt;18,"12-17 h","18-23 h")))</f>
        <v>0-5 h</v>
      </c>
      <c r="I5" s="40">
        <v>13</v>
      </c>
      <c r="J5" s="40" t="str">
        <f>IF(Donnees[[#This Row],[Durée (s)]]&lt;=10,"1. ≤ 10 s",IF(Donnees[[#This Row],[Durée (s)]]&lt;=15,"2. 11-15 s",IF(Donnees[[#This Row],[Durée (s)]]&lt;=30,"3. 16-30 s",IF(Donnees[[#This Row],[Durée (s)]]&lt;=60,"4. 31-60 s","5. &gt; 60 s"))))</f>
        <v>2. 11-15 s</v>
      </c>
      <c r="K5" s="40" t="str">
        <f>IF(Donnees[[#This Row],[Durée (s)]]&gt;15,"Oui","Non")</f>
        <v>Non</v>
      </c>
      <c r="L5" s="40">
        <v>5</v>
      </c>
      <c r="M5" s="40" t="s">
        <v>41</v>
      </c>
      <c r="N5" s="40">
        <v>5</v>
      </c>
      <c r="O5" s="40" t="s">
        <v>41</v>
      </c>
      <c r="P5" s="40" t="s">
        <v>41</v>
      </c>
      <c r="Q5" s="40" t="s">
        <v>41</v>
      </c>
      <c r="R5" s="40"/>
      <c r="S5" s="40"/>
      <c r="T5" s="41"/>
      <c r="U5" s="40" t="str">
        <f>IF(Donnees[[#This Row],[Abonnés]]="","",IF(Donnees[[#This Row],[Abonnés]]&lt;1000000,"1. &lt; 1 M",IF(Donnees[[#This Row],[Abonnés]]&lt;3000000,"2. 1-3 M",IF(Donnees[[#This Row],[Abonnés]]&lt;8000000,"3. 3-8 M","4. ≥ 8 M"))))</f>
        <v/>
      </c>
      <c r="V5" s="41"/>
      <c r="W5" s="41">
        <v>106000000</v>
      </c>
      <c r="X5" s="41">
        <v>15200000</v>
      </c>
      <c r="Y5" s="41">
        <v>114800</v>
      </c>
      <c r="Z5" s="41">
        <v>325300</v>
      </c>
      <c r="AA5" s="42">
        <f>(Donnees[[#This Row],[Likes]]+Donnees[[#This Row],[Commentaires]]+Donnees[[#This Row],[Partages]])/Donnees[[#This Row],[Vues]]</f>
        <v>0.14754811320754718</v>
      </c>
      <c r="AB5" s="40">
        <f>IF(Donnees[[#This Row],[Engagement]]&gt;=VLOOKUP(Donnees[[#This Row],[Échantillon]],'Méthode &amp; limites'!$B$9:$D$11,2,FALSE),1,0)</f>
        <v>0</v>
      </c>
      <c r="AC5" s="43" t="str">
        <f>IF(Donnees[[#This Row],[Abonnés]]="","",Donnees[[#This Row],[Vues]]/Donnees[[#This Row],[Abonnés]])</f>
        <v/>
      </c>
      <c r="AD5" s="40" t="s">
        <v>44</v>
      </c>
      <c r="AE5" s="43">
        <f>SUMPRODUCT((Donnees[Échantillon]=Donnees[[#This Row],[Échantillon]])*(Donnees[Engagement]&lt;Donnees[[#This Row],[Engagement]]))+(SUMPRODUCT((Donnees[Échantillon]=Donnees[[#This Row],[Échantillon]])*(Donnees[Engagement]=Donnees[[#This Row],[Engagement]]))+1)/2</f>
        <v>73</v>
      </c>
      <c r="AF5" s="43">
        <f>SUMPRODUCT((Donnees[Échantillon]=Donnees[[#This Row],[Échantillon]])*(Donnees[Vues]&lt;Donnees[[#This Row],[Vues]]))+(SUMPRODUCT((Donnees[Échantillon]=Donnees[[#This Row],[Échantillon]])*(Donnees[Vues]=Donnees[[#This Row],[Vues]]))+1)/2</f>
        <v>97</v>
      </c>
      <c r="AG5" s="43">
        <f>SUMPRODUCT((Donnees[Échantillon]=Donnees[[#This Row],[Échantillon]])*(Donnees[Durée (s)]&lt;Donnees[[#This Row],[Durée (s)]]))+(SUMPRODUCT((Donnees[Échantillon]=Donnees[[#This Row],[Échantillon]])*(Donnees[Durée (s)]=Donnees[[#This Row],[Durée (s)]]))+1)/2</f>
        <v>64.5</v>
      </c>
      <c r="AH5" s="43">
        <f>SUMPRODUCT((Donnees[Échantillon]=Donnees[[#This Row],[Échantillon]])*(Donnees[Nb hashtags]&lt;Donnees[[#This Row],[Nb hashtags]]))+(SUMPRODUCT((Donnees[Échantillon]=Donnees[[#This Row],[Échantillon]])*(Donnees[Nb hashtags]=Donnees[[#This Row],[Nb hashtags]]))+1)/2</f>
        <v>70</v>
      </c>
      <c r="AI5" s="43">
        <f>SUMPRODUCT((Donnees[Échantillon]=Donnees[[#This Row],[Échantillon]])*(Donnees[Longueur du texte]&lt;Donnees[[#This Row],[Longueur du texte]]))+(SUMPRODUCT((Donnees[Échantillon]=Donnees[[#This Row],[Échantillon]])*(Donnees[Longueur du texte]=Donnees[[#This Row],[Longueur du texte]]))+1)/2</f>
        <v>41.5</v>
      </c>
      <c r="AJ5" s="43" t="str">
        <f>IF(Donnees[[#This Row],[Abonnés]]="","",SUMPRODUCT((Donnees[Échantillon]=Donnees[[#This Row],[Échantillon]])*(Donnees[Abonnés]&lt;Donnees[[#This Row],[Abonnés]]))+(SUMPRODUCT((Donnees[Échantillon]=Donnees[[#This Row],[Échantillon]])*(Donnees[Abonnés]=Donnees[[#This Row],[Abonnés]]))+1)/2)</f>
        <v/>
      </c>
      <c r="AK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6" spans="1:37" x14ac:dyDescent="0.2">
      <c r="A6" s="40" t="s">
        <v>37</v>
      </c>
      <c r="B6" s="40" t="s">
        <v>55</v>
      </c>
      <c r="C6" s="40" t="s">
        <v>50</v>
      </c>
      <c r="D6" s="40">
        <v>58</v>
      </c>
      <c r="E6" s="40" t="s">
        <v>56</v>
      </c>
      <c r="F6" s="40" t="str">
        <f>IF(OR(Donnees[[#This Row],[Jour]]="samedi",Donnees[[#This Row],[Jour]]="dimanche"),"Oui","Non")</f>
        <v>Oui</v>
      </c>
      <c r="G6" s="40">
        <v>1</v>
      </c>
      <c r="H6" s="40" t="str">
        <f>IF(Donnees[[#This Row],[Heure UTC]]&lt;6,"0-5 h",IF(Donnees[[#This Row],[Heure UTC]]&lt;12,"6-11 h",IF(Donnees[[#This Row],[Heure UTC]]&lt;18,"12-17 h","18-23 h")))</f>
        <v>0-5 h</v>
      </c>
      <c r="I6" s="40">
        <v>27</v>
      </c>
      <c r="J6" s="40" t="str">
        <f>IF(Donnees[[#This Row],[Durée (s)]]&lt;=10,"1. ≤ 10 s",IF(Donnees[[#This Row],[Durée (s)]]&lt;=15,"2. 11-15 s",IF(Donnees[[#This Row],[Durée (s)]]&lt;=30,"3. 16-30 s",IF(Donnees[[#This Row],[Durée (s)]]&lt;=60,"4. 31-60 s","5. &gt; 60 s"))))</f>
        <v>3. 16-30 s</v>
      </c>
      <c r="K6" s="40" t="str">
        <f>IF(Donnees[[#This Row],[Durée (s)]]&gt;15,"Oui","Non")</f>
        <v>Oui</v>
      </c>
      <c r="L6" s="40">
        <v>4</v>
      </c>
      <c r="M6" s="40" t="s">
        <v>41</v>
      </c>
      <c r="N6" s="40">
        <v>16</v>
      </c>
      <c r="O6" s="40" t="s">
        <v>41</v>
      </c>
      <c r="P6" s="40" t="s">
        <v>41</v>
      </c>
      <c r="Q6" s="40" t="s">
        <v>41</v>
      </c>
      <c r="R6" s="40"/>
      <c r="S6" s="40"/>
      <c r="T6" s="41"/>
      <c r="U6" s="40" t="str">
        <f>IF(Donnees[[#This Row],[Abonnés]]="","",IF(Donnees[[#This Row],[Abonnés]]&lt;1000000,"1. &lt; 1 M",IF(Donnees[[#This Row],[Abonnés]]&lt;3000000,"2. 1-3 M",IF(Donnees[[#This Row],[Abonnés]]&lt;8000000,"3. 3-8 M","4. ≥ 8 M"))))</f>
        <v/>
      </c>
      <c r="V6" s="41"/>
      <c r="W6" s="41">
        <v>101200000</v>
      </c>
      <c r="X6" s="41">
        <v>11300000</v>
      </c>
      <c r="Y6" s="41">
        <v>125200</v>
      </c>
      <c r="Z6" s="41">
        <v>908100</v>
      </c>
      <c r="AA6" s="42">
        <f>(Donnees[[#This Row],[Likes]]+Donnees[[#This Row],[Commentaires]]+Donnees[[#This Row],[Partages]])/Donnees[[#This Row],[Vues]]</f>
        <v>0.12187055335968379</v>
      </c>
      <c r="AB6" s="40">
        <f>IF(Donnees[[#This Row],[Engagement]]&gt;=VLOOKUP(Donnees[[#This Row],[Échantillon]],'Méthode &amp; limites'!$B$9:$D$11,2,FALSE),1,0)</f>
        <v>0</v>
      </c>
      <c r="AC6" s="43" t="str">
        <f>IF(Donnees[[#This Row],[Abonnés]]="","",Donnees[[#This Row],[Vues]]/Donnees[[#This Row],[Abonnés]])</f>
        <v/>
      </c>
      <c r="AD6" s="40" t="s">
        <v>44</v>
      </c>
      <c r="AE6" s="43">
        <f>SUMPRODUCT((Donnees[Échantillon]=Donnees[[#This Row],[Échantillon]])*(Donnees[Engagement]&lt;Donnees[[#This Row],[Engagement]]))+(SUMPRODUCT((Donnees[Échantillon]=Donnees[[#This Row],[Échantillon]])*(Donnees[Engagement]=Donnees[[#This Row],[Engagement]]))+1)/2</f>
        <v>62</v>
      </c>
      <c r="AF6" s="43">
        <f>SUMPRODUCT((Donnees[Échantillon]=Donnees[[#This Row],[Échantillon]])*(Donnees[Vues]&lt;Donnees[[#This Row],[Vues]]))+(SUMPRODUCT((Donnees[Échantillon]=Donnees[[#This Row],[Échantillon]])*(Donnees[Vues]=Donnees[[#This Row],[Vues]]))+1)/2</f>
        <v>96</v>
      </c>
      <c r="AG6" s="43">
        <f>SUMPRODUCT((Donnees[Échantillon]=Donnees[[#This Row],[Échantillon]])*(Donnees[Durée (s)]&lt;Donnees[[#This Row],[Durée (s)]]))+(SUMPRODUCT((Donnees[Échantillon]=Donnees[[#This Row],[Échantillon]])*(Donnees[Durée (s)]=Donnees[[#This Row],[Durée (s)]]))+1)/2</f>
        <v>91</v>
      </c>
      <c r="AH6" s="43">
        <f>SUMPRODUCT((Donnees[Échantillon]=Donnees[[#This Row],[Échantillon]])*(Donnees[Nb hashtags]&lt;Donnees[[#This Row],[Nb hashtags]]))+(SUMPRODUCT((Donnees[Échantillon]=Donnees[[#This Row],[Échantillon]])*(Donnees[Nb hashtags]=Donnees[[#This Row],[Nb hashtags]]))+1)/2</f>
        <v>62</v>
      </c>
      <c r="AI6" s="43">
        <f>SUMPRODUCT((Donnees[Échantillon]=Donnees[[#This Row],[Échantillon]])*(Donnees[Longueur du texte]&lt;Donnees[[#This Row],[Longueur du texte]]))+(SUMPRODUCT((Donnees[Échantillon]=Donnees[[#This Row],[Échantillon]])*(Donnees[Longueur du texte]=Donnees[[#This Row],[Longueur du texte]]))+1)/2</f>
        <v>52</v>
      </c>
      <c r="AJ6" s="43" t="str">
        <f>IF(Donnees[[#This Row],[Abonnés]]="","",SUMPRODUCT((Donnees[Échantillon]=Donnees[[#This Row],[Échantillon]])*(Donnees[Abonnés]&lt;Donnees[[#This Row],[Abonnés]]))+(SUMPRODUCT((Donnees[Échantillon]=Donnees[[#This Row],[Échantillon]])*(Donnees[Abonnés]=Donnees[[#This Row],[Abonnés]]))+1)/2)</f>
        <v/>
      </c>
      <c r="AK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7" spans="1:37" x14ac:dyDescent="0.2">
      <c r="A7" s="40" t="s">
        <v>37</v>
      </c>
      <c r="B7" s="40" t="s">
        <v>58</v>
      </c>
      <c r="C7" s="40" t="s">
        <v>46</v>
      </c>
      <c r="D7" s="40">
        <v>13</v>
      </c>
      <c r="E7" s="40" t="s">
        <v>59</v>
      </c>
      <c r="F7" s="40" t="str">
        <f>IF(OR(Donnees[[#This Row],[Jour]]="samedi",Donnees[[#This Row],[Jour]]="dimanche"),"Oui","Non")</f>
        <v>Non</v>
      </c>
      <c r="G7" s="40">
        <v>14</v>
      </c>
      <c r="H7" s="40" t="str">
        <f>IF(Donnees[[#This Row],[Heure UTC]]&lt;6,"0-5 h",IF(Donnees[[#This Row],[Heure UTC]]&lt;12,"6-11 h",IF(Donnees[[#This Row],[Heure UTC]]&lt;18,"12-17 h","18-23 h")))</f>
        <v>12-17 h</v>
      </c>
      <c r="I7" s="40">
        <v>8</v>
      </c>
      <c r="J7" s="40" t="str">
        <f>IF(Donnees[[#This Row],[Durée (s)]]&lt;=10,"1. ≤ 10 s",IF(Donnees[[#This Row],[Durée (s)]]&lt;=15,"2. 11-15 s",IF(Donnees[[#This Row],[Durée (s)]]&lt;=30,"3. 16-30 s",IF(Donnees[[#This Row],[Durée (s)]]&lt;=60,"4. 31-60 s","5. &gt; 60 s"))))</f>
        <v>1. ≤ 10 s</v>
      </c>
      <c r="K7" s="40" t="str">
        <f>IF(Donnees[[#This Row],[Durée (s)]]&gt;15,"Oui","Non")</f>
        <v>Non</v>
      </c>
      <c r="L7" s="40">
        <v>2</v>
      </c>
      <c r="M7" s="40" t="s">
        <v>41</v>
      </c>
      <c r="N7" s="40">
        <v>11</v>
      </c>
      <c r="O7" s="40" t="s">
        <v>41</v>
      </c>
      <c r="P7" s="40" t="s">
        <v>41</v>
      </c>
      <c r="Q7" s="40" t="s">
        <v>41</v>
      </c>
      <c r="R7" s="40"/>
      <c r="S7" s="40"/>
      <c r="T7" s="41"/>
      <c r="U7" s="40" t="str">
        <f>IF(Donnees[[#This Row],[Abonnés]]="","",IF(Donnees[[#This Row],[Abonnés]]&lt;1000000,"1. &lt; 1 M",IF(Donnees[[#This Row],[Abonnés]]&lt;3000000,"2. 1-3 M",IF(Donnees[[#This Row],[Abonnés]]&lt;8000000,"3. 3-8 M","4. ≥ 8 M"))))</f>
        <v/>
      </c>
      <c r="V7" s="41"/>
      <c r="W7" s="41">
        <v>90400000</v>
      </c>
      <c r="X7" s="41">
        <v>10300000</v>
      </c>
      <c r="Y7" s="41">
        <v>75600</v>
      </c>
      <c r="Z7" s="41">
        <v>129900</v>
      </c>
      <c r="AA7" s="42">
        <f>(Donnees[[#This Row],[Likes]]+Donnees[[#This Row],[Commentaires]]+Donnees[[#This Row],[Partages]])/Donnees[[#This Row],[Vues]]</f>
        <v>0.1162112831858407</v>
      </c>
      <c r="AB7" s="40">
        <f>IF(Donnees[[#This Row],[Engagement]]&gt;=VLOOKUP(Donnees[[#This Row],[Échantillon]],'Méthode &amp; limites'!$B$9:$D$11,2,FALSE),1,0)</f>
        <v>0</v>
      </c>
      <c r="AC7" s="43" t="str">
        <f>IF(Donnees[[#This Row],[Abonnés]]="","",Donnees[[#This Row],[Vues]]/Donnees[[#This Row],[Abonnés]])</f>
        <v/>
      </c>
      <c r="AD7" s="40" t="s">
        <v>44</v>
      </c>
      <c r="AE7" s="43">
        <f>SUMPRODUCT((Donnees[Échantillon]=Donnees[[#This Row],[Échantillon]])*(Donnees[Engagement]&lt;Donnees[[#This Row],[Engagement]]))+(SUMPRODUCT((Donnees[Échantillon]=Donnees[[#This Row],[Échantillon]])*(Donnees[Engagement]=Donnees[[#This Row],[Engagement]]))+1)/2</f>
        <v>59</v>
      </c>
      <c r="AF7" s="43">
        <f>SUMPRODUCT((Donnees[Échantillon]=Donnees[[#This Row],[Échantillon]])*(Donnees[Vues]&lt;Donnees[[#This Row],[Vues]]))+(SUMPRODUCT((Donnees[Échantillon]=Donnees[[#This Row],[Échantillon]])*(Donnees[Vues]=Donnees[[#This Row],[Vues]]))+1)/2</f>
        <v>95</v>
      </c>
      <c r="AG7" s="43">
        <f>SUMPRODUCT((Donnees[Échantillon]=Donnees[[#This Row],[Échantillon]])*(Donnees[Durée (s)]&lt;Donnees[[#This Row],[Durée (s)]]))+(SUMPRODUCT((Donnees[Échantillon]=Donnees[[#This Row],[Échantillon]])*(Donnees[Durée (s)]=Donnees[[#This Row],[Durée (s)]]))+1)/2</f>
        <v>14</v>
      </c>
      <c r="AH7" s="43">
        <f>SUMPRODUCT((Donnees[Échantillon]=Donnees[[#This Row],[Échantillon]])*(Donnees[Nb hashtags]&lt;Donnees[[#This Row],[Nb hashtags]]))+(SUMPRODUCT((Donnees[Échantillon]=Donnees[[#This Row],[Échantillon]])*(Donnees[Nb hashtags]=Donnees[[#This Row],[Nb hashtags]]))+1)/2</f>
        <v>43</v>
      </c>
      <c r="AI7" s="43">
        <f>SUMPRODUCT((Donnees[Échantillon]=Donnees[[#This Row],[Échantillon]])*(Donnees[Longueur du texte]&lt;Donnees[[#This Row],[Longueur du texte]]))+(SUMPRODUCT((Donnees[Échantillon]=Donnees[[#This Row],[Échantillon]])*(Donnees[Longueur du texte]=Donnees[[#This Row],[Longueur du texte]]))+1)/2</f>
        <v>47</v>
      </c>
      <c r="AJ7" s="43" t="str">
        <f>IF(Donnees[[#This Row],[Abonnés]]="","",SUMPRODUCT((Donnees[Échantillon]=Donnees[[#This Row],[Échantillon]])*(Donnees[Abonnés]&lt;Donnees[[#This Row],[Abonnés]]))+(SUMPRODUCT((Donnees[Échantillon]=Donnees[[#This Row],[Échantillon]])*(Donnees[Abonnés]=Donnees[[#This Row],[Abonnés]]))+1)/2)</f>
        <v/>
      </c>
      <c r="AK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8" spans="1:37" x14ac:dyDescent="0.2">
      <c r="A8" s="40" t="s">
        <v>37</v>
      </c>
      <c r="B8" s="40" t="s">
        <v>60</v>
      </c>
      <c r="C8" s="40" t="s">
        <v>50</v>
      </c>
      <c r="D8" s="40">
        <v>2</v>
      </c>
      <c r="E8" s="40" t="s">
        <v>56</v>
      </c>
      <c r="F8" s="40" t="str">
        <f>IF(OR(Donnees[[#This Row],[Jour]]="samedi",Donnees[[#This Row],[Jour]]="dimanche"),"Oui","Non")</f>
        <v>Oui</v>
      </c>
      <c r="G8" s="40">
        <v>15</v>
      </c>
      <c r="H8" s="40" t="str">
        <f>IF(Donnees[[#This Row],[Heure UTC]]&lt;6,"0-5 h",IF(Donnees[[#This Row],[Heure UTC]]&lt;12,"6-11 h",IF(Donnees[[#This Row],[Heure UTC]]&lt;18,"12-17 h","18-23 h")))</f>
        <v>12-17 h</v>
      </c>
      <c r="I8" s="40">
        <v>25</v>
      </c>
      <c r="J8" s="40" t="str">
        <f>IF(Donnees[[#This Row],[Durée (s)]]&lt;=10,"1. ≤ 10 s",IF(Donnees[[#This Row],[Durée (s)]]&lt;=15,"2. 11-15 s",IF(Donnees[[#This Row],[Durée (s)]]&lt;=30,"3. 16-30 s",IF(Donnees[[#This Row],[Durée (s)]]&lt;=60,"4. 31-60 s","5. &gt; 60 s"))))</f>
        <v>3. 16-30 s</v>
      </c>
      <c r="K8" s="40" t="str">
        <f>IF(Donnees[[#This Row],[Durée (s)]]&gt;15,"Oui","Non")</f>
        <v>Oui</v>
      </c>
      <c r="L8" s="40">
        <v>3</v>
      </c>
      <c r="M8" s="40" t="s">
        <v>41</v>
      </c>
      <c r="N8" s="40">
        <v>66</v>
      </c>
      <c r="O8" s="40" t="s">
        <v>41</v>
      </c>
      <c r="P8" s="40" t="s">
        <v>44</v>
      </c>
      <c r="Q8" s="40" t="s">
        <v>44</v>
      </c>
      <c r="R8" s="40"/>
      <c r="S8" s="40"/>
      <c r="T8" s="41"/>
      <c r="U8" s="40" t="str">
        <f>IF(Donnees[[#This Row],[Abonnés]]="","",IF(Donnees[[#This Row],[Abonnés]]&lt;1000000,"1. &lt; 1 M",IF(Donnees[[#This Row],[Abonnés]]&lt;3000000,"2. 1-3 M",IF(Donnees[[#This Row],[Abonnés]]&lt;8000000,"3. 3-8 M","4. ≥ 8 M"))))</f>
        <v/>
      </c>
      <c r="V8" s="41"/>
      <c r="W8" s="41">
        <v>84500000</v>
      </c>
      <c r="X8" s="41">
        <v>12000000</v>
      </c>
      <c r="Y8" s="41">
        <v>118500</v>
      </c>
      <c r="Z8" s="41">
        <v>63400</v>
      </c>
      <c r="AA8" s="42">
        <f>(Donnees[[#This Row],[Likes]]+Donnees[[#This Row],[Commentaires]]+Donnees[[#This Row],[Partages]])/Donnees[[#This Row],[Vues]]</f>
        <v>0.14416449704142012</v>
      </c>
      <c r="AB8" s="40">
        <f>IF(Donnees[[#This Row],[Engagement]]&gt;=VLOOKUP(Donnees[[#This Row],[Échantillon]],'Méthode &amp; limites'!$B$9:$D$11,2,FALSE),1,0)</f>
        <v>0</v>
      </c>
      <c r="AC8" s="43" t="str">
        <f>IF(Donnees[[#This Row],[Abonnés]]="","",Donnees[[#This Row],[Vues]]/Donnees[[#This Row],[Abonnés]])</f>
        <v/>
      </c>
      <c r="AD8" s="40" t="s">
        <v>44</v>
      </c>
      <c r="AE8" s="43">
        <f>SUMPRODUCT((Donnees[Échantillon]=Donnees[[#This Row],[Échantillon]])*(Donnees[Engagement]&lt;Donnees[[#This Row],[Engagement]]))+(SUMPRODUCT((Donnees[Échantillon]=Donnees[[#This Row],[Échantillon]])*(Donnees[Engagement]=Donnees[[#This Row],[Engagement]]))+1)/2</f>
        <v>72</v>
      </c>
      <c r="AF8" s="43">
        <f>SUMPRODUCT((Donnees[Échantillon]=Donnees[[#This Row],[Échantillon]])*(Donnees[Vues]&lt;Donnees[[#This Row],[Vues]]))+(SUMPRODUCT((Donnees[Échantillon]=Donnees[[#This Row],[Échantillon]])*(Donnees[Vues]=Donnees[[#This Row],[Vues]]))+1)/2</f>
        <v>94</v>
      </c>
      <c r="AG8" s="43">
        <f>SUMPRODUCT((Donnees[Échantillon]=Donnees[[#This Row],[Échantillon]])*(Donnees[Durée (s)]&lt;Donnees[[#This Row],[Durée (s)]]))+(SUMPRODUCT((Donnees[Échantillon]=Donnees[[#This Row],[Échantillon]])*(Donnees[Durée (s)]=Donnees[[#This Row],[Durée (s)]]))+1)/2</f>
        <v>90</v>
      </c>
      <c r="AH8" s="43">
        <f>SUMPRODUCT((Donnees[Échantillon]=Donnees[[#This Row],[Échantillon]])*(Donnees[Nb hashtags]&lt;Donnees[[#This Row],[Nb hashtags]]))+(SUMPRODUCT((Donnees[Échantillon]=Donnees[[#This Row],[Échantillon]])*(Donnees[Nb hashtags]=Donnees[[#This Row],[Nb hashtags]]))+1)/2</f>
        <v>52</v>
      </c>
      <c r="AI8" s="43">
        <f>SUMPRODUCT((Donnees[Échantillon]=Donnees[[#This Row],[Échantillon]])*(Donnees[Longueur du texte]&lt;Donnees[[#This Row],[Longueur du texte]]))+(SUMPRODUCT((Donnees[Échantillon]=Donnees[[#This Row],[Échantillon]])*(Donnees[Longueur du texte]=Donnees[[#This Row],[Longueur du texte]]))+1)/2</f>
        <v>99</v>
      </c>
      <c r="AJ8" s="43" t="str">
        <f>IF(Donnees[[#This Row],[Abonnés]]="","",SUMPRODUCT((Donnees[Échantillon]=Donnees[[#This Row],[Échantillon]])*(Donnees[Abonnés]&lt;Donnees[[#This Row],[Abonnés]]))+(SUMPRODUCT((Donnees[Échantillon]=Donnees[[#This Row],[Échantillon]])*(Donnees[Abonnés]=Donnees[[#This Row],[Abonnés]]))+1)/2)</f>
        <v/>
      </c>
      <c r="AK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9" spans="1:37" x14ac:dyDescent="0.2">
      <c r="A9" s="40" t="s">
        <v>37</v>
      </c>
      <c r="B9" s="40" t="s">
        <v>61</v>
      </c>
      <c r="C9" s="40" t="s">
        <v>62</v>
      </c>
      <c r="D9" s="40">
        <v>12</v>
      </c>
      <c r="E9" s="40" t="s">
        <v>47</v>
      </c>
      <c r="F9" s="40" t="str">
        <f>IF(OR(Donnees[[#This Row],[Jour]]="samedi",Donnees[[#This Row],[Jour]]="dimanche"),"Oui","Non")</f>
        <v>Non</v>
      </c>
      <c r="G9" s="40">
        <v>13</v>
      </c>
      <c r="H9" s="40" t="str">
        <f>IF(Donnees[[#This Row],[Heure UTC]]&lt;6,"0-5 h",IF(Donnees[[#This Row],[Heure UTC]]&lt;12,"6-11 h",IF(Donnees[[#This Row],[Heure UTC]]&lt;18,"12-17 h","18-23 h")))</f>
        <v>12-17 h</v>
      </c>
      <c r="I9" s="40">
        <v>8</v>
      </c>
      <c r="J9" s="40" t="str">
        <f>IF(Donnees[[#This Row],[Durée (s)]]&lt;=10,"1. ≤ 10 s",IF(Donnees[[#This Row],[Durée (s)]]&lt;=15,"2. 11-15 s",IF(Donnees[[#This Row],[Durée (s)]]&lt;=30,"3. 16-30 s",IF(Donnees[[#This Row],[Durée (s)]]&lt;=60,"4. 31-60 s","5. &gt; 60 s"))))</f>
        <v>1. ≤ 10 s</v>
      </c>
      <c r="K9" s="40" t="str">
        <f>IF(Donnees[[#This Row],[Durée (s)]]&gt;15,"Oui","Non")</f>
        <v>Non</v>
      </c>
      <c r="L9" s="40">
        <v>18</v>
      </c>
      <c r="M9" s="40" t="s">
        <v>44</v>
      </c>
      <c r="N9" s="40">
        <v>14</v>
      </c>
      <c r="O9" s="40" t="s">
        <v>41</v>
      </c>
      <c r="P9" s="40" t="s">
        <v>41</v>
      </c>
      <c r="Q9" s="40" t="s">
        <v>41</v>
      </c>
      <c r="R9" s="40"/>
      <c r="S9" s="40"/>
      <c r="T9" s="41"/>
      <c r="U9" s="40" t="str">
        <f>IF(Donnees[[#This Row],[Abonnés]]="","",IF(Donnees[[#This Row],[Abonnés]]&lt;1000000,"1. &lt; 1 M",IF(Donnees[[#This Row],[Abonnés]]&lt;3000000,"2. 1-3 M",IF(Donnees[[#This Row],[Abonnés]]&lt;8000000,"3. 3-8 M","4. ≥ 8 M"))))</f>
        <v/>
      </c>
      <c r="V9" s="41"/>
      <c r="W9" s="41">
        <v>79800000</v>
      </c>
      <c r="X9" s="41">
        <v>6000000</v>
      </c>
      <c r="Y9" s="41">
        <v>38700</v>
      </c>
      <c r="Z9" s="41">
        <v>82100</v>
      </c>
      <c r="AA9" s="42">
        <f>(Donnees[[#This Row],[Likes]]+Donnees[[#This Row],[Commentaires]]+Donnees[[#This Row],[Partages]])/Donnees[[#This Row],[Vues]]</f>
        <v>7.670175438596491E-2</v>
      </c>
      <c r="AB9" s="40">
        <f>IF(Donnees[[#This Row],[Engagement]]&gt;=VLOOKUP(Donnees[[#This Row],[Échantillon]],'Méthode &amp; limites'!$B$9:$D$11,2,FALSE),1,0)</f>
        <v>0</v>
      </c>
      <c r="AC9" s="43" t="str">
        <f>IF(Donnees[[#This Row],[Abonnés]]="","",Donnees[[#This Row],[Vues]]/Donnees[[#This Row],[Abonnés]])</f>
        <v/>
      </c>
      <c r="AD9" s="40" t="s">
        <v>44</v>
      </c>
      <c r="AE9" s="43">
        <f>SUMPRODUCT((Donnees[Échantillon]=Donnees[[#This Row],[Échantillon]])*(Donnees[Engagement]&lt;Donnees[[#This Row],[Engagement]]))+(SUMPRODUCT((Donnees[Échantillon]=Donnees[[#This Row],[Échantillon]])*(Donnees[Engagement]=Donnees[[#This Row],[Engagement]]))+1)/2</f>
        <v>28</v>
      </c>
      <c r="AF9" s="43">
        <f>SUMPRODUCT((Donnees[Échantillon]=Donnees[[#This Row],[Échantillon]])*(Donnees[Vues]&lt;Donnees[[#This Row],[Vues]]))+(SUMPRODUCT((Donnees[Échantillon]=Donnees[[#This Row],[Échantillon]])*(Donnees[Vues]=Donnees[[#This Row],[Vues]]))+1)/2</f>
        <v>93</v>
      </c>
      <c r="AG9" s="43">
        <f>SUMPRODUCT((Donnees[Échantillon]=Donnees[[#This Row],[Échantillon]])*(Donnees[Durée (s)]&lt;Donnees[[#This Row],[Durée (s)]]))+(SUMPRODUCT((Donnees[Échantillon]=Donnees[[#This Row],[Échantillon]])*(Donnees[Durée (s)]=Donnees[[#This Row],[Durée (s)]]))+1)/2</f>
        <v>14</v>
      </c>
      <c r="AH9" s="43">
        <f>SUMPRODUCT((Donnees[Échantillon]=Donnees[[#This Row],[Échantillon]])*(Donnees[Nb hashtags]&lt;Donnees[[#This Row],[Nb hashtags]]))+(SUMPRODUCT((Donnees[Échantillon]=Donnees[[#This Row],[Échantillon]])*(Donnees[Nb hashtags]=Donnees[[#This Row],[Nb hashtags]]))+1)/2</f>
        <v>100</v>
      </c>
      <c r="AI9" s="43">
        <f>SUMPRODUCT((Donnees[Échantillon]=Donnees[[#This Row],[Échantillon]])*(Donnees[Longueur du texte]&lt;Donnees[[#This Row],[Longueur du texte]]))+(SUMPRODUCT((Donnees[Échantillon]=Donnees[[#This Row],[Échantillon]])*(Donnees[Longueur du texte]=Donnees[[#This Row],[Longueur du texte]]))+1)/2</f>
        <v>50</v>
      </c>
      <c r="AJ9" s="43" t="str">
        <f>IF(Donnees[[#This Row],[Abonnés]]="","",SUMPRODUCT((Donnees[Échantillon]=Donnees[[#This Row],[Échantillon]])*(Donnees[Abonnés]&lt;Donnees[[#This Row],[Abonnés]]))+(SUMPRODUCT((Donnees[Échantillon]=Donnees[[#This Row],[Échantillon]])*(Donnees[Abonnés]=Donnees[[#This Row],[Abonnés]]))+1)/2)</f>
        <v/>
      </c>
      <c r="AK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0" spans="1:37" x14ac:dyDescent="0.2">
      <c r="A10" s="40" t="s">
        <v>37</v>
      </c>
      <c r="B10" s="40" t="s">
        <v>63</v>
      </c>
      <c r="C10" s="40" t="s">
        <v>62</v>
      </c>
      <c r="D10" s="40">
        <v>41</v>
      </c>
      <c r="E10" s="40" t="s">
        <v>59</v>
      </c>
      <c r="F10" s="40" t="str">
        <f>IF(OR(Donnees[[#This Row],[Jour]]="samedi",Donnees[[#This Row],[Jour]]="dimanche"),"Oui","Non")</f>
        <v>Non</v>
      </c>
      <c r="G10" s="40">
        <v>21</v>
      </c>
      <c r="H10" s="40" t="str">
        <f>IF(Donnees[[#This Row],[Heure UTC]]&lt;6,"0-5 h",IF(Donnees[[#This Row],[Heure UTC]]&lt;12,"6-11 h",IF(Donnees[[#This Row],[Heure UTC]]&lt;18,"12-17 h","18-23 h")))</f>
        <v>18-23 h</v>
      </c>
      <c r="I10" s="40">
        <v>47</v>
      </c>
      <c r="J10" s="40" t="str">
        <f>IF(Donnees[[#This Row],[Durée (s)]]&lt;=10,"1. ≤ 10 s",IF(Donnees[[#This Row],[Durée (s)]]&lt;=15,"2. 11-15 s",IF(Donnees[[#This Row],[Durée (s)]]&lt;=30,"3. 16-30 s",IF(Donnees[[#This Row],[Durée (s)]]&lt;=60,"4. 31-60 s","5. &gt; 60 s"))))</f>
        <v>4. 31-60 s</v>
      </c>
      <c r="K10" s="40" t="str">
        <f>IF(Donnees[[#This Row],[Durée (s)]]&gt;15,"Oui","Non")</f>
        <v>Oui</v>
      </c>
      <c r="L10" s="40">
        <v>7</v>
      </c>
      <c r="M10" s="40" t="s">
        <v>41</v>
      </c>
      <c r="N10" s="40">
        <v>34</v>
      </c>
      <c r="O10" s="40" t="s">
        <v>41</v>
      </c>
      <c r="P10" s="40" t="s">
        <v>41</v>
      </c>
      <c r="Q10" s="40" t="s">
        <v>41</v>
      </c>
      <c r="R10" s="40"/>
      <c r="S10" s="40"/>
      <c r="T10" s="41"/>
      <c r="U10" s="40" t="str">
        <f>IF(Donnees[[#This Row],[Abonnés]]="","",IF(Donnees[[#This Row],[Abonnés]]&lt;1000000,"1. &lt; 1 M",IF(Donnees[[#This Row],[Abonnés]]&lt;3000000,"2. 1-3 M",IF(Donnees[[#This Row],[Abonnés]]&lt;8000000,"3. 3-8 M","4. ≥ 8 M"))))</f>
        <v/>
      </c>
      <c r="V10" s="41"/>
      <c r="W10" s="41">
        <v>56300000</v>
      </c>
      <c r="X10" s="41">
        <v>8300000</v>
      </c>
      <c r="Y10" s="41">
        <v>55700</v>
      </c>
      <c r="Z10" s="41">
        <v>410900</v>
      </c>
      <c r="AA10" s="42">
        <f>(Donnees[[#This Row],[Likes]]+Donnees[[#This Row],[Commentaires]]+Donnees[[#This Row],[Partages]])/Donnees[[#This Row],[Vues]]</f>
        <v>0.15571225577264652</v>
      </c>
      <c r="AB10" s="40">
        <f>IF(Donnees[[#This Row],[Engagement]]&gt;=VLOOKUP(Donnees[[#This Row],[Échantillon]],'Méthode &amp; limites'!$B$9:$D$11,2,FALSE),1,0)</f>
        <v>0</v>
      </c>
      <c r="AC10" s="43" t="str">
        <f>IF(Donnees[[#This Row],[Abonnés]]="","",Donnees[[#This Row],[Vues]]/Donnees[[#This Row],[Abonnés]])</f>
        <v/>
      </c>
      <c r="AD10" s="40" t="s">
        <v>44</v>
      </c>
      <c r="AE10" s="43">
        <f>SUMPRODUCT((Donnees[Échantillon]=Donnees[[#This Row],[Échantillon]])*(Donnees[Engagement]&lt;Donnees[[#This Row],[Engagement]]))+(SUMPRODUCT((Donnees[Échantillon]=Donnees[[#This Row],[Échantillon]])*(Donnees[Engagement]=Donnees[[#This Row],[Engagement]]))+1)/2</f>
        <v>75</v>
      </c>
      <c r="AF10" s="43">
        <f>SUMPRODUCT((Donnees[Échantillon]=Donnees[[#This Row],[Échantillon]])*(Donnees[Vues]&lt;Donnees[[#This Row],[Vues]]))+(SUMPRODUCT((Donnees[Échantillon]=Donnees[[#This Row],[Échantillon]])*(Donnees[Vues]=Donnees[[#This Row],[Vues]]))+1)/2</f>
        <v>92</v>
      </c>
      <c r="AG10" s="43">
        <f>SUMPRODUCT((Donnees[Échantillon]=Donnees[[#This Row],[Échantillon]])*(Donnees[Durée (s)]&lt;Donnees[[#This Row],[Durée (s)]]))+(SUMPRODUCT((Donnees[Échantillon]=Donnees[[#This Row],[Échantillon]])*(Donnees[Durée (s)]=Donnees[[#This Row],[Durée (s)]]))+1)/2</f>
        <v>95</v>
      </c>
      <c r="AH10" s="43">
        <f>SUMPRODUCT((Donnees[Échantillon]=Donnees[[#This Row],[Échantillon]])*(Donnees[Nb hashtags]&lt;Donnees[[#This Row],[Nb hashtags]]))+(SUMPRODUCT((Donnees[Échantillon]=Donnees[[#This Row],[Échantillon]])*(Donnees[Nb hashtags]=Donnees[[#This Row],[Nb hashtags]]))+1)/2</f>
        <v>80</v>
      </c>
      <c r="AI10" s="43">
        <f>SUMPRODUCT((Donnees[Échantillon]=Donnees[[#This Row],[Échantillon]])*(Donnees[Longueur du texte]&lt;Donnees[[#This Row],[Longueur du texte]]))+(SUMPRODUCT((Donnees[Échantillon]=Donnees[[#This Row],[Échantillon]])*(Donnees[Longueur du texte]=Donnees[[#This Row],[Longueur du texte]]))+1)/2</f>
        <v>75.5</v>
      </c>
      <c r="AJ10" s="43" t="str">
        <f>IF(Donnees[[#This Row],[Abonnés]]="","",SUMPRODUCT((Donnees[Échantillon]=Donnees[[#This Row],[Échantillon]])*(Donnees[Abonnés]&lt;Donnees[[#This Row],[Abonnés]]))+(SUMPRODUCT((Donnees[Échantillon]=Donnees[[#This Row],[Échantillon]])*(Donnees[Abonnés]=Donnees[[#This Row],[Abonnés]]))+1)/2)</f>
        <v/>
      </c>
      <c r="AK1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1" spans="1:37" x14ac:dyDescent="0.2">
      <c r="A11" s="40" t="s">
        <v>37</v>
      </c>
      <c r="B11" s="40" t="s">
        <v>64</v>
      </c>
      <c r="C11" s="40" t="s">
        <v>39</v>
      </c>
      <c r="D11" s="40">
        <v>28</v>
      </c>
      <c r="E11" s="40" t="s">
        <v>40</v>
      </c>
      <c r="F11" s="40" t="str">
        <f>IF(OR(Donnees[[#This Row],[Jour]]="samedi",Donnees[[#This Row],[Jour]]="dimanche"),"Oui","Non")</f>
        <v>Non</v>
      </c>
      <c r="G11" s="40">
        <v>17</v>
      </c>
      <c r="H11" s="40" t="str">
        <f>IF(Donnees[[#This Row],[Heure UTC]]&lt;6,"0-5 h",IF(Donnees[[#This Row],[Heure UTC]]&lt;12,"6-11 h",IF(Donnees[[#This Row],[Heure UTC]]&lt;18,"12-17 h","18-23 h")))</f>
        <v>12-17 h</v>
      </c>
      <c r="I11" s="40">
        <v>9</v>
      </c>
      <c r="J11" s="40" t="str">
        <f>IF(Donnees[[#This Row],[Durée (s)]]&lt;=10,"1. ≤ 10 s",IF(Donnees[[#This Row],[Durée (s)]]&lt;=15,"2. 11-15 s",IF(Donnees[[#This Row],[Durée (s)]]&lt;=30,"3. 16-30 s",IF(Donnees[[#This Row],[Durée (s)]]&lt;=60,"4. 31-60 s","5. &gt; 60 s"))))</f>
        <v>1. ≤ 10 s</v>
      </c>
      <c r="K11" s="40" t="str">
        <f>IF(Donnees[[#This Row],[Durée (s)]]&gt;15,"Oui","Non")</f>
        <v>Non</v>
      </c>
      <c r="L11" s="40">
        <v>0</v>
      </c>
      <c r="M11" s="40" t="s">
        <v>41</v>
      </c>
      <c r="N11" s="40">
        <v>0</v>
      </c>
      <c r="O11" s="40" t="s">
        <v>41</v>
      </c>
      <c r="P11" s="40" t="s">
        <v>44</v>
      </c>
      <c r="Q11" s="40" t="s">
        <v>41</v>
      </c>
      <c r="R11" s="40"/>
      <c r="S11" s="40"/>
      <c r="T11" s="41"/>
      <c r="U11" s="40" t="str">
        <f>IF(Donnees[[#This Row],[Abonnés]]="","",IF(Donnees[[#This Row],[Abonnés]]&lt;1000000,"1. &lt; 1 M",IF(Donnees[[#This Row],[Abonnés]]&lt;3000000,"2. 1-3 M",IF(Donnees[[#This Row],[Abonnés]]&lt;8000000,"3. 3-8 M","4. ≥ 8 M"))))</f>
        <v/>
      </c>
      <c r="V11" s="41"/>
      <c r="W11" s="41">
        <v>54300000</v>
      </c>
      <c r="X11" s="41">
        <v>4200000</v>
      </c>
      <c r="Y11" s="41">
        <v>18700</v>
      </c>
      <c r="Z11" s="41">
        <v>16400</v>
      </c>
      <c r="AA11" s="42">
        <f>(Donnees[[#This Row],[Likes]]+Donnees[[#This Row],[Commentaires]]+Donnees[[#This Row],[Partages]])/Donnees[[#This Row],[Vues]]</f>
        <v>7.799447513812155E-2</v>
      </c>
      <c r="AB11" s="40">
        <f>IF(Donnees[[#This Row],[Engagement]]&gt;=VLOOKUP(Donnees[[#This Row],[Échantillon]],'Méthode &amp; limites'!$B$9:$D$11,2,FALSE),1,0)</f>
        <v>0</v>
      </c>
      <c r="AC11" s="43" t="str">
        <f>IF(Donnees[[#This Row],[Abonnés]]="","",Donnees[[#This Row],[Vues]]/Donnees[[#This Row],[Abonnés]])</f>
        <v/>
      </c>
      <c r="AD11" s="40" t="s">
        <v>44</v>
      </c>
      <c r="AE11" s="43">
        <f>SUMPRODUCT((Donnees[Échantillon]=Donnees[[#This Row],[Échantillon]])*(Donnees[Engagement]&lt;Donnees[[#This Row],[Engagement]]))+(SUMPRODUCT((Donnees[Échantillon]=Donnees[[#This Row],[Échantillon]])*(Donnees[Engagement]=Donnees[[#This Row],[Engagement]]))+1)/2</f>
        <v>33</v>
      </c>
      <c r="AF11" s="43">
        <f>SUMPRODUCT((Donnees[Échantillon]=Donnees[[#This Row],[Échantillon]])*(Donnees[Vues]&lt;Donnees[[#This Row],[Vues]]))+(SUMPRODUCT((Donnees[Échantillon]=Donnees[[#This Row],[Échantillon]])*(Donnees[Vues]=Donnees[[#This Row],[Vues]]))+1)/2</f>
        <v>91</v>
      </c>
      <c r="AG11" s="43">
        <f>SUMPRODUCT((Donnees[Échantillon]=Donnees[[#This Row],[Échantillon]])*(Donnees[Durée (s)]&lt;Donnees[[#This Row],[Durée (s)]]))+(SUMPRODUCT((Donnees[Échantillon]=Donnees[[#This Row],[Échantillon]])*(Donnees[Durée (s)]=Donnees[[#This Row],[Durée (s)]]))+1)/2</f>
        <v>28</v>
      </c>
      <c r="AH11" s="43">
        <f>SUMPRODUCT((Donnees[Échantillon]=Donnees[[#This Row],[Échantillon]])*(Donnees[Nb hashtags]&lt;Donnees[[#This Row],[Nb hashtags]]))+(SUMPRODUCT((Donnees[Échantillon]=Donnees[[#This Row],[Échantillon]])*(Donnees[Nb hashtags]=Donnees[[#This Row],[Nb hashtags]]))+1)/2</f>
        <v>19</v>
      </c>
      <c r="AI11" s="43">
        <f>SUMPRODUCT((Donnees[Échantillon]=Donnees[[#This Row],[Échantillon]])*(Donnees[Longueur du texte]&lt;Donnees[[#This Row],[Longueur du texte]]))+(SUMPRODUCT((Donnees[Échantillon]=Donnees[[#This Row],[Échantillon]])*(Donnees[Longueur du texte]=Donnees[[#This Row],[Longueur du texte]]))+1)/2</f>
        <v>16</v>
      </c>
      <c r="AJ11" s="43" t="str">
        <f>IF(Donnees[[#This Row],[Abonnés]]="","",SUMPRODUCT((Donnees[Échantillon]=Donnees[[#This Row],[Échantillon]])*(Donnees[Abonnés]&lt;Donnees[[#This Row],[Abonnés]]))+(SUMPRODUCT((Donnees[Échantillon]=Donnees[[#This Row],[Échantillon]])*(Donnees[Abonnés]=Donnees[[#This Row],[Abonnés]]))+1)/2)</f>
        <v/>
      </c>
      <c r="AK1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2" spans="1:37" x14ac:dyDescent="0.2">
      <c r="A12" s="40" t="s">
        <v>37</v>
      </c>
      <c r="B12" s="40" t="s">
        <v>65</v>
      </c>
      <c r="C12" s="40" t="s">
        <v>39</v>
      </c>
      <c r="D12" s="40">
        <v>68</v>
      </c>
      <c r="E12" s="40" t="s">
        <v>47</v>
      </c>
      <c r="F12" s="40" t="str">
        <f>IF(OR(Donnees[[#This Row],[Jour]]="samedi",Donnees[[#This Row],[Jour]]="dimanche"),"Oui","Non")</f>
        <v>Non</v>
      </c>
      <c r="G12" s="40">
        <v>1</v>
      </c>
      <c r="H12" s="40" t="str">
        <f>IF(Donnees[[#This Row],[Heure UTC]]&lt;6,"0-5 h",IF(Donnees[[#This Row],[Heure UTC]]&lt;12,"6-11 h",IF(Donnees[[#This Row],[Heure UTC]]&lt;18,"12-17 h","18-23 h")))</f>
        <v>0-5 h</v>
      </c>
      <c r="I12" s="40">
        <v>13</v>
      </c>
      <c r="J12" s="40" t="str">
        <f>IF(Donnees[[#This Row],[Durée (s)]]&lt;=10,"1. ≤ 10 s",IF(Donnees[[#This Row],[Durée (s)]]&lt;=15,"2. 11-15 s",IF(Donnees[[#This Row],[Durée (s)]]&lt;=30,"3. 16-30 s",IF(Donnees[[#This Row],[Durée (s)]]&lt;=60,"4. 31-60 s","5. &gt; 60 s"))))</f>
        <v>2. 11-15 s</v>
      </c>
      <c r="K12" s="40" t="str">
        <f>IF(Donnees[[#This Row],[Durée (s)]]&gt;15,"Oui","Non")</f>
        <v>Non</v>
      </c>
      <c r="L12" s="40">
        <v>0</v>
      </c>
      <c r="M12" s="40" t="s">
        <v>41</v>
      </c>
      <c r="N12" s="40">
        <v>0</v>
      </c>
      <c r="O12" s="40" t="s">
        <v>44</v>
      </c>
      <c r="P12" s="40" t="s">
        <v>41</v>
      </c>
      <c r="Q12" s="40" t="s">
        <v>41</v>
      </c>
      <c r="R12" s="40"/>
      <c r="S12" s="40"/>
      <c r="T12" s="41"/>
      <c r="U12" s="40" t="str">
        <f>IF(Donnees[[#This Row],[Abonnés]]="","",IF(Donnees[[#This Row],[Abonnés]]&lt;1000000,"1. &lt; 1 M",IF(Donnees[[#This Row],[Abonnés]]&lt;3000000,"2. 1-3 M",IF(Donnees[[#This Row],[Abonnés]]&lt;8000000,"3. 3-8 M","4. ≥ 8 M"))))</f>
        <v/>
      </c>
      <c r="V12" s="41"/>
      <c r="W12" s="41">
        <v>50500000</v>
      </c>
      <c r="X12" s="41">
        <v>9900000</v>
      </c>
      <c r="Y12" s="41">
        <v>73400</v>
      </c>
      <c r="Z12" s="41">
        <v>52800</v>
      </c>
      <c r="AA12" s="42">
        <f>(Donnees[[#This Row],[Likes]]+Donnees[[#This Row],[Commentaires]]+Donnees[[#This Row],[Partages]])/Donnees[[#This Row],[Vues]]</f>
        <v>0.19853861386138613</v>
      </c>
      <c r="AB12" s="40">
        <f>IF(Donnees[[#This Row],[Engagement]]&gt;=VLOOKUP(Donnees[[#This Row],[Échantillon]],'Méthode &amp; limites'!$B$9:$D$11,2,FALSE),1,0)</f>
        <v>1</v>
      </c>
      <c r="AC12" s="43" t="str">
        <f>IF(Donnees[[#This Row],[Abonnés]]="","",Donnees[[#This Row],[Vues]]/Donnees[[#This Row],[Abonnés]])</f>
        <v/>
      </c>
      <c r="AD12" s="40" t="s">
        <v>44</v>
      </c>
      <c r="AE12" s="43">
        <f>SUMPRODUCT((Donnees[Échantillon]=Donnees[[#This Row],[Échantillon]])*(Donnees[Engagement]&lt;Donnees[[#This Row],[Engagement]]))+(SUMPRODUCT((Donnees[Échantillon]=Donnees[[#This Row],[Échantillon]])*(Donnees[Engagement]=Donnees[[#This Row],[Engagement]]))+1)/2</f>
        <v>91</v>
      </c>
      <c r="AF12" s="43">
        <f>SUMPRODUCT((Donnees[Échantillon]=Donnees[[#This Row],[Échantillon]])*(Donnees[Vues]&lt;Donnees[[#This Row],[Vues]]))+(SUMPRODUCT((Donnees[Échantillon]=Donnees[[#This Row],[Échantillon]])*(Donnees[Vues]=Donnees[[#This Row],[Vues]]))+1)/2</f>
        <v>90</v>
      </c>
      <c r="AG12" s="43">
        <f>SUMPRODUCT((Donnees[Échantillon]=Donnees[[#This Row],[Échantillon]])*(Donnees[Durée (s)]&lt;Donnees[[#This Row],[Durée (s)]]))+(SUMPRODUCT((Donnees[Échantillon]=Donnees[[#This Row],[Échantillon]])*(Donnees[Durée (s)]=Donnees[[#This Row],[Durée (s)]]))+1)/2</f>
        <v>64.5</v>
      </c>
      <c r="AH12" s="43">
        <f>SUMPRODUCT((Donnees[Échantillon]=Donnees[[#This Row],[Échantillon]])*(Donnees[Nb hashtags]&lt;Donnees[[#This Row],[Nb hashtags]]))+(SUMPRODUCT((Donnees[Échantillon]=Donnees[[#This Row],[Échantillon]])*(Donnees[Nb hashtags]=Donnees[[#This Row],[Nb hashtags]]))+1)/2</f>
        <v>19</v>
      </c>
      <c r="AI12" s="43">
        <f>SUMPRODUCT((Donnees[Échantillon]=Donnees[[#This Row],[Échantillon]])*(Donnees[Longueur du texte]&lt;Donnees[[#This Row],[Longueur du texte]]))+(SUMPRODUCT((Donnees[Échantillon]=Donnees[[#This Row],[Échantillon]])*(Donnees[Longueur du texte]=Donnees[[#This Row],[Longueur du texte]]))+1)/2</f>
        <v>16</v>
      </c>
      <c r="AJ12" s="43" t="str">
        <f>IF(Donnees[[#This Row],[Abonnés]]="","",SUMPRODUCT((Donnees[Échantillon]=Donnees[[#This Row],[Échantillon]])*(Donnees[Abonnés]&lt;Donnees[[#This Row],[Abonnés]]))+(SUMPRODUCT((Donnees[Échantillon]=Donnees[[#This Row],[Échantillon]])*(Donnees[Abonnés]=Donnees[[#This Row],[Abonnés]]))+1)/2)</f>
        <v/>
      </c>
      <c r="AK1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3" spans="1:37" x14ac:dyDescent="0.2">
      <c r="A13" s="40" t="s">
        <v>37</v>
      </c>
      <c r="B13" s="40" t="s">
        <v>66</v>
      </c>
      <c r="C13" s="40" t="s">
        <v>67</v>
      </c>
      <c r="D13" s="40">
        <v>60</v>
      </c>
      <c r="E13" s="40" t="s">
        <v>68</v>
      </c>
      <c r="F13" s="40" t="str">
        <f>IF(OR(Donnees[[#This Row],[Jour]]="samedi",Donnees[[#This Row],[Jour]]="dimanche"),"Oui","Non")</f>
        <v>Non</v>
      </c>
      <c r="G13" s="40">
        <v>7</v>
      </c>
      <c r="H13" s="40" t="str">
        <f>IF(Donnees[[#This Row],[Heure UTC]]&lt;6,"0-5 h",IF(Donnees[[#This Row],[Heure UTC]]&lt;12,"6-11 h",IF(Donnees[[#This Row],[Heure UTC]]&lt;18,"12-17 h","18-23 h")))</f>
        <v>6-11 h</v>
      </c>
      <c r="I13" s="40">
        <v>10</v>
      </c>
      <c r="J13" s="40" t="str">
        <f>IF(Donnees[[#This Row],[Durée (s)]]&lt;=10,"1. ≤ 10 s",IF(Donnees[[#This Row],[Durée (s)]]&lt;=15,"2. 11-15 s",IF(Donnees[[#This Row],[Durée (s)]]&lt;=30,"3. 16-30 s",IF(Donnees[[#This Row],[Durée (s)]]&lt;=60,"4. 31-60 s","5. &gt; 60 s"))))</f>
        <v>1. ≤ 10 s</v>
      </c>
      <c r="K13" s="40" t="str">
        <f>IF(Donnees[[#This Row],[Durée (s)]]&gt;15,"Oui","Non")</f>
        <v>Non</v>
      </c>
      <c r="L13" s="40">
        <v>11</v>
      </c>
      <c r="M13" s="40" t="s">
        <v>44</v>
      </c>
      <c r="N13" s="40">
        <v>20</v>
      </c>
      <c r="O13" s="40" t="s">
        <v>41</v>
      </c>
      <c r="P13" s="40" t="s">
        <v>41</v>
      </c>
      <c r="Q13" s="40" t="s">
        <v>41</v>
      </c>
      <c r="R13" s="40"/>
      <c r="S13" s="40"/>
      <c r="T13" s="41"/>
      <c r="U13" s="40" t="str">
        <f>IF(Donnees[[#This Row],[Abonnés]]="","",IF(Donnees[[#This Row],[Abonnés]]&lt;1000000,"1. &lt; 1 M",IF(Donnees[[#This Row],[Abonnés]]&lt;3000000,"2. 1-3 M",IF(Donnees[[#This Row],[Abonnés]]&lt;8000000,"3. 3-8 M","4. ≥ 8 M"))))</f>
        <v/>
      </c>
      <c r="V13" s="41"/>
      <c r="W13" s="41">
        <v>45100000</v>
      </c>
      <c r="X13" s="41">
        <v>4000000</v>
      </c>
      <c r="Y13" s="41">
        <v>122500</v>
      </c>
      <c r="Z13" s="41">
        <v>306500</v>
      </c>
      <c r="AA13" s="42">
        <f>(Donnees[[#This Row],[Likes]]+Donnees[[#This Row],[Commentaires]]+Donnees[[#This Row],[Partages]])/Donnees[[#This Row],[Vues]]</f>
        <v>9.8203991130820401E-2</v>
      </c>
      <c r="AB13" s="40">
        <f>IF(Donnees[[#This Row],[Engagement]]&gt;=VLOOKUP(Donnees[[#This Row],[Échantillon]],'Méthode &amp; limites'!$B$9:$D$11,2,FALSE),1,0)</f>
        <v>0</v>
      </c>
      <c r="AC13" s="43" t="str">
        <f>IF(Donnees[[#This Row],[Abonnés]]="","",Donnees[[#This Row],[Vues]]/Donnees[[#This Row],[Abonnés]])</f>
        <v/>
      </c>
      <c r="AD13" s="40" t="s">
        <v>44</v>
      </c>
      <c r="AE13" s="43">
        <f>SUMPRODUCT((Donnees[Échantillon]=Donnees[[#This Row],[Échantillon]])*(Donnees[Engagement]&lt;Donnees[[#This Row],[Engagement]]))+(SUMPRODUCT((Donnees[Échantillon]=Donnees[[#This Row],[Échantillon]])*(Donnees[Engagement]=Donnees[[#This Row],[Engagement]]))+1)/2</f>
        <v>43</v>
      </c>
      <c r="AF13" s="43">
        <f>SUMPRODUCT((Donnees[Échantillon]=Donnees[[#This Row],[Échantillon]])*(Donnees[Vues]&lt;Donnees[[#This Row],[Vues]]))+(SUMPRODUCT((Donnees[Échantillon]=Donnees[[#This Row],[Échantillon]])*(Donnees[Vues]=Donnees[[#This Row],[Vues]]))+1)/2</f>
        <v>89</v>
      </c>
      <c r="AG13" s="43">
        <f>SUMPRODUCT((Donnees[Échantillon]=Donnees[[#This Row],[Échantillon]])*(Donnees[Durée (s)]&lt;Donnees[[#This Row],[Durée (s)]]))+(SUMPRODUCT((Donnees[Échantillon]=Donnees[[#This Row],[Échantillon]])*(Donnees[Durée (s)]=Donnees[[#This Row],[Durée (s)]]))+1)/2</f>
        <v>38</v>
      </c>
      <c r="AH13" s="43">
        <f>SUMPRODUCT((Donnees[Échantillon]=Donnees[[#This Row],[Échantillon]])*(Donnees[Nb hashtags]&lt;Donnees[[#This Row],[Nb hashtags]]))+(SUMPRODUCT((Donnees[Échantillon]=Donnees[[#This Row],[Échantillon]])*(Donnees[Nb hashtags]=Donnees[[#This Row],[Nb hashtags]]))+1)/2</f>
        <v>96</v>
      </c>
      <c r="AI13" s="43">
        <f>SUMPRODUCT((Donnees[Échantillon]=Donnees[[#This Row],[Échantillon]])*(Donnees[Longueur du texte]&lt;Donnees[[#This Row],[Longueur du texte]]))+(SUMPRODUCT((Donnees[Échantillon]=Donnees[[#This Row],[Échantillon]])*(Donnees[Longueur du texte]=Donnees[[#This Row],[Longueur du texte]]))+1)/2</f>
        <v>59</v>
      </c>
      <c r="AJ13" s="43" t="str">
        <f>IF(Donnees[[#This Row],[Abonnés]]="","",SUMPRODUCT((Donnees[Échantillon]=Donnees[[#This Row],[Échantillon]])*(Donnees[Abonnés]&lt;Donnees[[#This Row],[Abonnés]]))+(SUMPRODUCT((Donnees[Échantillon]=Donnees[[#This Row],[Échantillon]])*(Donnees[Abonnés]=Donnees[[#This Row],[Abonnés]]))+1)/2)</f>
        <v/>
      </c>
      <c r="AK1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4" spans="1:37" x14ac:dyDescent="0.2">
      <c r="A14" s="40" t="s">
        <v>37</v>
      </c>
      <c r="B14" s="40" t="s">
        <v>70</v>
      </c>
      <c r="C14" s="40" t="s">
        <v>39</v>
      </c>
      <c r="D14" s="40">
        <v>50</v>
      </c>
      <c r="E14" s="40" t="s">
        <v>71</v>
      </c>
      <c r="F14" s="40" t="str">
        <f>IF(OR(Donnees[[#This Row],[Jour]]="samedi",Donnees[[#This Row],[Jour]]="dimanche"),"Oui","Non")</f>
        <v>Non</v>
      </c>
      <c r="G14" s="40">
        <v>18</v>
      </c>
      <c r="H14" s="40" t="str">
        <f>IF(Donnees[[#This Row],[Heure UTC]]&lt;6,"0-5 h",IF(Donnees[[#This Row],[Heure UTC]]&lt;12,"6-11 h",IF(Donnees[[#This Row],[Heure UTC]]&lt;18,"12-17 h","18-23 h")))</f>
        <v>18-23 h</v>
      </c>
      <c r="I14" s="40">
        <v>10</v>
      </c>
      <c r="J14" s="40" t="str">
        <f>IF(Donnees[[#This Row],[Durée (s)]]&lt;=10,"1. ≤ 10 s",IF(Donnees[[#This Row],[Durée (s)]]&lt;=15,"2. 11-15 s",IF(Donnees[[#This Row],[Durée (s)]]&lt;=30,"3. 16-30 s",IF(Donnees[[#This Row],[Durée (s)]]&lt;=60,"4. 31-60 s","5. &gt; 60 s"))))</f>
        <v>1. ≤ 10 s</v>
      </c>
      <c r="K14" s="40" t="str">
        <f>IF(Donnees[[#This Row],[Durée (s)]]&gt;15,"Oui","Non")</f>
        <v>Non</v>
      </c>
      <c r="L14" s="40">
        <v>0</v>
      </c>
      <c r="M14" s="40" t="s">
        <v>41</v>
      </c>
      <c r="N14" s="40">
        <v>0</v>
      </c>
      <c r="O14" s="40" t="s">
        <v>44</v>
      </c>
      <c r="P14" s="40" t="s">
        <v>41</v>
      </c>
      <c r="Q14" s="40" t="s">
        <v>41</v>
      </c>
      <c r="R14" s="40"/>
      <c r="S14" s="40"/>
      <c r="T14" s="41"/>
      <c r="U14" s="40" t="str">
        <f>IF(Donnees[[#This Row],[Abonnés]]="","",IF(Donnees[[#This Row],[Abonnés]]&lt;1000000,"1. &lt; 1 M",IF(Donnees[[#This Row],[Abonnés]]&lt;3000000,"2. 1-3 M",IF(Donnees[[#This Row],[Abonnés]]&lt;8000000,"3. 3-8 M","4. ≥ 8 M"))))</f>
        <v/>
      </c>
      <c r="V14" s="41"/>
      <c r="W14" s="41">
        <v>44100000</v>
      </c>
      <c r="X14" s="41">
        <v>3300000</v>
      </c>
      <c r="Y14" s="41">
        <v>25200</v>
      </c>
      <c r="Z14" s="41">
        <v>42900</v>
      </c>
      <c r="AA14" s="42">
        <f>(Donnees[[#This Row],[Likes]]+Donnees[[#This Row],[Commentaires]]+Donnees[[#This Row],[Partages]])/Donnees[[#This Row],[Vues]]</f>
        <v>7.6374149659863944E-2</v>
      </c>
      <c r="AB14" s="40">
        <f>IF(Donnees[[#This Row],[Engagement]]&gt;=VLOOKUP(Donnees[[#This Row],[Échantillon]],'Méthode &amp; limites'!$B$9:$D$11,2,FALSE),1,0)</f>
        <v>0</v>
      </c>
      <c r="AC14" s="43" t="str">
        <f>IF(Donnees[[#This Row],[Abonnés]]="","",Donnees[[#This Row],[Vues]]/Donnees[[#This Row],[Abonnés]])</f>
        <v/>
      </c>
      <c r="AD14" s="40" t="s">
        <v>44</v>
      </c>
      <c r="AE14" s="43">
        <f>SUMPRODUCT((Donnees[Échantillon]=Donnees[[#This Row],[Échantillon]])*(Donnees[Engagement]&lt;Donnees[[#This Row],[Engagement]]))+(SUMPRODUCT((Donnees[Échantillon]=Donnees[[#This Row],[Échantillon]])*(Donnees[Engagement]=Donnees[[#This Row],[Engagement]]))+1)/2</f>
        <v>27</v>
      </c>
      <c r="AF14" s="43">
        <f>SUMPRODUCT((Donnees[Échantillon]=Donnees[[#This Row],[Échantillon]])*(Donnees[Vues]&lt;Donnees[[#This Row],[Vues]]))+(SUMPRODUCT((Donnees[Échantillon]=Donnees[[#This Row],[Échantillon]])*(Donnees[Vues]=Donnees[[#This Row],[Vues]]))+1)/2</f>
        <v>88</v>
      </c>
      <c r="AG14" s="43">
        <f>SUMPRODUCT((Donnees[Échantillon]=Donnees[[#This Row],[Échantillon]])*(Donnees[Durée (s)]&lt;Donnees[[#This Row],[Durée (s)]]))+(SUMPRODUCT((Donnees[Échantillon]=Donnees[[#This Row],[Échantillon]])*(Donnees[Durée (s)]=Donnees[[#This Row],[Durée (s)]]))+1)/2</f>
        <v>38</v>
      </c>
      <c r="AH14" s="43">
        <f>SUMPRODUCT((Donnees[Échantillon]=Donnees[[#This Row],[Échantillon]])*(Donnees[Nb hashtags]&lt;Donnees[[#This Row],[Nb hashtags]]))+(SUMPRODUCT((Donnees[Échantillon]=Donnees[[#This Row],[Échantillon]])*(Donnees[Nb hashtags]=Donnees[[#This Row],[Nb hashtags]]))+1)/2</f>
        <v>19</v>
      </c>
      <c r="AI14" s="43">
        <f>SUMPRODUCT((Donnees[Échantillon]=Donnees[[#This Row],[Échantillon]])*(Donnees[Longueur du texte]&lt;Donnees[[#This Row],[Longueur du texte]]))+(SUMPRODUCT((Donnees[Échantillon]=Donnees[[#This Row],[Échantillon]])*(Donnees[Longueur du texte]=Donnees[[#This Row],[Longueur du texte]]))+1)/2</f>
        <v>16</v>
      </c>
      <c r="AJ14" s="43" t="str">
        <f>IF(Donnees[[#This Row],[Abonnés]]="","",SUMPRODUCT((Donnees[Échantillon]=Donnees[[#This Row],[Échantillon]])*(Donnees[Abonnés]&lt;Donnees[[#This Row],[Abonnés]]))+(SUMPRODUCT((Donnees[Échantillon]=Donnees[[#This Row],[Échantillon]])*(Donnees[Abonnés]=Donnees[[#This Row],[Abonnés]]))+1)/2)</f>
        <v/>
      </c>
      <c r="AK1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5" spans="1:37" x14ac:dyDescent="0.2">
      <c r="A15" s="40" t="s">
        <v>37</v>
      </c>
      <c r="B15" s="40" t="s">
        <v>72</v>
      </c>
      <c r="C15" s="40" t="s">
        <v>46</v>
      </c>
      <c r="D15" s="40">
        <v>50</v>
      </c>
      <c r="E15" s="40" t="s">
        <v>71</v>
      </c>
      <c r="F15" s="40" t="str">
        <f>IF(OR(Donnees[[#This Row],[Jour]]="samedi",Donnees[[#This Row],[Jour]]="dimanche"),"Oui","Non")</f>
        <v>Non</v>
      </c>
      <c r="G15" s="40">
        <v>18</v>
      </c>
      <c r="H15" s="40" t="str">
        <f>IF(Donnees[[#This Row],[Heure UTC]]&lt;6,"0-5 h",IF(Donnees[[#This Row],[Heure UTC]]&lt;12,"6-11 h",IF(Donnees[[#This Row],[Heure UTC]]&lt;18,"12-17 h","18-23 h")))</f>
        <v>18-23 h</v>
      </c>
      <c r="I15" s="40">
        <v>7</v>
      </c>
      <c r="J15" s="40" t="str">
        <f>IF(Donnees[[#This Row],[Durée (s)]]&lt;=10,"1. ≤ 10 s",IF(Donnees[[#This Row],[Durée (s)]]&lt;=15,"2. 11-15 s",IF(Donnees[[#This Row],[Durée (s)]]&lt;=30,"3. 16-30 s",IF(Donnees[[#This Row],[Durée (s)]]&lt;=60,"4. 31-60 s","5. &gt; 60 s"))))</f>
        <v>1. ≤ 10 s</v>
      </c>
      <c r="K15" s="40" t="str">
        <f>IF(Donnees[[#This Row],[Durée (s)]]&gt;15,"Oui","Non")</f>
        <v>Non</v>
      </c>
      <c r="L15" s="40">
        <v>3</v>
      </c>
      <c r="M15" s="40" t="s">
        <v>44</v>
      </c>
      <c r="N15" s="40">
        <v>38</v>
      </c>
      <c r="O15" s="40" t="s">
        <v>41</v>
      </c>
      <c r="P15" s="40" t="s">
        <v>41</v>
      </c>
      <c r="Q15" s="40" t="s">
        <v>44</v>
      </c>
      <c r="R15" s="40"/>
      <c r="S15" s="40"/>
      <c r="T15" s="41"/>
      <c r="U15" s="40" t="str">
        <f>IF(Donnees[[#This Row],[Abonnés]]="","",IF(Donnees[[#This Row],[Abonnés]]&lt;1000000,"1. &lt; 1 M",IF(Donnees[[#This Row],[Abonnés]]&lt;3000000,"2. 1-3 M",IF(Donnees[[#This Row],[Abonnés]]&lt;8000000,"3. 3-8 M","4. ≥ 8 M"))))</f>
        <v/>
      </c>
      <c r="V15" s="41"/>
      <c r="W15" s="41">
        <v>43200000</v>
      </c>
      <c r="X15" s="41">
        <v>4700000</v>
      </c>
      <c r="Y15" s="41">
        <v>26200</v>
      </c>
      <c r="Z15" s="41">
        <v>45100</v>
      </c>
      <c r="AA15" s="42">
        <f>(Donnees[[#This Row],[Likes]]+Donnees[[#This Row],[Commentaires]]+Donnees[[#This Row],[Partages]])/Donnees[[#This Row],[Vues]]</f>
        <v>0.11044675925925926</v>
      </c>
      <c r="AB15" s="40">
        <f>IF(Donnees[[#This Row],[Engagement]]&gt;=VLOOKUP(Donnees[[#This Row],[Échantillon]],'Méthode &amp; limites'!$B$9:$D$11,2,FALSE),1,0)</f>
        <v>0</v>
      </c>
      <c r="AC15" s="43" t="str">
        <f>IF(Donnees[[#This Row],[Abonnés]]="","",Donnees[[#This Row],[Vues]]/Donnees[[#This Row],[Abonnés]])</f>
        <v/>
      </c>
      <c r="AD15" s="40" t="s">
        <v>44</v>
      </c>
      <c r="AE15" s="43">
        <f>SUMPRODUCT((Donnees[Échantillon]=Donnees[[#This Row],[Échantillon]])*(Donnees[Engagement]&lt;Donnees[[#This Row],[Engagement]]))+(SUMPRODUCT((Donnees[Échantillon]=Donnees[[#This Row],[Échantillon]])*(Donnees[Engagement]=Donnees[[#This Row],[Engagement]]))+1)/2</f>
        <v>53</v>
      </c>
      <c r="AF15" s="43">
        <f>SUMPRODUCT((Donnees[Échantillon]=Donnees[[#This Row],[Échantillon]])*(Donnees[Vues]&lt;Donnees[[#This Row],[Vues]]))+(SUMPRODUCT((Donnees[Échantillon]=Donnees[[#This Row],[Échantillon]])*(Donnees[Vues]=Donnees[[#This Row],[Vues]]))+1)/2</f>
        <v>87</v>
      </c>
      <c r="AG15" s="43">
        <f>SUMPRODUCT((Donnees[Échantillon]=Donnees[[#This Row],[Échantillon]])*(Donnees[Durée (s)]&lt;Donnees[[#This Row],[Durée (s)]]))+(SUMPRODUCT((Donnees[Échantillon]=Donnees[[#This Row],[Échantillon]])*(Donnees[Durée (s)]=Donnees[[#This Row],[Durée (s)]]))+1)/2</f>
        <v>3</v>
      </c>
      <c r="AH15" s="43">
        <f>SUMPRODUCT((Donnees[Échantillon]=Donnees[[#This Row],[Échantillon]])*(Donnees[Nb hashtags]&lt;Donnees[[#This Row],[Nb hashtags]]))+(SUMPRODUCT((Donnees[Échantillon]=Donnees[[#This Row],[Échantillon]])*(Donnees[Nb hashtags]=Donnees[[#This Row],[Nb hashtags]]))+1)/2</f>
        <v>52</v>
      </c>
      <c r="AI15" s="43">
        <f>SUMPRODUCT((Donnees[Échantillon]=Donnees[[#This Row],[Échantillon]])*(Donnees[Longueur du texte]&lt;Donnees[[#This Row],[Longueur du texte]]))+(SUMPRODUCT((Donnees[Échantillon]=Donnees[[#This Row],[Échantillon]])*(Donnees[Longueur du texte]=Donnees[[#This Row],[Longueur du texte]]))+1)/2</f>
        <v>81.5</v>
      </c>
      <c r="AJ15" s="43" t="str">
        <f>IF(Donnees[[#This Row],[Abonnés]]="","",SUMPRODUCT((Donnees[Échantillon]=Donnees[[#This Row],[Échantillon]])*(Donnees[Abonnés]&lt;Donnees[[#This Row],[Abonnés]]))+(SUMPRODUCT((Donnees[Échantillon]=Donnees[[#This Row],[Échantillon]])*(Donnees[Abonnés]=Donnees[[#This Row],[Abonnés]]))+1)/2)</f>
        <v/>
      </c>
      <c r="AK1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6" spans="1:37" x14ac:dyDescent="0.2">
      <c r="A16" s="40" t="s">
        <v>37</v>
      </c>
      <c r="B16" s="40" t="s">
        <v>73</v>
      </c>
      <c r="C16" s="40" t="s">
        <v>46</v>
      </c>
      <c r="D16" s="40">
        <v>8</v>
      </c>
      <c r="E16" s="40" t="s">
        <v>71</v>
      </c>
      <c r="F16" s="40" t="str">
        <f>IF(OR(Donnees[[#This Row],[Jour]]="samedi",Donnees[[#This Row],[Jour]]="dimanche"),"Oui","Non")</f>
        <v>Non</v>
      </c>
      <c r="G16" s="40">
        <v>21</v>
      </c>
      <c r="H16" s="40" t="str">
        <f>IF(Donnees[[#This Row],[Heure UTC]]&lt;6,"0-5 h",IF(Donnees[[#This Row],[Heure UTC]]&lt;12,"6-11 h",IF(Donnees[[#This Row],[Heure UTC]]&lt;18,"12-17 h","18-23 h")))</f>
        <v>18-23 h</v>
      </c>
      <c r="I16" s="40">
        <v>12</v>
      </c>
      <c r="J16" s="40" t="str">
        <f>IF(Donnees[[#This Row],[Durée (s)]]&lt;=10,"1. ≤ 10 s",IF(Donnees[[#This Row],[Durée (s)]]&lt;=15,"2. 11-15 s",IF(Donnees[[#This Row],[Durée (s)]]&lt;=30,"3. 16-30 s",IF(Donnees[[#This Row],[Durée (s)]]&lt;=60,"4. 31-60 s","5. &gt; 60 s"))))</f>
        <v>2. 11-15 s</v>
      </c>
      <c r="K16" s="40" t="str">
        <f>IF(Donnees[[#This Row],[Durée (s)]]&gt;15,"Oui","Non")</f>
        <v>Non</v>
      </c>
      <c r="L16" s="40">
        <v>2</v>
      </c>
      <c r="M16" s="40" t="s">
        <v>41</v>
      </c>
      <c r="N16" s="40">
        <v>34</v>
      </c>
      <c r="O16" s="40" t="s">
        <v>41</v>
      </c>
      <c r="P16" s="40" t="s">
        <v>41</v>
      </c>
      <c r="Q16" s="40" t="s">
        <v>41</v>
      </c>
      <c r="R16" s="40"/>
      <c r="S16" s="40"/>
      <c r="T16" s="41"/>
      <c r="U16" s="40" t="str">
        <f>IF(Donnees[[#This Row],[Abonnés]]="","",IF(Donnees[[#This Row],[Abonnés]]&lt;1000000,"1. &lt; 1 M",IF(Donnees[[#This Row],[Abonnés]]&lt;3000000,"2. 1-3 M",IF(Donnees[[#This Row],[Abonnés]]&lt;8000000,"3. 3-8 M","4. ≥ 8 M"))))</f>
        <v/>
      </c>
      <c r="V16" s="41"/>
      <c r="W16" s="41">
        <v>38200000</v>
      </c>
      <c r="X16" s="41">
        <v>5800000</v>
      </c>
      <c r="Y16" s="41">
        <v>83500</v>
      </c>
      <c r="Z16" s="41">
        <v>74900</v>
      </c>
      <c r="AA16" s="42">
        <f>(Donnees[[#This Row],[Likes]]+Donnees[[#This Row],[Commentaires]]+Donnees[[#This Row],[Partages]])/Donnees[[#This Row],[Vues]]</f>
        <v>0.15597905759162303</v>
      </c>
      <c r="AB16" s="40">
        <f>IF(Donnees[[#This Row],[Engagement]]&gt;=VLOOKUP(Donnees[[#This Row],[Échantillon]],'Méthode &amp; limites'!$B$9:$D$11,2,FALSE),1,0)</f>
        <v>1</v>
      </c>
      <c r="AC16" s="43" t="str">
        <f>IF(Donnees[[#This Row],[Abonnés]]="","",Donnees[[#This Row],[Vues]]/Donnees[[#This Row],[Abonnés]])</f>
        <v/>
      </c>
      <c r="AD16" s="40" t="s">
        <v>44</v>
      </c>
      <c r="AE16" s="43">
        <f>SUMPRODUCT((Donnees[Échantillon]=Donnees[[#This Row],[Échantillon]])*(Donnees[Engagement]&lt;Donnees[[#This Row],[Engagement]]))+(SUMPRODUCT((Donnees[Échantillon]=Donnees[[#This Row],[Échantillon]])*(Donnees[Engagement]=Donnees[[#This Row],[Engagement]]))+1)/2</f>
        <v>76</v>
      </c>
      <c r="AF16" s="43">
        <f>SUMPRODUCT((Donnees[Échantillon]=Donnees[[#This Row],[Échantillon]])*(Donnees[Vues]&lt;Donnees[[#This Row],[Vues]]))+(SUMPRODUCT((Donnees[Échantillon]=Donnees[[#This Row],[Échantillon]])*(Donnees[Vues]=Donnees[[#This Row],[Vues]]))+1)/2</f>
        <v>86</v>
      </c>
      <c r="AG16" s="43">
        <f>SUMPRODUCT((Donnees[Échantillon]=Donnees[[#This Row],[Échantillon]])*(Donnees[Durée (s)]&lt;Donnees[[#This Row],[Durée (s)]]))+(SUMPRODUCT((Donnees[Échantillon]=Donnees[[#This Row],[Échantillon]])*(Donnees[Durée (s)]=Donnees[[#This Row],[Durée (s)]]))+1)/2</f>
        <v>56</v>
      </c>
      <c r="AH16" s="43">
        <f>SUMPRODUCT((Donnees[Échantillon]=Donnees[[#This Row],[Échantillon]])*(Donnees[Nb hashtags]&lt;Donnees[[#This Row],[Nb hashtags]]))+(SUMPRODUCT((Donnees[Échantillon]=Donnees[[#This Row],[Échantillon]])*(Donnees[Nb hashtags]=Donnees[[#This Row],[Nb hashtags]]))+1)/2</f>
        <v>43</v>
      </c>
      <c r="AI16" s="43">
        <f>SUMPRODUCT((Donnees[Échantillon]=Donnees[[#This Row],[Échantillon]])*(Donnees[Longueur du texte]&lt;Donnees[[#This Row],[Longueur du texte]]))+(SUMPRODUCT((Donnees[Échantillon]=Donnees[[#This Row],[Échantillon]])*(Donnees[Longueur du texte]=Donnees[[#This Row],[Longueur du texte]]))+1)/2</f>
        <v>75.5</v>
      </c>
      <c r="AJ16" s="43" t="str">
        <f>IF(Donnees[[#This Row],[Abonnés]]="","",SUMPRODUCT((Donnees[Échantillon]=Donnees[[#This Row],[Échantillon]])*(Donnees[Abonnés]&lt;Donnees[[#This Row],[Abonnés]]))+(SUMPRODUCT((Donnees[Échantillon]=Donnees[[#This Row],[Échantillon]])*(Donnees[Abonnés]=Donnees[[#This Row],[Abonnés]]))+1)/2)</f>
        <v/>
      </c>
      <c r="AK1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7" spans="1:37" x14ac:dyDescent="0.2">
      <c r="A17" s="40" t="s">
        <v>37</v>
      </c>
      <c r="B17" s="40" t="s">
        <v>74</v>
      </c>
      <c r="C17" s="40" t="s">
        <v>50</v>
      </c>
      <c r="D17" s="40">
        <v>3</v>
      </c>
      <c r="E17" s="40" t="s">
        <v>75</v>
      </c>
      <c r="F17" s="40" t="str">
        <f>IF(OR(Donnees[[#This Row],[Jour]]="samedi",Donnees[[#This Row],[Jour]]="dimanche"),"Oui","Non")</f>
        <v>Oui</v>
      </c>
      <c r="G17" s="40">
        <v>16</v>
      </c>
      <c r="H17" s="40" t="str">
        <f>IF(Donnees[[#This Row],[Heure UTC]]&lt;6,"0-5 h",IF(Donnees[[#This Row],[Heure UTC]]&lt;12,"6-11 h",IF(Donnees[[#This Row],[Heure UTC]]&lt;18,"12-17 h","18-23 h")))</f>
        <v>12-17 h</v>
      </c>
      <c r="I17" s="40">
        <v>12</v>
      </c>
      <c r="J17" s="40" t="str">
        <f>IF(Donnees[[#This Row],[Durée (s)]]&lt;=10,"1. ≤ 10 s",IF(Donnees[[#This Row],[Durée (s)]]&lt;=15,"2. 11-15 s",IF(Donnees[[#This Row],[Durée (s)]]&lt;=30,"3. 16-30 s",IF(Donnees[[#This Row],[Durée (s)]]&lt;=60,"4. 31-60 s","5. &gt; 60 s"))))</f>
        <v>2. 11-15 s</v>
      </c>
      <c r="K17" s="40" t="str">
        <f>IF(Donnees[[#This Row],[Durée (s)]]&gt;15,"Oui","Non")</f>
        <v>Non</v>
      </c>
      <c r="L17" s="40">
        <v>8</v>
      </c>
      <c r="M17" s="40" t="s">
        <v>44</v>
      </c>
      <c r="N17" s="40">
        <v>0</v>
      </c>
      <c r="O17" s="40" t="s">
        <v>41</v>
      </c>
      <c r="P17" s="40" t="s">
        <v>44</v>
      </c>
      <c r="Q17" s="40" t="s">
        <v>41</v>
      </c>
      <c r="R17" s="40"/>
      <c r="S17" s="40"/>
      <c r="T17" s="41"/>
      <c r="U17" s="40" t="str">
        <f>IF(Donnees[[#This Row],[Abonnés]]="","",IF(Donnees[[#This Row],[Abonnés]]&lt;1000000,"1. &lt; 1 M",IF(Donnees[[#This Row],[Abonnés]]&lt;3000000,"2. 1-3 M",IF(Donnees[[#This Row],[Abonnés]]&lt;8000000,"3. 3-8 M","4. ≥ 8 M"))))</f>
        <v/>
      </c>
      <c r="V17" s="41"/>
      <c r="W17" s="41">
        <v>35200000</v>
      </c>
      <c r="X17" s="41">
        <v>2400000</v>
      </c>
      <c r="Y17" s="41">
        <v>25800</v>
      </c>
      <c r="Z17" s="41">
        <v>10500</v>
      </c>
      <c r="AA17" s="42">
        <f>(Donnees[[#This Row],[Likes]]+Donnees[[#This Row],[Commentaires]]+Donnees[[#This Row],[Partages]])/Donnees[[#This Row],[Vues]]</f>
        <v>6.9213068181818188E-2</v>
      </c>
      <c r="AB17" s="40">
        <f>IF(Donnees[[#This Row],[Engagement]]&gt;=VLOOKUP(Donnees[[#This Row],[Échantillon]],'Méthode &amp; limites'!$B$9:$D$11,2,FALSE),1,0)</f>
        <v>0</v>
      </c>
      <c r="AC17" s="43" t="str">
        <f>IF(Donnees[[#This Row],[Abonnés]]="","",Donnees[[#This Row],[Vues]]/Donnees[[#This Row],[Abonnés]])</f>
        <v/>
      </c>
      <c r="AD17" s="40" t="s">
        <v>44</v>
      </c>
      <c r="AE17" s="43">
        <f>SUMPRODUCT((Donnees[Échantillon]=Donnees[[#This Row],[Échantillon]])*(Donnees[Engagement]&lt;Donnees[[#This Row],[Engagement]]))+(SUMPRODUCT((Donnees[Échantillon]=Donnees[[#This Row],[Échantillon]])*(Donnees[Engagement]=Donnees[[#This Row],[Engagement]]))+1)/2</f>
        <v>22</v>
      </c>
      <c r="AF17" s="43">
        <f>SUMPRODUCT((Donnees[Échantillon]=Donnees[[#This Row],[Échantillon]])*(Donnees[Vues]&lt;Donnees[[#This Row],[Vues]]))+(SUMPRODUCT((Donnees[Échantillon]=Donnees[[#This Row],[Échantillon]])*(Donnees[Vues]=Donnees[[#This Row],[Vues]]))+1)/2</f>
        <v>85</v>
      </c>
      <c r="AG17" s="43">
        <f>SUMPRODUCT((Donnees[Échantillon]=Donnees[[#This Row],[Échantillon]])*(Donnees[Durée (s)]&lt;Donnees[[#This Row],[Durée (s)]]))+(SUMPRODUCT((Donnees[Échantillon]=Donnees[[#This Row],[Échantillon]])*(Donnees[Durée (s)]=Donnees[[#This Row],[Durée (s)]]))+1)/2</f>
        <v>56</v>
      </c>
      <c r="AH17" s="43">
        <f>SUMPRODUCT((Donnees[Échantillon]=Donnees[[#This Row],[Échantillon]])*(Donnees[Nb hashtags]&lt;Donnees[[#This Row],[Nb hashtags]]))+(SUMPRODUCT((Donnees[Échantillon]=Donnees[[#This Row],[Échantillon]])*(Donnees[Nb hashtags]=Donnees[[#This Row],[Nb hashtags]]))+1)/2</f>
        <v>86</v>
      </c>
      <c r="AI17" s="43">
        <f>SUMPRODUCT((Donnees[Échantillon]=Donnees[[#This Row],[Échantillon]])*(Donnees[Longueur du texte]&lt;Donnees[[#This Row],[Longueur du texte]]))+(SUMPRODUCT((Donnees[Échantillon]=Donnees[[#This Row],[Échantillon]])*(Donnees[Longueur du texte]=Donnees[[#This Row],[Longueur du texte]]))+1)/2</f>
        <v>16</v>
      </c>
      <c r="AJ17" s="43" t="str">
        <f>IF(Donnees[[#This Row],[Abonnés]]="","",SUMPRODUCT((Donnees[Échantillon]=Donnees[[#This Row],[Échantillon]])*(Donnees[Abonnés]&lt;Donnees[[#This Row],[Abonnés]]))+(SUMPRODUCT((Donnees[Échantillon]=Donnees[[#This Row],[Échantillon]])*(Donnees[Abonnés]=Donnees[[#This Row],[Abonnés]]))+1)/2)</f>
        <v/>
      </c>
      <c r="AK1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8" spans="1:37" x14ac:dyDescent="0.2">
      <c r="A18" s="40" t="s">
        <v>37</v>
      </c>
      <c r="B18" s="40" t="s">
        <v>76</v>
      </c>
      <c r="C18" s="40" t="s">
        <v>50</v>
      </c>
      <c r="D18" s="40">
        <v>29</v>
      </c>
      <c r="E18" s="40" t="s">
        <v>71</v>
      </c>
      <c r="F18" s="40" t="str">
        <f>IF(OR(Donnees[[#This Row],[Jour]]="samedi",Donnees[[#This Row],[Jour]]="dimanche"),"Oui","Non")</f>
        <v>Non</v>
      </c>
      <c r="G18" s="40">
        <v>3</v>
      </c>
      <c r="H18" s="40" t="str">
        <f>IF(Donnees[[#This Row],[Heure UTC]]&lt;6,"0-5 h",IF(Donnees[[#This Row],[Heure UTC]]&lt;12,"6-11 h",IF(Donnees[[#This Row],[Heure UTC]]&lt;18,"12-17 h","18-23 h")))</f>
        <v>0-5 h</v>
      </c>
      <c r="I18" s="40">
        <v>9</v>
      </c>
      <c r="J18" s="40" t="str">
        <f>IF(Donnees[[#This Row],[Durée (s)]]&lt;=10,"1. ≤ 10 s",IF(Donnees[[#This Row],[Durée (s)]]&lt;=15,"2. 11-15 s",IF(Donnees[[#This Row],[Durée (s)]]&lt;=30,"3. 16-30 s",IF(Donnees[[#This Row],[Durée (s)]]&lt;=60,"4. 31-60 s","5. &gt; 60 s"))))</f>
        <v>1. ≤ 10 s</v>
      </c>
      <c r="K18" s="40" t="str">
        <f>IF(Donnees[[#This Row],[Durée (s)]]&gt;15,"Oui","Non")</f>
        <v>Non</v>
      </c>
      <c r="L18" s="40">
        <v>0</v>
      </c>
      <c r="M18" s="40" t="s">
        <v>41</v>
      </c>
      <c r="N18" s="40">
        <v>4</v>
      </c>
      <c r="O18" s="40" t="s">
        <v>41</v>
      </c>
      <c r="P18" s="40" t="s">
        <v>41</v>
      </c>
      <c r="Q18" s="40" t="s">
        <v>41</v>
      </c>
      <c r="R18" s="40"/>
      <c r="S18" s="40"/>
      <c r="T18" s="41"/>
      <c r="U18" s="40" t="str">
        <f>IF(Donnees[[#This Row],[Abonnés]]="","",IF(Donnees[[#This Row],[Abonnés]]&lt;1000000,"1. &lt; 1 M",IF(Donnees[[#This Row],[Abonnés]]&lt;3000000,"2. 1-3 M",IF(Donnees[[#This Row],[Abonnés]]&lt;8000000,"3. 3-8 M","4. ≥ 8 M"))))</f>
        <v/>
      </c>
      <c r="V18" s="41"/>
      <c r="W18" s="41">
        <v>34800000</v>
      </c>
      <c r="X18" s="41">
        <v>2500000</v>
      </c>
      <c r="Y18" s="41">
        <v>31100</v>
      </c>
      <c r="Z18" s="41">
        <v>233300</v>
      </c>
      <c r="AA18" s="42">
        <f>(Donnees[[#This Row],[Likes]]+Donnees[[#This Row],[Commentaires]]+Donnees[[#This Row],[Partages]])/Donnees[[#This Row],[Vues]]</f>
        <v>7.94367816091954E-2</v>
      </c>
      <c r="AB18" s="40">
        <f>IF(Donnees[[#This Row],[Engagement]]&gt;=VLOOKUP(Donnees[[#This Row],[Échantillon]],'Méthode &amp; limites'!$B$9:$D$11,2,FALSE),1,0)</f>
        <v>0</v>
      </c>
      <c r="AC18" s="43" t="str">
        <f>IF(Donnees[[#This Row],[Abonnés]]="","",Donnees[[#This Row],[Vues]]/Donnees[[#This Row],[Abonnés]])</f>
        <v/>
      </c>
      <c r="AD18" s="40" t="s">
        <v>44</v>
      </c>
      <c r="AE18" s="43">
        <f>SUMPRODUCT((Donnees[Échantillon]=Donnees[[#This Row],[Échantillon]])*(Donnees[Engagement]&lt;Donnees[[#This Row],[Engagement]]))+(SUMPRODUCT((Donnees[Échantillon]=Donnees[[#This Row],[Échantillon]])*(Donnees[Engagement]=Donnees[[#This Row],[Engagement]]))+1)/2</f>
        <v>34</v>
      </c>
      <c r="AF18" s="43">
        <f>SUMPRODUCT((Donnees[Échantillon]=Donnees[[#This Row],[Échantillon]])*(Donnees[Vues]&lt;Donnees[[#This Row],[Vues]]))+(SUMPRODUCT((Donnees[Échantillon]=Donnees[[#This Row],[Échantillon]])*(Donnees[Vues]=Donnees[[#This Row],[Vues]]))+1)/2</f>
        <v>84</v>
      </c>
      <c r="AG18" s="43">
        <f>SUMPRODUCT((Donnees[Échantillon]=Donnees[[#This Row],[Échantillon]])*(Donnees[Durée (s)]&lt;Donnees[[#This Row],[Durée (s)]]))+(SUMPRODUCT((Donnees[Échantillon]=Donnees[[#This Row],[Échantillon]])*(Donnees[Durée (s)]=Donnees[[#This Row],[Durée (s)]]))+1)/2</f>
        <v>28</v>
      </c>
      <c r="AH18" s="43">
        <f>SUMPRODUCT((Donnees[Échantillon]=Donnees[[#This Row],[Échantillon]])*(Donnees[Nb hashtags]&lt;Donnees[[#This Row],[Nb hashtags]]))+(SUMPRODUCT((Donnees[Échantillon]=Donnees[[#This Row],[Échantillon]])*(Donnees[Nb hashtags]=Donnees[[#This Row],[Nb hashtags]]))+1)/2</f>
        <v>19</v>
      </c>
      <c r="AI18" s="43">
        <f>SUMPRODUCT((Donnees[Échantillon]=Donnees[[#This Row],[Échantillon]])*(Donnees[Longueur du texte]&lt;Donnees[[#This Row],[Longueur du texte]]))+(SUMPRODUCT((Donnees[Échantillon]=Donnees[[#This Row],[Échantillon]])*(Donnees[Longueur du texte]=Donnees[[#This Row],[Longueur du texte]]))+1)/2</f>
        <v>39</v>
      </c>
      <c r="AJ18" s="43" t="str">
        <f>IF(Donnees[[#This Row],[Abonnés]]="","",SUMPRODUCT((Donnees[Échantillon]=Donnees[[#This Row],[Échantillon]])*(Donnees[Abonnés]&lt;Donnees[[#This Row],[Abonnés]]))+(SUMPRODUCT((Donnees[Échantillon]=Donnees[[#This Row],[Échantillon]])*(Donnees[Abonnés]=Donnees[[#This Row],[Abonnés]]))+1)/2)</f>
        <v/>
      </c>
      <c r="AK1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9" spans="1:37" x14ac:dyDescent="0.2">
      <c r="A19" s="40" t="s">
        <v>37</v>
      </c>
      <c r="B19" s="40" t="s">
        <v>77</v>
      </c>
      <c r="C19" s="40" t="s">
        <v>62</v>
      </c>
      <c r="D19" s="40">
        <v>17</v>
      </c>
      <c r="E19" s="40" t="s">
        <v>75</v>
      </c>
      <c r="F19" s="40" t="str">
        <f>IF(OR(Donnees[[#This Row],[Jour]]="samedi",Donnees[[#This Row],[Jour]]="dimanche"),"Oui","Non")</f>
        <v>Oui</v>
      </c>
      <c r="G19" s="40">
        <v>18</v>
      </c>
      <c r="H19" s="40" t="str">
        <f>IF(Donnees[[#This Row],[Heure UTC]]&lt;6,"0-5 h",IF(Donnees[[#This Row],[Heure UTC]]&lt;12,"6-11 h",IF(Donnees[[#This Row],[Heure UTC]]&lt;18,"12-17 h","18-23 h")))</f>
        <v>18-23 h</v>
      </c>
      <c r="I19" s="40">
        <v>9</v>
      </c>
      <c r="J19" s="40" t="str">
        <f>IF(Donnees[[#This Row],[Durée (s)]]&lt;=10,"1. ≤ 10 s",IF(Donnees[[#This Row],[Durée (s)]]&lt;=15,"2. 11-15 s",IF(Donnees[[#This Row],[Durée (s)]]&lt;=30,"3. 16-30 s",IF(Donnees[[#This Row],[Durée (s)]]&lt;=60,"4. 31-60 s","5. &gt; 60 s"))))</f>
        <v>1. ≤ 10 s</v>
      </c>
      <c r="K19" s="40" t="str">
        <f>IF(Donnees[[#This Row],[Durée (s)]]&gt;15,"Oui","Non")</f>
        <v>Non</v>
      </c>
      <c r="L19" s="40">
        <v>4</v>
      </c>
      <c r="M19" s="40" t="s">
        <v>44</v>
      </c>
      <c r="N19" s="40">
        <v>37</v>
      </c>
      <c r="O19" s="40" t="s">
        <v>41</v>
      </c>
      <c r="P19" s="40" t="s">
        <v>41</v>
      </c>
      <c r="Q19" s="40" t="s">
        <v>41</v>
      </c>
      <c r="R19" s="40"/>
      <c r="S19" s="40"/>
      <c r="T19" s="41"/>
      <c r="U19" s="40" t="str">
        <f>IF(Donnees[[#This Row],[Abonnés]]="","",IF(Donnees[[#This Row],[Abonnés]]&lt;1000000,"1. &lt; 1 M",IF(Donnees[[#This Row],[Abonnés]]&lt;3000000,"2. 1-3 M",IF(Donnees[[#This Row],[Abonnés]]&lt;8000000,"3. 3-8 M","4. ≥ 8 M"))))</f>
        <v/>
      </c>
      <c r="V19" s="41"/>
      <c r="W19" s="41">
        <v>33500000</v>
      </c>
      <c r="X19" s="41">
        <v>5400000</v>
      </c>
      <c r="Y19" s="41">
        <v>73500</v>
      </c>
      <c r="Z19" s="41">
        <v>237700</v>
      </c>
      <c r="AA19" s="42">
        <f>(Donnees[[#This Row],[Likes]]+Donnees[[#This Row],[Commentaires]]+Donnees[[#This Row],[Partages]])/Donnees[[#This Row],[Vues]]</f>
        <v>0.17048358208955225</v>
      </c>
      <c r="AB19" s="40">
        <f>IF(Donnees[[#This Row],[Engagement]]&gt;=VLOOKUP(Donnees[[#This Row],[Échantillon]],'Méthode &amp; limites'!$B$9:$D$11,2,FALSE),1,0)</f>
        <v>1</v>
      </c>
      <c r="AC19" s="43" t="str">
        <f>IF(Donnees[[#This Row],[Abonnés]]="","",Donnees[[#This Row],[Vues]]/Donnees[[#This Row],[Abonnés]])</f>
        <v/>
      </c>
      <c r="AD19" s="40" t="s">
        <v>44</v>
      </c>
      <c r="AE19" s="43">
        <f>SUMPRODUCT((Donnees[Échantillon]=Donnees[[#This Row],[Échantillon]])*(Donnees[Engagement]&lt;Donnees[[#This Row],[Engagement]]))+(SUMPRODUCT((Donnees[Échantillon]=Donnees[[#This Row],[Échantillon]])*(Donnees[Engagement]=Donnees[[#This Row],[Engagement]]))+1)/2</f>
        <v>83</v>
      </c>
      <c r="AF19" s="43">
        <f>SUMPRODUCT((Donnees[Échantillon]=Donnees[[#This Row],[Échantillon]])*(Donnees[Vues]&lt;Donnees[[#This Row],[Vues]]))+(SUMPRODUCT((Donnees[Échantillon]=Donnees[[#This Row],[Échantillon]])*(Donnees[Vues]=Donnees[[#This Row],[Vues]]))+1)/2</f>
        <v>83</v>
      </c>
      <c r="AG19" s="43">
        <f>SUMPRODUCT((Donnees[Échantillon]=Donnees[[#This Row],[Échantillon]])*(Donnees[Durée (s)]&lt;Donnees[[#This Row],[Durée (s)]]))+(SUMPRODUCT((Donnees[Échantillon]=Donnees[[#This Row],[Échantillon]])*(Donnees[Durée (s)]=Donnees[[#This Row],[Durée (s)]]))+1)/2</f>
        <v>28</v>
      </c>
      <c r="AH19" s="43">
        <f>SUMPRODUCT((Donnees[Échantillon]=Donnees[[#This Row],[Échantillon]])*(Donnees[Nb hashtags]&lt;Donnees[[#This Row],[Nb hashtags]]))+(SUMPRODUCT((Donnees[Échantillon]=Donnees[[#This Row],[Échantillon]])*(Donnees[Nb hashtags]=Donnees[[#This Row],[Nb hashtags]]))+1)/2</f>
        <v>62</v>
      </c>
      <c r="AI19" s="43">
        <f>SUMPRODUCT((Donnees[Échantillon]=Donnees[[#This Row],[Échantillon]])*(Donnees[Longueur du texte]&lt;Donnees[[#This Row],[Longueur du texte]]))+(SUMPRODUCT((Donnees[Échantillon]=Donnees[[#This Row],[Échantillon]])*(Donnees[Longueur du texte]=Donnees[[#This Row],[Longueur du texte]]))+1)/2</f>
        <v>79</v>
      </c>
      <c r="AJ19" s="43" t="str">
        <f>IF(Donnees[[#This Row],[Abonnés]]="","",SUMPRODUCT((Donnees[Échantillon]=Donnees[[#This Row],[Échantillon]])*(Donnees[Abonnés]&lt;Donnees[[#This Row],[Abonnés]]))+(SUMPRODUCT((Donnees[Échantillon]=Donnees[[#This Row],[Échantillon]])*(Donnees[Abonnés]=Donnees[[#This Row],[Abonnés]]))+1)/2)</f>
        <v/>
      </c>
      <c r="AK1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20" spans="1:37" x14ac:dyDescent="0.2">
      <c r="A20" s="40" t="s">
        <v>37</v>
      </c>
      <c r="B20" s="40" t="s">
        <v>78</v>
      </c>
      <c r="C20" s="40" t="s">
        <v>39</v>
      </c>
      <c r="D20" s="40">
        <v>15</v>
      </c>
      <c r="E20" s="40" t="s">
        <v>71</v>
      </c>
      <c r="F20" s="40" t="str">
        <f>IF(OR(Donnees[[#This Row],[Jour]]="samedi",Donnees[[#This Row],[Jour]]="dimanche"),"Oui","Non")</f>
        <v>Non</v>
      </c>
      <c r="G20" s="40">
        <v>17</v>
      </c>
      <c r="H20" s="40" t="str">
        <f>IF(Donnees[[#This Row],[Heure UTC]]&lt;6,"0-5 h",IF(Donnees[[#This Row],[Heure UTC]]&lt;12,"6-11 h",IF(Donnees[[#This Row],[Heure UTC]]&lt;18,"12-17 h","18-23 h")))</f>
        <v>12-17 h</v>
      </c>
      <c r="I20" s="40">
        <v>11</v>
      </c>
      <c r="J20" s="40" t="str">
        <f>IF(Donnees[[#This Row],[Durée (s)]]&lt;=10,"1. ≤ 10 s",IF(Donnees[[#This Row],[Durée (s)]]&lt;=15,"2. 11-15 s",IF(Donnees[[#This Row],[Durée (s)]]&lt;=30,"3. 16-30 s",IF(Donnees[[#This Row],[Durée (s)]]&lt;=60,"4. 31-60 s","5. &gt; 60 s"))))</f>
        <v>2. 11-15 s</v>
      </c>
      <c r="K20" s="40" t="str">
        <f>IF(Donnees[[#This Row],[Durée (s)]]&gt;15,"Oui","Non")</f>
        <v>Non</v>
      </c>
      <c r="L20" s="40">
        <v>0</v>
      </c>
      <c r="M20" s="40" t="s">
        <v>41</v>
      </c>
      <c r="N20" s="40">
        <v>0</v>
      </c>
      <c r="O20" s="40" t="s">
        <v>44</v>
      </c>
      <c r="P20" s="40" t="s">
        <v>41</v>
      </c>
      <c r="Q20" s="40" t="s">
        <v>41</v>
      </c>
      <c r="R20" s="40"/>
      <c r="S20" s="40"/>
      <c r="T20" s="41"/>
      <c r="U20" s="40" t="str">
        <f>IF(Donnees[[#This Row],[Abonnés]]="","",IF(Donnees[[#This Row],[Abonnés]]&lt;1000000,"1. &lt; 1 M",IF(Donnees[[#This Row],[Abonnés]]&lt;3000000,"2. 1-3 M",IF(Donnees[[#This Row],[Abonnés]]&lt;8000000,"3. 3-8 M","4. ≥ 8 M"))))</f>
        <v/>
      </c>
      <c r="V20" s="41"/>
      <c r="W20" s="41">
        <v>32600000</v>
      </c>
      <c r="X20" s="41">
        <v>3000000</v>
      </c>
      <c r="Y20" s="41">
        <v>28000</v>
      </c>
      <c r="Z20" s="41">
        <v>247000</v>
      </c>
      <c r="AA20" s="42">
        <f>(Donnees[[#This Row],[Likes]]+Donnees[[#This Row],[Commentaires]]+Donnees[[#This Row],[Partages]])/Donnees[[#This Row],[Vues]]</f>
        <v>0.10046012269938651</v>
      </c>
      <c r="AB20" s="40">
        <f>IF(Donnees[[#This Row],[Engagement]]&gt;=VLOOKUP(Donnees[[#This Row],[Échantillon]],'Méthode &amp; limites'!$B$9:$D$11,2,FALSE),1,0)</f>
        <v>0</v>
      </c>
      <c r="AC20" s="43" t="str">
        <f>IF(Donnees[[#This Row],[Abonnés]]="","",Donnees[[#This Row],[Vues]]/Donnees[[#This Row],[Abonnés]])</f>
        <v/>
      </c>
      <c r="AD20" s="40" t="s">
        <v>44</v>
      </c>
      <c r="AE20" s="43">
        <f>SUMPRODUCT((Donnees[Échantillon]=Donnees[[#This Row],[Échantillon]])*(Donnees[Engagement]&lt;Donnees[[#This Row],[Engagement]]))+(SUMPRODUCT((Donnees[Échantillon]=Donnees[[#This Row],[Échantillon]])*(Donnees[Engagement]=Donnees[[#This Row],[Engagement]]))+1)/2</f>
        <v>45</v>
      </c>
      <c r="AF20" s="43">
        <f>SUMPRODUCT((Donnees[Échantillon]=Donnees[[#This Row],[Échantillon]])*(Donnees[Vues]&lt;Donnees[[#This Row],[Vues]]))+(SUMPRODUCT((Donnees[Échantillon]=Donnees[[#This Row],[Échantillon]])*(Donnees[Vues]=Donnees[[#This Row],[Vues]]))+1)/2</f>
        <v>82</v>
      </c>
      <c r="AG20" s="43">
        <f>SUMPRODUCT((Donnees[Échantillon]=Donnees[[#This Row],[Échantillon]])*(Donnees[Durée (s)]&lt;Donnees[[#This Row],[Durée (s)]]))+(SUMPRODUCT((Donnees[Échantillon]=Donnees[[#This Row],[Échantillon]])*(Donnees[Durée (s)]=Donnees[[#This Row],[Durée (s)]]))+1)/2</f>
        <v>47</v>
      </c>
      <c r="AH20" s="43">
        <f>SUMPRODUCT((Donnees[Échantillon]=Donnees[[#This Row],[Échantillon]])*(Donnees[Nb hashtags]&lt;Donnees[[#This Row],[Nb hashtags]]))+(SUMPRODUCT((Donnees[Échantillon]=Donnees[[#This Row],[Échantillon]])*(Donnees[Nb hashtags]=Donnees[[#This Row],[Nb hashtags]]))+1)/2</f>
        <v>19</v>
      </c>
      <c r="AI20" s="43">
        <f>SUMPRODUCT((Donnees[Échantillon]=Donnees[[#This Row],[Échantillon]])*(Donnees[Longueur du texte]&lt;Donnees[[#This Row],[Longueur du texte]]))+(SUMPRODUCT((Donnees[Échantillon]=Donnees[[#This Row],[Échantillon]])*(Donnees[Longueur du texte]=Donnees[[#This Row],[Longueur du texte]]))+1)/2</f>
        <v>16</v>
      </c>
      <c r="AJ20" s="43" t="str">
        <f>IF(Donnees[[#This Row],[Abonnés]]="","",SUMPRODUCT((Donnees[Échantillon]=Donnees[[#This Row],[Échantillon]])*(Donnees[Abonnés]&lt;Donnees[[#This Row],[Abonnés]]))+(SUMPRODUCT((Donnees[Échantillon]=Donnees[[#This Row],[Échantillon]])*(Donnees[Abonnés]=Donnees[[#This Row],[Abonnés]]))+1)/2)</f>
        <v/>
      </c>
      <c r="AK2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21" spans="1:37" x14ac:dyDescent="0.2">
      <c r="A21" s="40" t="s">
        <v>37</v>
      </c>
      <c r="B21" s="40" t="s">
        <v>70</v>
      </c>
      <c r="C21" s="40" t="s">
        <v>39</v>
      </c>
      <c r="D21" s="40">
        <v>44</v>
      </c>
      <c r="E21" s="40" t="s">
        <v>56</v>
      </c>
      <c r="F21" s="40" t="str">
        <f>IF(OR(Donnees[[#This Row],[Jour]]="samedi",Donnees[[#This Row],[Jour]]="dimanche"),"Oui","Non")</f>
        <v>Oui</v>
      </c>
      <c r="G21" s="40">
        <v>16</v>
      </c>
      <c r="H21" s="40" t="str">
        <f>IF(Donnees[[#This Row],[Heure UTC]]&lt;6,"0-5 h",IF(Donnees[[#This Row],[Heure UTC]]&lt;12,"6-11 h",IF(Donnees[[#This Row],[Heure UTC]]&lt;18,"12-17 h","18-23 h")))</f>
        <v>12-17 h</v>
      </c>
      <c r="I21" s="40">
        <v>8</v>
      </c>
      <c r="J21" s="40" t="str">
        <f>IF(Donnees[[#This Row],[Durée (s)]]&lt;=10,"1. ≤ 10 s",IF(Donnees[[#This Row],[Durée (s)]]&lt;=15,"2. 11-15 s",IF(Donnees[[#This Row],[Durée (s)]]&lt;=30,"3. 16-30 s",IF(Donnees[[#This Row],[Durée (s)]]&lt;=60,"4. 31-60 s","5. &gt; 60 s"))))</f>
        <v>1. ≤ 10 s</v>
      </c>
      <c r="K21" s="40" t="str">
        <f>IF(Donnees[[#This Row],[Durée (s)]]&gt;15,"Oui","Non")</f>
        <v>Non</v>
      </c>
      <c r="L21" s="40">
        <v>0</v>
      </c>
      <c r="M21" s="40" t="s">
        <v>41</v>
      </c>
      <c r="N21" s="40">
        <v>0</v>
      </c>
      <c r="O21" s="40" t="s">
        <v>41</v>
      </c>
      <c r="P21" s="40" t="s">
        <v>44</v>
      </c>
      <c r="Q21" s="40" t="s">
        <v>41</v>
      </c>
      <c r="R21" s="40"/>
      <c r="S21" s="40"/>
      <c r="T21" s="41"/>
      <c r="U21" s="40" t="str">
        <f>IF(Donnees[[#This Row],[Abonnés]]="","",IF(Donnees[[#This Row],[Abonnés]]&lt;1000000,"1. &lt; 1 M",IF(Donnees[[#This Row],[Abonnés]]&lt;3000000,"2. 1-3 M",IF(Donnees[[#This Row],[Abonnés]]&lt;8000000,"3. 3-8 M","4. ≥ 8 M"))))</f>
        <v/>
      </c>
      <c r="V21" s="41"/>
      <c r="W21" s="41">
        <v>32500000</v>
      </c>
      <c r="X21" s="41">
        <v>3900000</v>
      </c>
      <c r="Y21" s="41">
        <v>19400</v>
      </c>
      <c r="Z21" s="41">
        <v>21300</v>
      </c>
      <c r="AA21" s="42">
        <f>(Donnees[[#This Row],[Likes]]+Donnees[[#This Row],[Commentaires]]+Donnees[[#This Row],[Partages]])/Donnees[[#This Row],[Vues]]</f>
        <v>0.12125230769230769</v>
      </c>
      <c r="AB21" s="40">
        <f>IF(Donnees[[#This Row],[Engagement]]&gt;=VLOOKUP(Donnees[[#This Row],[Échantillon]],'Méthode &amp; limites'!$B$9:$D$11,2,FALSE),1,0)</f>
        <v>0</v>
      </c>
      <c r="AC21" s="43" t="str">
        <f>IF(Donnees[[#This Row],[Abonnés]]="","",Donnees[[#This Row],[Vues]]/Donnees[[#This Row],[Abonnés]])</f>
        <v/>
      </c>
      <c r="AD21" s="40" t="s">
        <v>44</v>
      </c>
      <c r="AE21" s="43">
        <f>SUMPRODUCT((Donnees[Échantillon]=Donnees[[#This Row],[Échantillon]])*(Donnees[Engagement]&lt;Donnees[[#This Row],[Engagement]]))+(SUMPRODUCT((Donnees[Échantillon]=Donnees[[#This Row],[Échantillon]])*(Donnees[Engagement]=Donnees[[#This Row],[Engagement]]))+1)/2</f>
        <v>61</v>
      </c>
      <c r="AF21" s="43">
        <f>SUMPRODUCT((Donnees[Échantillon]=Donnees[[#This Row],[Échantillon]])*(Donnees[Vues]&lt;Donnees[[#This Row],[Vues]]))+(SUMPRODUCT((Donnees[Échantillon]=Donnees[[#This Row],[Échantillon]])*(Donnees[Vues]=Donnees[[#This Row],[Vues]]))+1)/2</f>
        <v>81</v>
      </c>
      <c r="AG21" s="43">
        <f>SUMPRODUCT((Donnees[Échantillon]=Donnees[[#This Row],[Échantillon]])*(Donnees[Durée (s)]&lt;Donnees[[#This Row],[Durée (s)]]))+(SUMPRODUCT((Donnees[Échantillon]=Donnees[[#This Row],[Échantillon]])*(Donnees[Durée (s)]=Donnees[[#This Row],[Durée (s)]]))+1)/2</f>
        <v>14</v>
      </c>
      <c r="AH21" s="43">
        <f>SUMPRODUCT((Donnees[Échantillon]=Donnees[[#This Row],[Échantillon]])*(Donnees[Nb hashtags]&lt;Donnees[[#This Row],[Nb hashtags]]))+(SUMPRODUCT((Donnees[Échantillon]=Donnees[[#This Row],[Échantillon]])*(Donnees[Nb hashtags]=Donnees[[#This Row],[Nb hashtags]]))+1)/2</f>
        <v>19</v>
      </c>
      <c r="AI21" s="43">
        <f>SUMPRODUCT((Donnees[Échantillon]=Donnees[[#This Row],[Échantillon]])*(Donnees[Longueur du texte]&lt;Donnees[[#This Row],[Longueur du texte]]))+(SUMPRODUCT((Donnees[Échantillon]=Donnees[[#This Row],[Échantillon]])*(Donnees[Longueur du texte]=Donnees[[#This Row],[Longueur du texte]]))+1)/2</f>
        <v>16</v>
      </c>
      <c r="AJ21" s="43" t="str">
        <f>IF(Donnees[[#This Row],[Abonnés]]="","",SUMPRODUCT((Donnees[Échantillon]=Donnees[[#This Row],[Échantillon]])*(Donnees[Abonnés]&lt;Donnees[[#This Row],[Abonnés]]))+(SUMPRODUCT((Donnees[Échantillon]=Donnees[[#This Row],[Échantillon]])*(Donnees[Abonnés]=Donnees[[#This Row],[Abonnés]]))+1)/2)</f>
        <v/>
      </c>
      <c r="AK2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22" spans="1:37" x14ac:dyDescent="0.2">
      <c r="A22" s="40" t="s">
        <v>37</v>
      </c>
      <c r="B22" s="40" t="s">
        <v>79</v>
      </c>
      <c r="C22" s="40" t="s">
        <v>62</v>
      </c>
      <c r="D22" s="40">
        <v>20</v>
      </c>
      <c r="E22" s="40" t="s">
        <v>59</v>
      </c>
      <c r="F22" s="40" t="str">
        <f>IF(OR(Donnees[[#This Row],[Jour]]="samedi",Donnees[[#This Row],[Jour]]="dimanche"),"Oui","Non")</f>
        <v>Non</v>
      </c>
      <c r="G22" s="40">
        <v>0</v>
      </c>
      <c r="H22" s="40" t="str">
        <f>IF(Donnees[[#This Row],[Heure UTC]]&lt;6,"0-5 h",IF(Donnees[[#This Row],[Heure UTC]]&lt;12,"6-11 h",IF(Donnees[[#This Row],[Heure UTC]]&lt;18,"12-17 h","18-23 h")))</f>
        <v>0-5 h</v>
      </c>
      <c r="I22" s="40">
        <v>8</v>
      </c>
      <c r="J22" s="40" t="str">
        <f>IF(Donnees[[#This Row],[Durée (s)]]&lt;=10,"1. ≤ 10 s",IF(Donnees[[#This Row],[Durée (s)]]&lt;=15,"2. 11-15 s",IF(Donnees[[#This Row],[Durée (s)]]&lt;=30,"3. 16-30 s",IF(Donnees[[#This Row],[Durée (s)]]&lt;=60,"4. 31-60 s","5. &gt; 60 s"))))</f>
        <v>1. ≤ 10 s</v>
      </c>
      <c r="K22" s="40" t="str">
        <f>IF(Donnees[[#This Row],[Durée (s)]]&gt;15,"Oui","Non")</f>
        <v>Non</v>
      </c>
      <c r="L22" s="40">
        <v>7</v>
      </c>
      <c r="M22" s="40" t="s">
        <v>44</v>
      </c>
      <c r="N22" s="40">
        <v>0</v>
      </c>
      <c r="O22" s="40" t="s">
        <v>41</v>
      </c>
      <c r="P22" s="40" t="s">
        <v>41</v>
      </c>
      <c r="Q22" s="40" t="s">
        <v>41</v>
      </c>
      <c r="R22" s="40"/>
      <c r="S22" s="40"/>
      <c r="T22" s="41"/>
      <c r="U22" s="40" t="str">
        <f>IF(Donnees[[#This Row],[Abonnés]]="","",IF(Donnees[[#This Row],[Abonnés]]&lt;1000000,"1. &lt; 1 M",IF(Donnees[[#This Row],[Abonnés]]&lt;3000000,"2. 1-3 M",IF(Donnees[[#This Row],[Abonnés]]&lt;8000000,"3. 3-8 M","4. ≥ 8 M"))))</f>
        <v/>
      </c>
      <c r="V22" s="41"/>
      <c r="W22" s="41">
        <v>32200000</v>
      </c>
      <c r="X22" s="41">
        <v>4800000</v>
      </c>
      <c r="Y22" s="41">
        <v>56700</v>
      </c>
      <c r="Z22" s="41">
        <v>451600</v>
      </c>
      <c r="AA22" s="42">
        <f>(Donnees[[#This Row],[Likes]]+Donnees[[#This Row],[Commentaires]]+Donnees[[#This Row],[Partages]])/Donnees[[#This Row],[Vues]]</f>
        <v>0.16485403726708076</v>
      </c>
      <c r="AB22" s="40">
        <f>IF(Donnees[[#This Row],[Engagement]]&gt;=VLOOKUP(Donnees[[#This Row],[Échantillon]],'Méthode &amp; limites'!$B$9:$D$11,2,FALSE),1,0)</f>
        <v>1</v>
      </c>
      <c r="AC22" s="43" t="str">
        <f>IF(Donnees[[#This Row],[Abonnés]]="","",Donnees[[#This Row],[Vues]]/Donnees[[#This Row],[Abonnés]])</f>
        <v/>
      </c>
      <c r="AD22" s="40" t="s">
        <v>44</v>
      </c>
      <c r="AE22" s="43">
        <f>SUMPRODUCT((Donnees[Échantillon]=Donnees[[#This Row],[Échantillon]])*(Donnees[Engagement]&lt;Donnees[[#This Row],[Engagement]]))+(SUMPRODUCT((Donnees[Échantillon]=Donnees[[#This Row],[Échantillon]])*(Donnees[Engagement]=Donnees[[#This Row],[Engagement]]))+1)/2</f>
        <v>79</v>
      </c>
      <c r="AF22" s="43">
        <f>SUMPRODUCT((Donnees[Échantillon]=Donnees[[#This Row],[Échantillon]])*(Donnees[Vues]&lt;Donnees[[#This Row],[Vues]]))+(SUMPRODUCT((Donnees[Échantillon]=Donnees[[#This Row],[Échantillon]])*(Donnees[Vues]=Donnees[[#This Row],[Vues]]))+1)/2</f>
        <v>80</v>
      </c>
      <c r="AG22" s="43">
        <f>SUMPRODUCT((Donnees[Échantillon]=Donnees[[#This Row],[Échantillon]])*(Donnees[Durée (s)]&lt;Donnees[[#This Row],[Durée (s)]]))+(SUMPRODUCT((Donnees[Échantillon]=Donnees[[#This Row],[Échantillon]])*(Donnees[Durée (s)]=Donnees[[#This Row],[Durée (s)]]))+1)/2</f>
        <v>14</v>
      </c>
      <c r="AH22" s="43">
        <f>SUMPRODUCT((Donnees[Échantillon]=Donnees[[#This Row],[Échantillon]])*(Donnees[Nb hashtags]&lt;Donnees[[#This Row],[Nb hashtags]]))+(SUMPRODUCT((Donnees[Échantillon]=Donnees[[#This Row],[Échantillon]])*(Donnees[Nb hashtags]=Donnees[[#This Row],[Nb hashtags]]))+1)/2</f>
        <v>80</v>
      </c>
      <c r="AI22" s="43">
        <f>SUMPRODUCT((Donnees[Échantillon]=Donnees[[#This Row],[Échantillon]])*(Donnees[Longueur du texte]&lt;Donnees[[#This Row],[Longueur du texte]]))+(SUMPRODUCT((Donnees[Échantillon]=Donnees[[#This Row],[Échantillon]])*(Donnees[Longueur du texte]=Donnees[[#This Row],[Longueur du texte]]))+1)/2</f>
        <v>16</v>
      </c>
      <c r="AJ22" s="43" t="str">
        <f>IF(Donnees[[#This Row],[Abonnés]]="","",SUMPRODUCT((Donnees[Échantillon]=Donnees[[#This Row],[Échantillon]])*(Donnees[Abonnés]&lt;Donnees[[#This Row],[Abonnés]]))+(SUMPRODUCT((Donnees[Échantillon]=Donnees[[#This Row],[Échantillon]])*(Donnees[Abonnés]=Donnees[[#This Row],[Abonnés]]))+1)/2)</f>
        <v/>
      </c>
      <c r="AK2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23" spans="1:37" x14ac:dyDescent="0.2">
      <c r="A23" s="40" t="s">
        <v>37</v>
      </c>
      <c r="B23" s="40" t="s">
        <v>80</v>
      </c>
      <c r="C23" s="40" t="s">
        <v>67</v>
      </c>
      <c r="D23" s="40">
        <v>85</v>
      </c>
      <c r="E23" s="40" t="s">
        <v>71</v>
      </c>
      <c r="F23" s="40" t="str">
        <f>IF(OR(Donnees[[#This Row],[Jour]]="samedi",Donnees[[#This Row],[Jour]]="dimanche"),"Oui","Non")</f>
        <v>Non</v>
      </c>
      <c r="G23" s="40">
        <v>6</v>
      </c>
      <c r="H23" s="40" t="str">
        <f>IF(Donnees[[#This Row],[Heure UTC]]&lt;6,"0-5 h",IF(Donnees[[#This Row],[Heure UTC]]&lt;12,"6-11 h",IF(Donnees[[#This Row],[Heure UTC]]&lt;18,"12-17 h","18-23 h")))</f>
        <v>6-11 h</v>
      </c>
      <c r="I23" s="40">
        <v>9</v>
      </c>
      <c r="J23" s="40" t="str">
        <f>IF(Donnees[[#This Row],[Durée (s)]]&lt;=10,"1. ≤ 10 s",IF(Donnees[[#This Row],[Durée (s)]]&lt;=15,"2. 11-15 s",IF(Donnees[[#This Row],[Durée (s)]]&lt;=30,"3. 16-30 s",IF(Donnees[[#This Row],[Durée (s)]]&lt;=60,"4. 31-60 s","5. &gt; 60 s"))))</f>
        <v>1. ≤ 10 s</v>
      </c>
      <c r="K23" s="40" t="str">
        <f>IF(Donnees[[#This Row],[Durée (s)]]&gt;15,"Oui","Non")</f>
        <v>Non</v>
      </c>
      <c r="L23" s="40">
        <v>5</v>
      </c>
      <c r="M23" s="40" t="s">
        <v>44</v>
      </c>
      <c r="N23" s="40">
        <v>0</v>
      </c>
      <c r="O23" s="40" t="s">
        <v>41</v>
      </c>
      <c r="P23" s="40" t="s">
        <v>41</v>
      </c>
      <c r="Q23" s="40" t="s">
        <v>41</v>
      </c>
      <c r="R23" s="40"/>
      <c r="S23" s="40"/>
      <c r="T23" s="41"/>
      <c r="U23" s="40" t="str">
        <f>IF(Donnees[[#This Row],[Abonnés]]="","",IF(Donnees[[#This Row],[Abonnés]]&lt;1000000,"1. &lt; 1 M",IF(Donnees[[#This Row],[Abonnés]]&lt;3000000,"2. 1-3 M",IF(Donnees[[#This Row],[Abonnés]]&lt;8000000,"3. 3-8 M","4. ≥ 8 M"))))</f>
        <v/>
      </c>
      <c r="V23" s="41"/>
      <c r="W23" s="41">
        <v>31600000</v>
      </c>
      <c r="X23" s="41">
        <v>2600000</v>
      </c>
      <c r="Y23" s="41">
        <v>100100</v>
      </c>
      <c r="Z23" s="41">
        <v>516600</v>
      </c>
      <c r="AA23" s="42">
        <f>(Donnees[[#This Row],[Likes]]+Donnees[[#This Row],[Commentaires]]+Donnees[[#This Row],[Partages]])/Donnees[[#This Row],[Vues]]</f>
        <v>0.10179430379746836</v>
      </c>
      <c r="AB23" s="40">
        <f>IF(Donnees[[#This Row],[Engagement]]&gt;=VLOOKUP(Donnees[[#This Row],[Échantillon]],'Méthode &amp; limites'!$B$9:$D$11,2,FALSE),1,0)</f>
        <v>0</v>
      </c>
      <c r="AC23" s="43" t="str">
        <f>IF(Donnees[[#This Row],[Abonnés]]="","",Donnees[[#This Row],[Vues]]/Donnees[[#This Row],[Abonnés]])</f>
        <v/>
      </c>
      <c r="AD23" s="40" t="s">
        <v>44</v>
      </c>
      <c r="AE23" s="43">
        <f>SUMPRODUCT((Donnees[Échantillon]=Donnees[[#This Row],[Échantillon]])*(Donnees[Engagement]&lt;Donnees[[#This Row],[Engagement]]))+(SUMPRODUCT((Donnees[Échantillon]=Donnees[[#This Row],[Échantillon]])*(Donnees[Engagement]=Donnees[[#This Row],[Engagement]]))+1)/2</f>
        <v>48</v>
      </c>
      <c r="AF23" s="43">
        <f>SUMPRODUCT((Donnees[Échantillon]=Donnees[[#This Row],[Échantillon]])*(Donnees[Vues]&lt;Donnees[[#This Row],[Vues]]))+(SUMPRODUCT((Donnees[Échantillon]=Donnees[[#This Row],[Échantillon]])*(Donnees[Vues]=Donnees[[#This Row],[Vues]]))+1)/2</f>
        <v>79</v>
      </c>
      <c r="AG23" s="43">
        <f>SUMPRODUCT((Donnees[Échantillon]=Donnees[[#This Row],[Échantillon]])*(Donnees[Durée (s)]&lt;Donnees[[#This Row],[Durée (s)]]))+(SUMPRODUCT((Donnees[Échantillon]=Donnees[[#This Row],[Échantillon]])*(Donnees[Durée (s)]=Donnees[[#This Row],[Durée (s)]]))+1)/2</f>
        <v>28</v>
      </c>
      <c r="AH23" s="43">
        <f>SUMPRODUCT((Donnees[Échantillon]=Donnees[[#This Row],[Échantillon]])*(Donnees[Nb hashtags]&lt;Donnees[[#This Row],[Nb hashtags]]))+(SUMPRODUCT((Donnees[Échantillon]=Donnees[[#This Row],[Échantillon]])*(Donnees[Nb hashtags]=Donnees[[#This Row],[Nb hashtags]]))+1)/2</f>
        <v>70</v>
      </c>
      <c r="AI23" s="43">
        <f>SUMPRODUCT((Donnees[Échantillon]=Donnees[[#This Row],[Échantillon]])*(Donnees[Longueur du texte]&lt;Donnees[[#This Row],[Longueur du texte]]))+(SUMPRODUCT((Donnees[Échantillon]=Donnees[[#This Row],[Échantillon]])*(Donnees[Longueur du texte]=Donnees[[#This Row],[Longueur du texte]]))+1)/2</f>
        <v>16</v>
      </c>
      <c r="AJ23" s="43" t="str">
        <f>IF(Donnees[[#This Row],[Abonnés]]="","",SUMPRODUCT((Donnees[Échantillon]=Donnees[[#This Row],[Échantillon]])*(Donnees[Abonnés]&lt;Donnees[[#This Row],[Abonnés]]))+(SUMPRODUCT((Donnees[Échantillon]=Donnees[[#This Row],[Échantillon]])*(Donnees[Abonnés]=Donnees[[#This Row],[Abonnés]]))+1)/2)</f>
        <v/>
      </c>
      <c r="AK2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24" spans="1:37" x14ac:dyDescent="0.2">
      <c r="A24" s="40" t="s">
        <v>37</v>
      </c>
      <c r="B24" s="40" t="s">
        <v>81</v>
      </c>
      <c r="C24" s="40" t="s">
        <v>39</v>
      </c>
      <c r="D24" s="40">
        <v>26</v>
      </c>
      <c r="E24" s="40" t="s">
        <v>47</v>
      </c>
      <c r="F24" s="40" t="str">
        <f>IF(OR(Donnees[[#This Row],[Jour]]="samedi",Donnees[[#This Row],[Jour]]="dimanche"),"Oui","Non")</f>
        <v>Non</v>
      </c>
      <c r="G24" s="40">
        <v>21</v>
      </c>
      <c r="H24" s="40" t="str">
        <f>IF(Donnees[[#This Row],[Heure UTC]]&lt;6,"0-5 h",IF(Donnees[[#This Row],[Heure UTC]]&lt;12,"6-11 h",IF(Donnees[[#This Row],[Heure UTC]]&lt;18,"12-17 h","18-23 h")))</f>
        <v>18-23 h</v>
      </c>
      <c r="I24" s="40">
        <v>11</v>
      </c>
      <c r="J24" s="40" t="str">
        <f>IF(Donnees[[#This Row],[Durée (s)]]&lt;=10,"1. ≤ 10 s",IF(Donnees[[#This Row],[Durée (s)]]&lt;=15,"2. 11-15 s",IF(Donnees[[#This Row],[Durée (s)]]&lt;=30,"3. 16-30 s",IF(Donnees[[#This Row],[Durée (s)]]&lt;=60,"4. 31-60 s","5. &gt; 60 s"))))</f>
        <v>2. 11-15 s</v>
      </c>
      <c r="K24" s="40" t="str">
        <f>IF(Donnees[[#This Row],[Durée (s)]]&gt;15,"Oui","Non")</f>
        <v>Non</v>
      </c>
      <c r="L24" s="40">
        <v>0</v>
      </c>
      <c r="M24" s="40" t="s">
        <v>41</v>
      </c>
      <c r="N24" s="40">
        <v>0</v>
      </c>
      <c r="O24" s="40" t="s">
        <v>44</v>
      </c>
      <c r="P24" s="40" t="s">
        <v>41</v>
      </c>
      <c r="Q24" s="40" t="s">
        <v>41</v>
      </c>
      <c r="R24" s="40"/>
      <c r="S24" s="40"/>
      <c r="T24" s="41"/>
      <c r="U24" s="40" t="str">
        <f>IF(Donnees[[#This Row],[Abonnés]]="","",IF(Donnees[[#This Row],[Abonnés]]&lt;1000000,"1. &lt; 1 M",IF(Donnees[[#This Row],[Abonnés]]&lt;3000000,"2. 1-3 M",IF(Donnees[[#This Row],[Abonnés]]&lt;8000000,"3. 3-8 M","4. ≥ 8 M"))))</f>
        <v/>
      </c>
      <c r="V24" s="41"/>
      <c r="W24" s="41">
        <v>29800000</v>
      </c>
      <c r="X24" s="41">
        <v>976900</v>
      </c>
      <c r="Y24" s="41">
        <v>10400</v>
      </c>
      <c r="Z24" s="41">
        <v>143400</v>
      </c>
      <c r="AA24" s="42">
        <f>(Donnees[[#This Row],[Likes]]+Donnees[[#This Row],[Commentaires]]+Donnees[[#This Row],[Partages]])/Donnees[[#This Row],[Vues]]</f>
        <v>3.7942953020134229E-2</v>
      </c>
      <c r="AB24" s="40">
        <f>IF(Donnees[[#This Row],[Engagement]]&gt;=VLOOKUP(Donnees[[#This Row],[Échantillon]],'Méthode &amp; limites'!$B$9:$D$11,2,FALSE),1,0)</f>
        <v>0</v>
      </c>
      <c r="AC24" s="43" t="str">
        <f>IF(Donnees[[#This Row],[Abonnés]]="","",Donnees[[#This Row],[Vues]]/Donnees[[#This Row],[Abonnés]])</f>
        <v/>
      </c>
      <c r="AD24" s="40" t="s">
        <v>44</v>
      </c>
      <c r="AE24" s="43">
        <f>SUMPRODUCT((Donnees[Échantillon]=Donnees[[#This Row],[Échantillon]])*(Donnees[Engagement]&lt;Donnees[[#This Row],[Engagement]]))+(SUMPRODUCT((Donnees[Échantillon]=Donnees[[#This Row],[Échantillon]])*(Donnees[Engagement]=Donnees[[#This Row],[Engagement]]))+1)/2</f>
        <v>5</v>
      </c>
      <c r="AF24" s="43">
        <f>SUMPRODUCT((Donnees[Échantillon]=Donnees[[#This Row],[Échantillon]])*(Donnees[Vues]&lt;Donnees[[#This Row],[Vues]]))+(SUMPRODUCT((Donnees[Échantillon]=Donnees[[#This Row],[Échantillon]])*(Donnees[Vues]=Donnees[[#This Row],[Vues]]))+1)/2</f>
        <v>78</v>
      </c>
      <c r="AG24" s="43">
        <f>SUMPRODUCT((Donnees[Échantillon]=Donnees[[#This Row],[Échantillon]])*(Donnees[Durée (s)]&lt;Donnees[[#This Row],[Durée (s)]]))+(SUMPRODUCT((Donnees[Échantillon]=Donnees[[#This Row],[Échantillon]])*(Donnees[Durée (s)]=Donnees[[#This Row],[Durée (s)]]))+1)/2</f>
        <v>47</v>
      </c>
      <c r="AH24" s="43">
        <f>SUMPRODUCT((Donnees[Échantillon]=Donnees[[#This Row],[Échantillon]])*(Donnees[Nb hashtags]&lt;Donnees[[#This Row],[Nb hashtags]]))+(SUMPRODUCT((Donnees[Échantillon]=Donnees[[#This Row],[Échantillon]])*(Donnees[Nb hashtags]=Donnees[[#This Row],[Nb hashtags]]))+1)/2</f>
        <v>19</v>
      </c>
      <c r="AI24" s="43">
        <f>SUMPRODUCT((Donnees[Échantillon]=Donnees[[#This Row],[Échantillon]])*(Donnees[Longueur du texte]&lt;Donnees[[#This Row],[Longueur du texte]]))+(SUMPRODUCT((Donnees[Échantillon]=Donnees[[#This Row],[Échantillon]])*(Donnees[Longueur du texte]=Donnees[[#This Row],[Longueur du texte]]))+1)/2</f>
        <v>16</v>
      </c>
      <c r="AJ24" s="43" t="str">
        <f>IF(Donnees[[#This Row],[Abonnés]]="","",SUMPRODUCT((Donnees[Échantillon]=Donnees[[#This Row],[Échantillon]])*(Donnees[Abonnés]&lt;Donnees[[#This Row],[Abonnés]]))+(SUMPRODUCT((Donnees[Échantillon]=Donnees[[#This Row],[Échantillon]])*(Donnees[Abonnés]=Donnees[[#This Row],[Abonnés]]))+1)/2)</f>
        <v/>
      </c>
      <c r="AK2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25" spans="1:37" x14ac:dyDescent="0.2">
      <c r="A25" s="40" t="s">
        <v>37</v>
      </c>
      <c r="B25" s="40" t="s">
        <v>70</v>
      </c>
      <c r="C25" s="40" t="s">
        <v>39</v>
      </c>
      <c r="D25" s="40">
        <v>88</v>
      </c>
      <c r="E25" s="40" t="s">
        <v>68</v>
      </c>
      <c r="F25" s="40" t="str">
        <f>IF(OR(Donnees[[#This Row],[Jour]]="samedi",Donnees[[#This Row],[Jour]]="dimanche"),"Oui","Non")</f>
        <v>Non</v>
      </c>
      <c r="G25" s="40">
        <v>16</v>
      </c>
      <c r="H25" s="40" t="str">
        <f>IF(Donnees[[#This Row],[Heure UTC]]&lt;6,"0-5 h",IF(Donnees[[#This Row],[Heure UTC]]&lt;12,"6-11 h",IF(Donnees[[#This Row],[Heure UTC]]&lt;18,"12-17 h","18-23 h")))</f>
        <v>12-17 h</v>
      </c>
      <c r="I25" s="40">
        <v>8</v>
      </c>
      <c r="J25" s="40" t="str">
        <f>IF(Donnees[[#This Row],[Durée (s)]]&lt;=10,"1. ≤ 10 s",IF(Donnees[[#This Row],[Durée (s)]]&lt;=15,"2. 11-15 s",IF(Donnees[[#This Row],[Durée (s)]]&lt;=30,"3. 16-30 s",IF(Donnees[[#This Row],[Durée (s)]]&lt;=60,"4. 31-60 s","5. &gt; 60 s"))))</f>
        <v>1. ≤ 10 s</v>
      </c>
      <c r="K25" s="40" t="str">
        <f>IF(Donnees[[#This Row],[Durée (s)]]&gt;15,"Oui","Non")</f>
        <v>Non</v>
      </c>
      <c r="L25" s="40">
        <v>0</v>
      </c>
      <c r="M25" s="40" t="s">
        <v>41</v>
      </c>
      <c r="N25" s="40">
        <v>1</v>
      </c>
      <c r="O25" s="40" t="s">
        <v>41</v>
      </c>
      <c r="P25" s="40" t="s">
        <v>41</v>
      </c>
      <c r="Q25" s="40" t="s">
        <v>41</v>
      </c>
      <c r="R25" s="40"/>
      <c r="S25" s="40"/>
      <c r="T25" s="41"/>
      <c r="U25" s="40" t="str">
        <f>IF(Donnees[[#This Row],[Abonnés]]="","",IF(Donnees[[#This Row],[Abonnés]]&lt;1000000,"1. &lt; 1 M",IF(Donnees[[#This Row],[Abonnés]]&lt;3000000,"2. 1-3 M",IF(Donnees[[#This Row],[Abonnés]]&lt;8000000,"3. 3-8 M","4. ≥ 8 M"))))</f>
        <v/>
      </c>
      <c r="V25" s="41"/>
      <c r="W25" s="41">
        <v>28700000</v>
      </c>
      <c r="X25" s="41">
        <v>2200000</v>
      </c>
      <c r="Y25" s="41">
        <v>9354</v>
      </c>
      <c r="Z25" s="41">
        <v>22000</v>
      </c>
      <c r="AA25" s="42">
        <f>(Donnees[[#This Row],[Likes]]+Donnees[[#This Row],[Commentaires]]+Donnees[[#This Row],[Partages]])/Donnees[[#This Row],[Vues]]</f>
        <v>7.7747526132404182E-2</v>
      </c>
      <c r="AB25" s="40">
        <f>IF(Donnees[[#This Row],[Engagement]]&gt;=VLOOKUP(Donnees[[#This Row],[Échantillon]],'Méthode &amp; limites'!$B$9:$D$11,2,FALSE),1,0)</f>
        <v>0</v>
      </c>
      <c r="AC25" s="43" t="str">
        <f>IF(Donnees[[#This Row],[Abonnés]]="","",Donnees[[#This Row],[Vues]]/Donnees[[#This Row],[Abonnés]])</f>
        <v/>
      </c>
      <c r="AD25" s="40" t="s">
        <v>44</v>
      </c>
      <c r="AE25" s="43">
        <f>SUMPRODUCT((Donnees[Échantillon]=Donnees[[#This Row],[Échantillon]])*(Donnees[Engagement]&lt;Donnees[[#This Row],[Engagement]]))+(SUMPRODUCT((Donnees[Échantillon]=Donnees[[#This Row],[Échantillon]])*(Donnees[Engagement]=Donnees[[#This Row],[Engagement]]))+1)/2</f>
        <v>30</v>
      </c>
      <c r="AF25" s="43">
        <f>SUMPRODUCT((Donnees[Échantillon]=Donnees[[#This Row],[Échantillon]])*(Donnees[Vues]&lt;Donnees[[#This Row],[Vues]]))+(SUMPRODUCT((Donnees[Échantillon]=Donnees[[#This Row],[Échantillon]])*(Donnees[Vues]=Donnees[[#This Row],[Vues]]))+1)/2</f>
        <v>77</v>
      </c>
      <c r="AG25" s="43">
        <f>SUMPRODUCT((Donnees[Échantillon]=Donnees[[#This Row],[Échantillon]])*(Donnees[Durée (s)]&lt;Donnees[[#This Row],[Durée (s)]]))+(SUMPRODUCT((Donnees[Échantillon]=Donnees[[#This Row],[Échantillon]])*(Donnees[Durée (s)]=Donnees[[#This Row],[Durée (s)]]))+1)/2</f>
        <v>14</v>
      </c>
      <c r="AH25" s="43">
        <f>SUMPRODUCT((Donnees[Échantillon]=Donnees[[#This Row],[Échantillon]])*(Donnees[Nb hashtags]&lt;Donnees[[#This Row],[Nb hashtags]]))+(SUMPRODUCT((Donnees[Échantillon]=Donnees[[#This Row],[Échantillon]])*(Donnees[Nb hashtags]=Donnees[[#This Row],[Nb hashtags]]))+1)/2</f>
        <v>19</v>
      </c>
      <c r="AI25" s="43">
        <f>SUMPRODUCT((Donnees[Échantillon]=Donnees[[#This Row],[Échantillon]])*(Donnees[Longueur du texte]&lt;Donnees[[#This Row],[Longueur du texte]]))+(SUMPRODUCT((Donnees[Échantillon]=Donnees[[#This Row],[Échantillon]])*(Donnees[Longueur du texte]=Donnees[[#This Row],[Longueur du texte]]))+1)/2</f>
        <v>33</v>
      </c>
      <c r="AJ25" s="43" t="str">
        <f>IF(Donnees[[#This Row],[Abonnés]]="","",SUMPRODUCT((Donnees[Échantillon]=Donnees[[#This Row],[Échantillon]])*(Donnees[Abonnés]&lt;Donnees[[#This Row],[Abonnés]]))+(SUMPRODUCT((Donnees[Échantillon]=Donnees[[#This Row],[Échantillon]])*(Donnees[Abonnés]=Donnees[[#This Row],[Abonnés]]))+1)/2)</f>
        <v/>
      </c>
      <c r="AK2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26" spans="1:37" x14ac:dyDescent="0.2">
      <c r="A26" s="40" t="s">
        <v>37</v>
      </c>
      <c r="B26" s="40" t="s">
        <v>82</v>
      </c>
      <c r="C26" s="40" t="s">
        <v>46</v>
      </c>
      <c r="D26" s="40">
        <v>87</v>
      </c>
      <c r="E26" s="40" t="s">
        <v>75</v>
      </c>
      <c r="F26" s="40" t="str">
        <f>IF(OR(Donnees[[#This Row],[Jour]]="samedi",Donnees[[#This Row],[Jour]]="dimanche"),"Oui","Non")</f>
        <v>Oui</v>
      </c>
      <c r="G26" s="40">
        <v>1</v>
      </c>
      <c r="H26" s="40" t="str">
        <f>IF(Donnees[[#This Row],[Heure UTC]]&lt;6,"0-5 h",IF(Donnees[[#This Row],[Heure UTC]]&lt;12,"6-11 h",IF(Donnees[[#This Row],[Heure UTC]]&lt;18,"12-17 h","18-23 h")))</f>
        <v>0-5 h</v>
      </c>
      <c r="I26" s="40">
        <v>15</v>
      </c>
      <c r="J26" s="40" t="str">
        <f>IF(Donnees[[#This Row],[Durée (s)]]&lt;=10,"1. ≤ 10 s",IF(Donnees[[#This Row],[Durée (s)]]&lt;=15,"2. 11-15 s",IF(Donnees[[#This Row],[Durée (s)]]&lt;=30,"3. 16-30 s",IF(Donnees[[#This Row],[Durée (s)]]&lt;=60,"4. 31-60 s","5. &gt; 60 s"))))</f>
        <v>2. 11-15 s</v>
      </c>
      <c r="K26" s="40" t="str">
        <f>IF(Donnees[[#This Row],[Durée (s)]]&gt;15,"Oui","Non")</f>
        <v>Non</v>
      </c>
      <c r="L26" s="40">
        <v>1</v>
      </c>
      <c r="M26" s="40" t="s">
        <v>41</v>
      </c>
      <c r="N26" s="40">
        <v>9</v>
      </c>
      <c r="O26" s="40" t="s">
        <v>41</v>
      </c>
      <c r="P26" s="40" t="s">
        <v>41</v>
      </c>
      <c r="Q26" s="40" t="s">
        <v>41</v>
      </c>
      <c r="R26" s="40"/>
      <c r="S26" s="40"/>
      <c r="T26" s="41"/>
      <c r="U26" s="40" t="str">
        <f>IF(Donnees[[#This Row],[Abonnés]]="","",IF(Donnees[[#This Row],[Abonnés]]&lt;1000000,"1. &lt; 1 M",IF(Donnees[[#This Row],[Abonnés]]&lt;3000000,"2. 1-3 M",IF(Donnees[[#This Row],[Abonnés]]&lt;8000000,"3. 3-8 M","4. ≥ 8 M"))))</f>
        <v/>
      </c>
      <c r="V26" s="41"/>
      <c r="W26" s="41">
        <v>27900000</v>
      </c>
      <c r="X26" s="41">
        <v>2700000</v>
      </c>
      <c r="Y26" s="41">
        <v>59700</v>
      </c>
      <c r="Z26" s="41">
        <v>18300</v>
      </c>
      <c r="AA26" s="42">
        <f>(Donnees[[#This Row],[Likes]]+Donnees[[#This Row],[Commentaires]]+Donnees[[#This Row],[Partages]])/Donnees[[#This Row],[Vues]]</f>
        <v>9.9569892473118274E-2</v>
      </c>
      <c r="AB26" s="40">
        <f>IF(Donnees[[#This Row],[Engagement]]&gt;=VLOOKUP(Donnees[[#This Row],[Échantillon]],'Méthode &amp; limites'!$B$9:$D$11,2,FALSE),1,0)</f>
        <v>0</v>
      </c>
      <c r="AC26" s="43" t="str">
        <f>IF(Donnees[[#This Row],[Abonnés]]="","",Donnees[[#This Row],[Vues]]/Donnees[[#This Row],[Abonnés]])</f>
        <v/>
      </c>
      <c r="AD26" s="40" t="s">
        <v>44</v>
      </c>
      <c r="AE26" s="43">
        <f>SUMPRODUCT((Donnees[Échantillon]=Donnees[[#This Row],[Échantillon]])*(Donnees[Engagement]&lt;Donnees[[#This Row],[Engagement]]))+(SUMPRODUCT((Donnees[Échantillon]=Donnees[[#This Row],[Échantillon]])*(Donnees[Engagement]=Donnees[[#This Row],[Engagement]]))+1)/2</f>
        <v>44</v>
      </c>
      <c r="AF26" s="43">
        <f>SUMPRODUCT((Donnees[Échantillon]=Donnees[[#This Row],[Échantillon]])*(Donnees[Vues]&lt;Donnees[[#This Row],[Vues]]))+(SUMPRODUCT((Donnees[Échantillon]=Donnees[[#This Row],[Échantillon]])*(Donnees[Vues]=Donnees[[#This Row],[Vues]]))+1)/2</f>
        <v>76</v>
      </c>
      <c r="AG26" s="43">
        <f>SUMPRODUCT((Donnees[Échantillon]=Donnees[[#This Row],[Échantillon]])*(Donnees[Durée (s)]&lt;Donnees[[#This Row],[Durée (s)]]))+(SUMPRODUCT((Donnees[Échantillon]=Donnees[[#This Row],[Échantillon]])*(Donnees[Durée (s)]=Donnees[[#This Row],[Durée (s)]]))+1)/2</f>
        <v>78</v>
      </c>
      <c r="AH26" s="43">
        <f>SUMPRODUCT((Donnees[Échantillon]=Donnees[[#This Row],[Échantillon]])*(Donnees[Nb hashtags]&lt;Donnees[[#This Row],[Nb hashtags]]))+(SUMPRODUCT((Donnees[Échantillon]=Donnees[[#This Row],[Échantillon]])*(Donnees[Nb hashtags]=Donnees[[#This Row],[Nb hashtags]]))+1)/2</f>
        <v>39</v>
      </c>
      <c r="AI26" s="43">
        <f>SUMPRODUCT((Donnees[Échantillon]=Donnees[[#This Row],[Échantillon]])*(Donnees[Longueur du texte]&lt;Donnees[[#This Row],[Longueur du texte]]))+(SUMPRODUCT((Donnees[Échantillon]=Donnees[[#This Row],[Échantillon]])*(Donnees[Longueur du texte]=Donnees[[#This Row],[Longueur du texte]]))+1)/2</f>
        <v>45.5</v>
      </c>
      <c r="AJ26" s="43" t="str">
        <f>IF(Donnees[[#This Row],[Abonnés]]="","",SUMPRODUCT((Donnees[Échantillon]=Donnees[[#This Row],[Échantillon]])*(Donnees[Abonnés]&lt;Donnees[[#This Row],[Abonnés]]))+(SUMPRODUCT((Donnees[Échantillon]=Donnees[[#This Row],[Échantillon]])*(Donnees[Abonnés]=Donnees[[#This Row],[Abonnés]]))+1)/2)</f>
        <v/>
      </c>
      <c r="AK2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27" spans="1:37" x14ac:dyDescent="0.2">
      <c r="A27" s="40" t="s">
        <v>37</v>
      </c>
      <c r="B27" s="40" t="s">
        <v>83</v>
      </c>
      <c r="C27" s="40" t="s">
        <v>39</v>
      </c>
      <c r="D27" s="40">
        <v>6</v>
      </c>
      <c r="E27" s="40" t="s">
        <v>59</v>
      </c>
      <c r="F27" s="40" t="str">
        <f>IF(OR(Donnees[[#This Row],[Jour]]="samedi",Donnees[[#This Row],[Jour]]="dimanche"),"Oui","Non")</f>
        <v>Non</v>
      </c>
      <c r="G27" s="40">
        <v>8</v>
      </c>
      <c r="H27" s="40" t="str">
        <f>IF(Donnees[[#This Row],[Heure UTC]]&lt;6,"0-5 h",IF(Donnees[[#This Row],[Heure UTC]]&lt;12,"6-11 h",IF(Donnees[[#This Row],[Heure UTC]]&lt;18,"12-17 h","18-23 h")))</f>
        <v>6-11 h</v>
      </c>
      <c r="I27" s="40">
        <v>11</v>
      </c>
      <c r="J27" s="40" t="str">
        <f>IF(Donnees[[#This Row],[Durée (s)]]&lt;=10,"1. ≤ 10 s",IF(Donnees[[#This Row],[Durée (s)]]&lt;=15,"2. 11-15 s",IF(Donnees[[#This Row],[Durée (s)]]&lt;=30,"3. 16-30 s",IF(Donnees[[#This Row],[Durée (s)]]&lt;=60,"4. 31-60 s","5. &gt; 60 s"))))</f>
        <v>2. 11-15 s</v>
      </c>
      <c r="K27" s="40" t="str">
        <f>IF(Donnees[[#This Row],[Durée (s)]]&gt;15,"Oui","Non")</f>
        <v>Non</v>
      </c>
      <c r="L27" s="40">
        <v>0</v>
      </c>
      <c r="M27" s="40" t="s">
        <v>41</v>
      </c>
      <c r="N27" s="40">
        <v>27</v>
      </c>
      <c r="O27" s="40" t="s">
        <v>41</v>
      </c>
      <c r="P27" s="40" t="s">
        <v>44</v>
      </c>
      <c r="Q27" s="40" t="s">
        <v>41</v>
      </c>
      <c r="R27" s="40"/>
      <c r="S27" s="40"/>
      <c r="T27" s="41"/>
      <c r="U27" s="40" t="str">
        <f>IF(Donnees[[#This Row],[Abonnés]]="","",IF(Donnees[[#This Row],[Abonnés]]&lt;1000000,"1. &lt; 1 M",IF(Donnees[[#This Row],[Abonnés]]&lt;3000000,"2. 1-3 M",IF(Donnees[[#This Row],[Abonnés]]&lt;8000000,"3. 3-8 M","4. ≥ 8 M"))))</f>
        <v/>
      </c>
      <c r="V27" s="41"/>
      <c r="W27" s="41">
        <v>26700000</v>
      </c>
      <c r="X27" s="41">
        <v>6600000</v>
      </c>
      <c r="Y27" s="41">
        <v>107100</v>
      </c>
      <c r="Z27" s="41">
        <v>49100</v>
      </c>
      <c r="AA27" s="42">
        <f>(Donnees[[#This Row],[Likes]]+Donnees[[#This Row],[Commentaires]]+Donnees[[#This Row],[Partages]])/Donnees[[#This Row],[Vues]]</f>
        <v>0.25304119850187268</v>
      </c>
      <c r="AB27" s="40">
        <f>IF(Donnees[[#This Row],[Engagement]]&gt;=VLOOKUP(Donnees[[#This Row],[Échantillon]],'Méthode &amp; limites'!$B$9:$D$11,2,FALSE),1,0)</f>
        <v>1</v>
      </c>
      <c r="AC27" s="43" t="str">
        <f>IF(Donnees[[#This Row],[Abonnés]]="","",Donnees[[#This Row],[Vues]]/Donnees[[#This Row],[Abonnés]])</f>
        <v/>
      </c>
      <c r="AD27" s="40" t="s">
        <v>44</v>
      </c>
      <c r="AE27" s="43">
        <f>SUMPRODUCT((Donnees[Échantillon]=Donnees[[#This Row],[Échantillon]])*(Donnees[Engagement]&lt;Donnees[[#This Row],[Engagement]]))+(SUMPRODUCT((Donnees[Échantillon]=Donnees[[#This Row],[Échantillon]])*(Donnees[Engagement]=Donnees[[#This Row],[Engagement]]))+1)/2</f>
        <v>97</v>
      </c>
      <c r="AF27" s="43">
        <f>SUMPRODUCT((Donnees[Échantillon]=Donnees[[#This Row],[Échantillon]])*(Donnees[Vues]&lt;Donnees[[#This Row],[Vues]]))+(SUMPRODUCT((Donnees[Échantillon]=Donnees[[#This Row],[Échantillon]])*(Donnees[Vues]=Donnees[[#This Row],[Vues]]))+1)/2</f>
        <v>75</v>
      </c>
      <c r="AG27" s="43">
        <f>SUMPRODUCT((Donnees[Échantillon]=Donnees[[#This Row],[Échantillon]])*(Donnees[Durée (s)]&lt;Donnees[[#This Row],[Durée (s)]]))+(SUMPRODUCT((Donnees[Échantillon]=Donnees[[#This Row],[Échantillon]])*(Donnees[Durée (s)]=Donnees[[#This Row],[Durée (s)]]))+1)/2</f>
        <v>47</v>
      </c>
      <c r="AH27" s="43">
        <f>SUMPRODUCT((Donnees[Échantillon]=Donnees[[#This Row],[Échantillon]])*(Donnees[Nb hashtags]&lt;Donnees[[#This Row],[Nb hashtags]]))+(SUMPRODUCT((Donnees[Échantillon]=Donnees[[#This Row],[Échantillon]])*(Donnees[Nb hashtags]=Donnees[[#This Row],[Nb hashtags]]))+1)/2</f>
        <v>19</v>
      </c>
      <c r="AI27" s="43">
        <f>SUMPRODUCT((Donnees[Échantillon]=Donnees[[#This Row],[Échantillon]])*(Donnees[Longueur du texte]&lt;Donnees[[#This Row],[Longueur du texte]]))+(SUMPRODUCT((Donnees[Échantillon]=Donnees[[#This Row],[Échantillon]])*(Donnees[Longueur du texte]=Donnees[[#This Row],[Longueur du texte]]))+1)/2</f>
        <v>69</v>
      </c>
      <c r="AJ27" s="43" t="str">
        <f>IF(Donnees[[#This Row],[Abonnés]]="","",SUMPRODUCT((Donnees[Échantillon]=Donnees[[#This Row],[Échantillon]])*(Donnees[Abonnés]&lt;Donnees[[#This Row],[Abonnés]]))+(SUMPRODUCT((Donnees[Échantillon]=Donnees[[#This Row],[Échantillon]])*(Donnees[Abonnés]=Donnees[[#This Row],[Abonnés]]))+1)/2)</f>
        <v/>
      </c>
      <c r="AK2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28" spans="1:37" x14ac:dyDescent="0.2">
      <c r="A28" s="40" t="s">
        <v>37</v>
      </c>
      <c r="B28" s="40" t="s">
        <v>84</v>
      </c>
      <c r="C28" s="40" t="s">
        <v>67</v>
      </c>
      <c r="D28" s="40">
        <v>19</v>
      </c>
      <c r="E28" s="40" t="s">
        <v>47</v>
      </c>
      <c r="F28" s="40" t="str">
        <f>IF(OR(Donnees[[#This Row],[Jour]]="samedi",Donnees[[#This Row],[Jour]]="dimanche"),"Oui","Non")</f>
        <v>Non</v>
      </c>
      <c r="G28" s="40">
        <v>22</v>
      </c>
      <c r="H28" s="40" t="str">
        <f>IF(Donnees[[#This Row],[Heure UTC]]&lt;6,"0-5 h",IF(Donnees[[#This Row],[Heure UTC]]&lt;12,"6-11 h",IF(Donnees[[#This Row],[Heure UTC]]&lt;18,"12-17 h","18-23 h")))</f>
        <v>18-23 h</v>
      </c>
      <c r="I28" s="40">
        <v>10</v>
      </c>
      <c r="J28" s="40" t="str">
        <f>IF(Donnees[[#This Row],[Durée (s)]]&lt;=10,"1. ≤ 10 s",IF(Donnees[[#This Row],[Durée (s)]]&lt;=15,"2. 11-15 s",IF(Donnees[[#This Row],[Durée (s)]]&lt;=30,"3. 16-30 s",IF(Donnees[[#This Row],[Durée (s)]]&lt;=60,"4. 31-60 s","5. &gt; 60 s"))))</f>
        <v>1. ≤ 10 s</v>
      </c>
      <c r="K28" s="40" t="str">
        <f>IF(Donnees[[#This Row],[Durée (s)]]&gt;15,"Oui","Non")</f>
        <v>Non</v>
      </c>
      <c r="L28" s="40">
        <v>3</v>
      </c>
      <c r="M28" s="40" t="s">
        <v>44</v>
      </c>
      <c r="N28" s="40">
        <v>24</v>
      </c>
      <c r="O28" s="40" t="s">
        <v>41</v>
      </c>
      <c r="P28" s="40" t="s">
        <v>41</v>
      </c>
      <c r="Q28" s="40" t="s">
        <v>41</v>
      </c>
      <c r="R28" s="40"/>
      <c r="S28" s="40"/>
      <c r="T28" s="41"/>
      <c r="U28" s="40" t="str">
        <f>IF(Donnees[[#This Row],[Abonnés]]="","",IF(Donnees[[#This Row],[Abonnés]]&lt;1000000,"1. &lt; 1 M",IF(Donnees[[#This Row],[Abonnés]]&lt;3000000,"2. 1-3 M",IF(Donnees[[#This Row],[Abonnés]]&lt;8000000,"3. 3-8 M","4. ≥ 8 M"))))</f>
        <v/>
      </c>
      <c r="V28" s="41"/>
      <c r="W28" s="41">
        <v>26000000</v>
      </c>
      <c r="X28" s="41">
        <v>3000000</v>
      </c>
      <c r="Y28" s="41">
        <v>31200</v>
      </c>
      <c r="Z28" s="41">
        <v>286900</v>
      </c>
      <c r="AA28" s="42">
        <f>(Donnees[[#This Row],[Likes]]+Donnees[[#This Row],[Commentaires]]+Donnees[[#This Row],[Partages]])/Donnees[[#This Row],[Vues]]</f>
        <v>0.12761923076923076</v>
      </c>
      <c r="AB28" s="40">
        <f>IF(Donnees[[#This Row],[Engagement]]&gt;=VLOOKUP(Donnees[[#This Row],[Échantillon]],'Méthode &amp; limites'!$B$9:$D$11,2,FALSE),1,0)</f>
        <v>0</v>
      </c>
      <c r="AC28" s="43" t="str">
        <f>IF(Donnees[[#This Row],[Abonnés]]="","",Donnees[[#This Row],[Vues]]/Donnees[[#This Row],[Abonnés]])</f>
        <v/>
      </c>
      <c r="AD28" s="40" t="s">
        <v>44</v>
      </c>
      <c r="AE28" s="43">
        <f>SUMPRODUCT((Donnees[Échantillon]=Donnees[[#This Row],[Échantillon]])*(Donnees[Engagement]&lt;Donnees[[#This Row],[Engagement]]))+(SUMPRODUCT((Donnees[Échantillon]=Donnees[[#This Row],[Échantillon]])*(Donnees[Engagement]=Donnees[[#This Row],[Engagement]]))+1)/2</f>
        <v>65</v>
      </c>
      <c r="AF28" s="43">
        <f>SUMPRODUCT((Donnees[Échantillon]=Donnees[[#This Row],[Échantillon]])*(Donnees[Vues]&lt;Donnees[[#This Row],[Vues]]))+(SUMPRODUCT((Donnees[Échantillon]=Donnees[[#This Row],[Échantillon]])*(Donnees[Vues]=Donnees[[#This Row],[Vues]]))+1)/2</f>
        <v>74</v>
      </c>
      <c r="AG28" s="43">
        <f>SUMPRODUCT((Donnees[Échantillon]=Donnees[[#This Row],[Échantillon]])*(Donnees[Durée (s)]&lt;Donnees[[#This Row],[Durée (s)]]))+(SUMPRODUCT((Donnees[Échantillon]=Donnees[[#This Row],[Échantillon]])*(Donnees[Durée (s)]=Donnees[[#This Row],[Durée (s)]]))+1)/2</f>
        <v>38</v>
      </c>
      <c r="AH28" s="43">
        <f>SUMPRODUCT((Donnees[Échantillon]=Donnees[[#This Row],[Échantillon]])*(Donnees[Nb hashtags]&lt;Donnees[[#This Row],[Nb hashtags]]))+(SUMPRODUCT((Donnees[Échantillon]=Donnees[[#This Row],[Échantillon]])*(Donnees[Nb hashtags]=Donnees[[#This Row],[Nb hashtags]]))+1)/2</f>
        <v>52</v>
      </c>
      <c r="AI28" s="43">
        <f>SUMPRODUCT((Donnees[Échantillon]=Donnees[[#This Row],[Échantillon]])*(Donnees[Longueur du texte]&lt;Donnees[[#This Row],[Longueur du texte]]))+(SUMPRODUCT((Donnees[Échantillon]=Donnees[[#This Row],[Échantillon]])*(Donnees[Longueur du texte]=Donnees[[#This Row],[Longueur du texte]]))+1)/2</f>
        <v>66.5</v>
      </c>
      <c r="AJ28" s="43" t="str">
        <f>IF(Donnees[[#This Row],[Abonnés]]="","",SUMPRODUCT((Donnees[Échantillon]=Donnees[[#This Row],[Échantillon]])*(Donnees[Abonnés]&lt;Donnees[[#This Row],[Abonnés]]))+(SUMPRODUCT((Donnees[Échantillon]=Donnees[[#This Row],[Échantillon]])*(Donnees[Abonnés]=Donnees[[#This Row],[Abonnés]]))+1)/2)</f>
        <v/>
      </c>
      <c r="AK2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29" spans="1:37" x14ac:dyDescent="0.2">
      <c r="A29" s="40" t="s">
        <v>37</v>
      </c>
      <c r="B29" s="40" t="s">
        <v>83</v>
      </c>
      <c r="C29" s="40" t="s">
        <v>39</v>
      </c>
      <c r="D29" s="40">
        <v>14</v>
      </c>
      <c r="E29" s="40" t="s">
        <v>40</v>
      </c>
      <c r="F29" s="40" t="str">
        <f>IF(OR(Donnees[[#This Row],[Jour]]="samedi",Donnees[[#This Row],[Jour]]="dimanche"),"Oui","Non")</f>
        <v>Non</v>
      </c>
      <c r="G29" s="40">
        <v>10</v>
      </c>
      <c r="H29" s="40" t="str">
        <f>IF(Donnees[[#This Row],[Heure UTC]]&lt;6,"0-5 h",IF(Donnees[[#This Row],[Heure UTC]]&lt;12,"6-11 h",IF(Donnees[[#This Row],[Heure UTC]]&lt;18,"12-17 h","18-23 h")))</f>
        <v>6-11 h</v>
      </c>
      <c r="I29" s="40">
        <v>20</v>
      </c>
      <c r="J29" s="40" t="str">
        <f>IF(Donnees[[#This Row],[Durée (s)]]&lt;=10,"1. ≤ 10 s",IF(Donnees[[#This Row],[Durée (s)]]&lt;=15,"2. 11-15 s",IF(Donnees[[#This Row],[Durée (s)]]&lt;=30,"3. 16-30 s",IF(Donnees[[#This Row],[Durée (s)]]&lt;=60,"4. 31-60 s","5. &gt; 60 s"))))</f>
        <v>3. 16-30 s</v>
      </c>
      <c r="K29" s="40" t="str">
        <f>IF(Donnees[[#This Row],[Durée (s)]]&gt;15,"Oui","Non")</f>
        <v>Oui</v>
      </c>
      <c r="L29" s="40">
        <v>0</v>
      </c>
      <c r="M29" s="40" t="s">
        <v>41</v>
      </c>
      <c r="N29" s="40">
        <v>38</v>
      </c>
      <c r="O29" s="40" t="s">
        <v>41</v>
      </c>
      <c r="P29" s="40" t="s">
        <v>41</v>
      </c>
      <c r="Q29" s="40" t="s">
        <v>41</v>
      </c>
      <c r="R29" s="40"/>
      <c r="S29" s="40"/>
      <c r="T29" s="41"/>
      <c r="U29" s="40" t="str">
        <f>IF(Donnees[[#This Row],[Abonnés]]="","",IF(Donnees[[#This Row],[Abonnés]]&lt;1000000,"1. &lt; 1 M",IF(Donnees[[#This Row],[Abonnés]]&lt;3000000,"2. 1-3 M",IF(Donnees[[#This Row],[Abonnés]]&lt;8000000,"3. 3-8 M","4. ≥ 8 M"))))</f>
        <v/>
      </c>
      <c r="V29" s="41"/>
      <c r="W29" s="41">
        <v>25200000</v>
      </c>
      <c r="X29" s="41">
        <v>6200000</v>
      </c>
      <c r="Y29" s="41">
        <v>172900</v>
      </c>
      <c r="Z29" s="41">
        <v>70200</v>
      </c>
      <c r="AA29" s="42">
        <f>(Donnees[[#This Row],[Likes]]+Donnees[[#This Row],[Commentaires]]+Donnees[[#This Row],[Partages]])/Donnees[[#This Row],[Vues]]</f>
        <v>0.25567857142857142</v>
      </c>
      <c r="AB29" s="40">
        <f>IF(Donnees[[#This Row],[Engagement]]&gt;=VLOOKUP(Donnees[[#This Row],[Échantillon]],'Méthode &amp; limites'!$B$9:$D$11,2,FALSE),1,0)</f>
        <v>1</v>
      </c>
      <c r="AC29" s="43" t="str">
        <f>IF(Donnees[[#This Row],[Abonnés]]="","",Donnees[[#This Row],[Vues]]/Donnees[[#This Row],[Abonnés]])</f>
        <v/>
      </c>
      <c r="AD29" s="40" t="s">
        <v>44</v>
      </c>
      <c r="AE29" s="43">
        <f>SUMPRODUCT((Donnees[Échantillon]=Donnees[[#This Row],[Échantillon]])*(Donnees[Engagement]&lt;Donnees[[#This Row],[Engagement]]))+(SUMPRODUCT((Donnees[Échantillon]=Donnees[[#This Row],[Échantillon]])*(Donnees[Engagement]=Donnees[[#This Row],[Engagement]]))+1)/2</f>
        <v>98</v>
      </c>
      <c r="AF29" s="43">
        <f>SUMPRODUCT((Donnees[Échantillon]=Donnees[[#This Row],[Échantillon]])*(Donnees[Vues]&lt;Donnees[[#This Row],[Vues]]))+(SUMPRODUCT((Donnees[Échantillon]=Donnees[[#This Row],[Échantillon]])*(Donnees[Vues]=Donnees[[#This Row],[Vues]]))+1)/2</f>
        <v>72.5</v>
      </c>
      <c r="AG29" s="43">
        <f>SUMPRODUCT((Donnees[Échantillon]=Donnees[[#This Row],[Échantillon]])*(Donnees[Durée (s)]&lt;Donnees[[#This Row],[Durée (s)]]))+(SUMPRODUCT((Donnees[Échantillon]=Donnees[[#This Row],[Échantillon]])*(Donnees[Durée (s)]=Donnees[[#This Row],[Durée (s)]]))+1)/2</f>
        <v>86.5</v>
      </c>
      <c r="AH29" s="43">
        <f>SUMPRODUCT((Donnees[Échantillon]=Donnees[[#This Row],[Échantillon]])*(Donnees[Nb hashtags]&lt;Donnees[[#This Row],[Nb hashtags]]))+(SUMPRODUCT((Donnees[Échantillon]=Donnees[[#This Row],[Échantillon]])*(Donnees[Nb hashtags]=Donnees[[#This Row],[Nb hashtags]]))+1)/2</f>
        <v>19</v>
      </c>
      <c r="AI29" s="43">
        <f>SUMPRODUCT((Donnees[Échantillon]=Donnees[[#This Row],[Échantillon]])*(Donnees[Longueur du texte]&lt;Donnees[[#This Row],[Longueur du texte]]))+(SUMPRODUCT((Donnees[Échantillon]=Donnees[[#This Row],[Échantillon]])*(Donnees[Longueur du texte]=Donnees[[#This Row],[Longueur du texte]]))+1)/2</f>
        <v>81.5</v>
      </c>
      <c r="AJ29" s="43" t="str">
        <f>IF(Donnees[[#This Row],[Abonnés]]="","",SUMPRODUCT((Donnees[Échantillon]=Donnees[[#This Row],[Échantillon]])*(Donnees[Abonnés]&lt;Donnees[[#This Row],[Abonnés]]))+(SUMPRODUCT((Donnees[Échantillon]=Donnees[[#This Row],[Échantillon]])*(Donnees[Abonnés]=Donnees[[#This Row],[Abonnés]]))+1)/2)</f>
        <v/>
      </c>
      <c r="AK2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30" spans="1:37" x14ac:dyDescent="0.2">
      <c r="A30" s="40" t="s">
        <v>37</v>
      </c>
      <c r="B30" s="40" t="s">
        <v>85</v>
      </c>
      <c r="C30" s="40" t="s">
        <v>62</v>
      </c>
      <c r="D30" s="40">
        <v>61</v>
      </c>
      <c r="E30" s="40" t="s">
        <v>47</v>
      </c>
      <c r="F30" s="40" t="str">
        <f>IF(OR(Donnees[[#This Row],[Jour]]="samedi",Donnees[[#This Row],[Jour]]="dimanche"),"Oui","Non")</f>
        <v>Non</v>
      </c>
      <c r="G30" s="40">
        <v>0</v>
      </c>
      <c r="H30" s="40" t="str">
        <f>IF(Donnees[[#This Row],[Heure UTC]]&lt;6,"0-5 h",IF(Donnees[[#This Row],[Heure UTC]]&lt;12,"6-11 h",IF(Donnees[[#This Row],[Heure UTC]]&lt;18,"12-17 h","18-23 h")))</f>
        <v>0-5 h</v>
      </c>
      <c r="I30" s="40">
        <v>9</v>
      </c>
      <c r="J30" s="40" t="str">
        <f>IF(Donnees[[#This Row],[Durée (s)]]&lt;=10,"1. ≤ 10 s",IF(Donnees[[#This Row],[Durée (s)]]&lt;=15,"2. 11-15 s",IF(Donnees[[#This Row],[Durée (s)]]&lt;=30,"3. 16-30 s",IF(Donnees[[#This Row],[Durée (s)]]&lt;=60,"4. 31-60 s","5. &gt; 60 s"))))</f>
        <v>1. ≤ 10 s</v>
      </c>
      <c r="K30" s="40" t="str">
        <f>IF(Donnees[[#This Row],[Durée (s)]]&gt;15,"Oui","Non")</f>
        <v>Non</v>
      </c>
      <c r="L30" s="40">
        <v>6</v>
      </c>
      <c r="M30" s="40" t="s">
        <v>44</v>
      </c>
      <c r="N30" s="40">
        <v>38</v>
      </c>
      <c r="O30" s="40" t="s">
        <v>41</v>
      </c>
      <c r="P30" s="40" t="s">
        <v>44</v>
      </c>
      <c r="Q30" s="40" t="s">
        <v>41</v>
      </c>
      <c r="R30" s="40"/>
      <c r="S30" s="40"/>
      <c r="T30" s="41"/>
      <c r="U30" s="40" t="str">
        <f>IF(Donnees[[#This Row],[Abonnés]]="","",IF(Donnees[[#This Row],[Abonnés]]&lt;1000000,"1. &lt; 1 M",IF(Donnees[[#This Row],[Abonnés]]&lt;3000000,"2. 1-3 M",IF(Donnees[[#This Row],[Abonnés]]&lt;8000000,"3. 3-8 M","4. ≥ 8 M"))))</f>
        <v/>
      </c>
      <c r="V30" s="41"/>
      <c r="W30" s="41">
        <v>25200000</v>
      </c>
      <c r="X30" s="41">
        <v>1600000</v>
      </c>
      <c r="Y30" s="41">
        <v>11400</v>
      </c>
      <c r="Z30" s="41">
        <v>18300</v>
      </c>
      <c r="AA30" s="42">
        <f>(Donnees[[#This Row],[Likes]]+Donnees[[#This Row],[Commentaires]]+Donnees[[#This Row],[Partages]])/Donnees[[#This Row],[Vues]]</f>
        <v>6.467063492063492E-2</v>
      </c>
      <c r="AB30" s="40">
        <f>IF(Donnees[[#This Row],[Engagement]]&gt;=VLOOKUP(Donnees[[#This Row],[Échantillon]],'Méthode &amp; limites'!$B$9:$D$11,2,FALSE),1,0)</f>
        <v>0</v>
      </c>
      <c r="AC30" s="43" t="str">
        <f>IF(Donnees[[#This Row],[Abonnés]]="","",Donnees[[#This Row],[Vues]]/Donnees[[#This Row],[Abonnés]])</f>
        <v/>
      </c>
      <c r="AD30" s="40" t="s">
        <v>44</v>
      </c>
      <c r="AE30" s="43">
        <f>SUMPRODUCT((Donnees[Échantillon]=Donnees[[#This Row],[Échantillon]])*(Donnees[Engagement]&lt;Donnees[[#This Row],[Engagement]]))+(SUMPRODUCT((Donnees[Échantillon]=Donnees[[#This Row],[Échantillon]])*(Donnees[Engagement]=Donnees[[#This Row],[Engagement]]))+1)/2</f>
        <v>18</v>
      </c>
      <c r="AF30" s="43">
        <f>SUMPRODUCT((Donnees[Échantillon]=Donnees[[#This Row],[Échantillon]])*(Donnees[Vues]&lt;Donnees[[#This Row],[Vues]]))+(SUMPRODUCT((Donnees[Échantillon]=Donnees[[#This Row],[Échantillon]])*(Donnees[Vues]=Donnees[[#This Row],[Vues]]))+1)/2</f>
        <v>72.5</v>
      </c>
      <c r="AG30" s="43">
        <f>SUMPRODUCT((Donnees[Échantillon]=Donnees[[#This Row],[Échantillon]])*(Donnees[Durée (s)]&lt;Donnees[[#This Row],[Durée (s)]]))+(SUMPRODUCT((Donnees[Échantillon]=Donnees[[#This Row],[Échantillon]])*(Donnees[Durée (s)]=Donnees[[#This Row],[Durée (s)]]))+1)/2</f>
        <v>28</v>
      </c>
      <c r="AH30" s="43">
        <f>SUMPRODUCT((Donnees[Échantillon]=Donnees[[#This Row],[Échantillon]])*(Donnees[Nb hashtags]&lt;Donnees[[#This Row],[Nb hashtags]]))+(SUMPRODUCT((Donnees[Échantillon]=Donnees[[#This Row],[Échantillon]])*(Donnees[Nb hashtags]=Donnees[[#This Row],[Nb hashtags]]))+1)/2</f>
        <v>75.5</v>
      </c>
      <c r="AI30" s="43">
        <f>SUMPRODUCT((Donnees[Échantillon]=Donnees[[#This Row],[Échantillon]])*(Donnees[Longueur du texte]&lt;Donnees[[#This Row],[Longueur du texte]]))+(SUMPRODUCT((Donnees[Échantillon]=Donnees[[#This Row],[Échantillon]])*(Donnees[Longueur du texte]=Donnees[[#This Row],[Longueur du texte]]))+1)/2</f>
        <v>81.5</v>
      </c>
      <c r="AJ30" s="43" t="str">
        <f>IF(Donnees[[#This Row],[Abonnés]]="","",SUMPRODUCT((Donnees[Échantillon]=Donnees[[#This Row],[Échantillon]])*(Donnees[Abonnés]&lt;Donnees[[#This Row],[Abonnés]]))+(SUMPRODUCT((Donnees[Échantillon]=Donnees[[#This Row],[Échantillon]])*(Donnees[Abonnés]=Donnees[[#This Row],[Abonnés]]))+1)/2)</f>
        <v/>
      </c>
      <c r="AK3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31" spans="1:37" x14ac:dyDescent="0.2">
      <c r="A31" s="40" t="s">
        <v>37</v>
      </c>
      <c r="B31" s="40" t="s">
        <v>86</v>
      </c>
      <c r="C31" s="40" t="s">
        <v>62</v>
      </c>
      <c r="D31" s="40">
        <v>82</v>
      </c>
      <c r="E31" s="40" t="s">
        <v>47</v>
      </c>
      <c r="F31" s="40" t="str">
        <f>IF(OR(Donnees[[#This Row],[Jour]]="samedi",Donnees[[#This Row],[Jour]]="dimanche"),"Oui","Non")</f>
        <v>Non</v>
      </c>
      <c r="G31" s="40">
        <v>23</v>
      </c>
      <c r="H31" s="40" t="str">
        <f>IF(Donnees[[#This Row],[Heure UTC]]&lt;6,"0-5 h",IF(Donnees[[#This Row],[Heure UTC]]&lt;12,"6-11 h",IF(Donnees[[#This Row],[Heure UTC]]&lt;18,"12-17 h","18-23 h")))</f>
        <v>18-23 h</v>
      </c>
      <c r="I31" s="40">
        <v>21</v>
      </c>
      <c r="J31" s="40" t="str">
        <f>IF(Donnees[[#This Row],[Durée (s)]]&lt;=10,"1. ≤ 10 s",IF(Donnees[[#This Row],[Durée (s)]]&lt;=15,"2. 11-15 s",IF(Donnees[[#This Row],[Durée (s)]]&lt;=30,"3. 16-30 s",IF(Donnees[[#This Row],[Durée (s)]]&lt;=60,"4. 31-60 s","5. &gt; 60 s"))))</f>
        <v>3. 16-30 s</v>
      </c>
      <c r="K31" s="40" t="str">
        <f>IF(Donnees[[#This Row],[Durée (s)]]&gt;15,"Oui","Non")</f>
        <v>Oui</v>
      </c>
      <c r="L31" s="40">
        <v>9</v>
      </c>
      <c r="M31" s="40" t="s">
        <v>44</v>
      </c>
      <c r="N31" s="40">
        <v>59</v>
      </c>
      <c r="O31" s="40" t="s">
        <v>41</v>
      </c>
      <c r="P31" s="40" t="s">
        <v>44</v>
      </c>
      <c r="Q31" s="40" t="s">
        <v>44</v>
      </c>
      <c r="R31" s="40"/>
      <c r="S31" s="40"/>
      <c r="T31" s="41"/>
      <c r="U31" s="40" t="str">
        <f>IF(Donnees[[#This Row],[Abonnés]]="","",IF(Donnees[[#This Row],[Abonnés]]&lt;1000000,"1. &lt; 1 M",IF(Donnees[[#This Row],[Abonnés]]&lt;3000000,"2. 1-3 M",IF(Donnees[[#This Row],[Abonnés]]&lt;8000000,"3. 3-8 M","4. ≥ 8 M"))))</f>
        <v/>
      </c>
      <c r="V31" s="41"/>
      <c r="W31" s="41">
        <v>25000000</v>
      </c>
      <c r="X31" s="41">
        <v>3600000</v>
      </c>
      <c r="Y31" s="41">
        <v>96600</v>
      </c>
      <c r="Z31" s="41">
        <v>457800</v>
      </c>
      <c r="AA31" s="42">
        <f>(Donnees[[#This Row],[Likes]]+Donnees[[#This Row],[Commentaires]]+Donnees[[#This Row],[Partages]])/Donnees[[#This Row],[Vues]]</f>
        <v>0.16617599999999999</v>
      </c>
      <c r="AB31" s="40">
        <f>IF(Donnees[[#This Row],[Engagement]]&gt;=VLOOKUP(Donnees[[#This Row],[Échantillon]],'Méthode &amp; limites'!$B$9:$D$11,2,FALSE),1,0)</f>
        <v>1</v>
      </c>
      <c r="AC31" s="43" t="str">
        <f>IF(Donnees[[#This Row],[Abonnés]]="","",Donnees[[#This Row],[Vues]]/Donnees[[#This Row],[Abonnés]])</f>
        <v/>
      </c>
      <c r="AD31" s="40" t="s">
        <v>44</v>
      </c>
      <c r="AE31" s="43">
        <f>SUMPRODUCT((Donnees[Échantillon]=Donnees[[#This Row],[Échantillon]])*(Donnees[Engagement]&lt;Donnees[[#This Row],[Engagement]]))+(SUMPRODUCT((Donnees[Échantillon]=Donnees[[#This Row],[Échantillon]])*(Donnees[Engagement]=Donnees[[#This Row],[Engagement]]))+1)/2</f>
        <v>81</v>
      </c>
      <c r="AF31" s="43">
        <f>SUMPRODUCT((Donnees[Échantillon]=Donnees[[#This Row],[Échantillon]])*(Donnees[Vues]&lt;Donnees[[#This Row],[Vues]]))+(SUMPRODUCT((Donnees[Échantillon]=Donnees[[#This Row],[Échantillon]])*(Donnees[Vues]=Donnees[[#This Row],[Vues]]))+1)/2</f>
        <v>71</v>
      </c>
      <c r="AG31" s="43">
        <f>SUMPRODUCT((Donnees[Échantillon]=Donnees[[#This Row],[Échantillon]])*(Donnees[Durée (s)]&lt;Donnees[[#This Row],[Durée (s)]]))+(SUMPRODUCT((Donnees[Échantillon]=Donnees[[#This Row],[Échantillon]])*(Donnees[Durée (s)]=Donnees[[#This Row],[Durée (s)]]))+1)/2</f>
        <v>88</v>
      </c>
      <c r="AH31" s="43">
        <f>SUMPRODUCT((Donnees[Échantillon]=Donnees[[#This Row],[Échantillon]])*(Donnees[Nb hashtags]&lt;Donnees[[#This Row],[Nb hashtags]]))+(SUMPRODUCT((Donnees[Échantillon]=Donnees[[#This Row],[Échantillon]])*(Donnees[Nb hashtags]=Donnees[[#This Row],[Nb hashtags]]))+1)/2</f>
        <v>90.5</v>
      </c>
      <c r="AI31" s="43">
        <f>SUMPRODUCT((Donnees[Échantillon]=Donnees[[#This Row],[Échantillon]])*(Donnees[Longueur du texte]&lt;Donnees[[#This Row],[Longueur du texte]]))+(SUMPRODUCT((Donnees[Échantillon]=Donnees[[#This Row],[Échantillon]])*(Donnees[Longueur du texte]=Donnees[[#This Row],[Longueur du texte]]))+1)/2</f>
        <v>94.5</v>
      </c>
      <c r="AJ31" s="43" t="str">
        <f>IF(Donnees[[#This Row],[Abonnés]]="","",SUMPRODUCT((Donnees[Échantillon]=Donnees[[#This Row],[Échantillon]])*(Donnees[Abonnés]&lt;Donnees[[#This Row],[Abonnés]]))+(SUMPRODUCT((Donnees[Échantillon]=Donnees[[#This Row],[Échantillon]])*(Donnees[Abonnés]=Donnees[[#This Row],[Abonnés]]))+1)/2)</f>
        <v/>
      </c>
      <c r="AK3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32" spans="1:37" x14ac:dyDescent="0.2">
      <c r="A32" s="40" t="s">
        <v>37</v>
      </c>
      <c r="B32" s="40" t="s">
        <v>87</v>
      </c>
      <c r="C32" s="40" t="s">
        <v>46</v>
      </c>
      <c r="D32" s="40">
        <v>60</v>
      </c>
      <c r="E32" s="40" t="s">
        <v>68</v>
      </c>
      <c r="F32" s="40" t="str">
        <f>IF(OR(Donnees[[#This Row],[Jour]]="samedi",Donnees[[#This Row],[Jour]]="dimanche"),"Oui","Non")</f>
        <v>Non</v>
      </c>
      <c r="G32" s="40">
        <v>1</v>
      </c>
      <c r="H32" s="40" t="str">
        <f>IF(Donnees[[#This Row],[Heure UTC]]&lt;6,"0-5 h",IF(Donnees[[#This Row],[Heure UTC]]&lt;12,"6-11 h",IF(Donnees[[#This Row],[Heure UTC]]&lt;18,"12-17 h","18-23 h")))</f>
        <v>0-5 h</v>
      </c>
      <c r="I32" s="40">
        <v>14</v>
      </c>
      <c r="J32" s="40" t="str">
        <f>IF(Donnees[[#This Row],[Durée (s)]]&lt;=10,"1. ≤ 10 s",IF(Donnees[[#This Row],[Durée (s)]]&lt;=15,"2. 11-15 s",IF(Donnees[[#This Row],[Durée (s)]]&lt;=30,"3. 16-30 s",IF(Donnees[[#This Row],[Durée (s)]]&lt;=60,"4. 31-60 s","5. &gt; 60 s"))))</f>
        <v>2. 11-15 s</v>
      </c>
      <c r="K32" s="40" t="str">
        <f>IF(Donnees[[#This Row],[Durée (s)]]&gt;15,"Oui","Non")</f>
        <v>Non</v>
      </c>
      <c r="L32" s="40">
        <v>0</v>
      </c>
      <c r="M32" s="40" t="s">
        <v>41</v>
      </c>
      <c r="N32" s="40">
        <v>30</v>
      </c>
      <c r="O32" s="40" t="s">
        <v>41</v>
      </c>
      <c r="P32" s="40" t="s">
        <v>41</v>
      </c>
      <c r="Q32" s="40" t="s">
        <v>41</v>
      </c>
      <c r="R32" s="40"/>
      <c r="S32" s="40"/>
      <c r="T32" s="41"/>
      <c r="U32" s="40" t="str">
        <f>IF(Donnees[[#This Row],[Abonnés]]="","",IF(Donnees[[#This Row],[Abonnés]]&lt;1000000,"1. &lt; 1 M",IF(Donnees[[#This Row],[Abonnés]]&lt;3000000,"2. 1-3 M",IF(Donnees[[#This Row],[Abonnés]]&lt;8000000,"3. 3-8 M","4. ≥ 8 M"))))</f>
        <v/>
      </c>
      <c r="V32" s="41"/>
      <c r="W32" s="41">
        <v>24900000</v>
      </c>
      <c r="X32" s="41">
        <v>4000000</v>
      </c>
      <c r="Y32" s="41">
        <v>18200</v>
      </c>
      <c r="Z32" s="41">
        <v>12300</v>
      </c>
      <c r="AA32" s="42">
        <f>(Donnees[[#This Row],[Likes]]+Donnees[[#This Row],[Commentaires]]+Donnees[[#This Row],[Partages]])/Donnees[[#This Row],[Vues]]</f>
        <v>0.16186746987951808</v>
      </c>
      <c r="AB32" s="40">
        <f>IF(Donnees[[#This Row],[Engagement]]&gt;=VLOOKUP(Donnees[[#This Row],[Échantillon]],'Méthode &amp; limites'!$B$9:$D$11,2,FALSE),1,0)</f>
        <v>1</v>
      </c>
      <c r="AC32" s="43" t="str">
        <f>IF(Donnees[[#This Row],[Abonnés]]="","",Donnees[[#This Row],[Vues]]/Donnees[[#This Row],[Abonnés]])</f>
        <v/>
      </c>
      <c r="AD32" s="40" t="s">
        <v>44</v>
      </c>
      <c r="AE32" s="43">
        <f>SUMPRODUCT((Donnees[Échantillon]=Donnees[[#This Row],[Échantillon]])*(Donnees[Engagement]&lt;Donnees[[#This Row],[Engagement]]))+(SUMPRODUCT((Donnees[Échantillon]=Donnees[[#This Row],[Échantillon]])*(Donnees[Engagement]=Donnees[[#This Row],[Engagement]]))+1)/2</f>
        <v>78</v>
      </c>
      <c r="AF32" s="43">
        <f>SUMPRODUCT((Donnees[Échantillon]=Donnees[[#This Row],[Échantillon]])*(Donnees[Vues]&lt;Donnees[[#This Row],[Vues]]))+(SUMPRODUCT((Donnees[Échantillon]=Donnees[[#This Row],[Échantillon]])*(Donnees[Vues]=Donnees[[#This Row],[Vues]]))+1)/2</f>
        <v>70</v>
      </c>
      <c r="AG32" s="43">
        <f>SUMPRODUCT((Donnees[Échantillon]=Donnees[[#This Row],[Échantillon]])*(Donnees[Durée (s)]&lt;Donnees[[#This Row],[Durée (s)]]))+(SUMPRODUCT((Donnees[Échantillon]=Donnees[[#This Row],[Échantillon]])*(Donnees[Durée (s)]=Donnees[[#This Row],[Durée (s)]]))+1)/2</f>
        <v>70.5</v>
      </c>
      <c r="AH32" s="43">
        <f>SUMPRODUCT((Donnees[Échantillon]=Donnees[[#This Row],[Échantillon]])*(Donnees[Nb hashtags]&lt;Donnees[[#This Row],[Nb hashtags]]))+(SUMPRODUCT((Donnees[Échantillon]=Donnees[[#This Row],[Échantillon]])*(Donnees[Nb hashtags]=Donnees[[#This Row],[Nb hashtags]]))+1)/2</f>
        <v>19</v>
      </c>
      <c r="AI32" s="43">
        <f>SUMPRODUCT((Donnees[Échantillon]=Donnees[[#This Row],[Échantillon]])*(Donnees[Longueur du texte]&lt;Donnees[[#This Row],[Longueur du texte]]))+(SUMPRODUCT((Donnees[Échantillon]=Donnees[[#This Row],[Échantillon]])*(Donnees[Longueur du texte]=Donnees[[#This Row],[Longueur du texte]]))+1)/2</f>
        <v>72</v>
      </c>
      <c r="AJ32" s="43" t="str">
        <f>IF(Donnees[[#This Row],[Abonnés]]="","",SUMPRODUCT((Donnees[Échantillon]=Donnees[[#This Row],[Échantillon]])*(Donnees[Abonnés]&lt;Donnees[[#This Row],[Abonnés]]))+(SUMPRODUCT((Donnees[Échantillon]=Donnees[[#This Row],[Échantillon]])*(Donnees[Abonnés]=Donnees[[#This Row],[Abonnés]]))+1)/2)</f>
        <v/>
      </c>
      <c r="AK3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33" spans="1:37" x14ac:dyDescent="0.2">
      <c r="A33" s="40" t="s">
        <v>37</v>
      </c>
      <c r="B33" s="40" t="s">
        <v>83</v>
      </c>
      <c r="C33" s="40" t="s">
        <v>39</v>
      </c>
      <c r="D33" s="40">
        <v>6</v>
      </c>
      <c r="E33" s="40" t="s">
        <v>59</v>
      </c>
      <c r="F33" s="40" t="str">
        <f>IF(OR(Donnees[[#This Row],[Jour]]="samedi",Donnees[[#This Row],[Jour]]="dimanche"),"Oui","Non")</f>
        <v>Non</v>
      </c>
      <c r="G33" s="40">
        <v>8</v>
      </c>
      <c r="H33" s="40" t="str">
        <f>IF(Donnees[[#This Row],[Heure UTC]]&lt;6,"0-5 h",IF(Donnees[[#This Row],[Heure UTC]]&lt;12,"6-11 h",IF(Donnees[[#This Row],[Heure UTC]]&lt;18,"12-17 h","18-23 h")))</f>
        <v>6-11 h</v>
      </c>
      <c r="I33" s="40">
        <v>12</v>
      </c>
      <c r="J33" s="40" t="str">
        <f>IF(Donnees[[#This Row],[Durée (s)]]&lt;=10,"1. ≤ 10 s",IF(Donnees[[#This Row],[Durée (s)]]&lt;=15,"2. 11-15 s",IF(Donnees[[#This Row],[Durée (s)]]&lt;=30,"3. 16-30 s",IF(Donnees[[#This Row],[Durée (s)]]&lt;=60,"4. 31-60 s","5. &gt; 60 s"))))</f>
        <v>2. 11-15 s</v>
      </c>
      <c r="K33" s="40" t="str">
        <f>IF(Donnees[[#This Row],[Durée (s)]]&gt;15,"Oui","Non")</f>
        <v>Non</v>
      </c>
      <c r="L33" s="40">
        <v>0</v>
      </c>
      <c r="M33" s="40" t="s">
        <v>41</v>
      </c>
      <c r="N33" s="40">
        <v>39</v>
      </c>
      <c r="O33" s="40" t="s">
        <v>41</v>
      </c>
      <c r="P33" s="40" t="s">
        <v>41</v>
      </c>
      <c r="Q33" s="40" t="s">
        <v>41</v>
      </c>
      <c r="R33" s="40"/>
      <c r="S33" s="40"/>
      <c r="T33" s="41"/>
      <c r="U33" s="40" t="str">
        <f>IF(Donnees[[#This Row],[Abonnés]]="","",IF(Donnees[[#This Row],[Abonnés]]&lt;1000000,"1. &lt; 1 M",IF(Donnees[[#This Row],[Abonnés]]&lt;3000000,"2. 1-3 M",IF(Donnees[[#This Row],[Abonnés]]&lt;8000000,"3. 3-8 M","4. ≥ 8 M"))))</f>
        <v/>
      </c>
      <c r="V33" s="41"/>
      <c r="W33" s="41">
        <v>22000000</v>
      </c>
      <c r="X33" s="41">
        <v>5200000</v>
      </c>
      <c r="Y33" s="41">
        <v>87200</v>
      </c>
      <c r="Z33" s="41">
        <v>37100</v>
      </c>
      <c r="AA33" s="42">
        <f>(Donnees[[#This Row],[Likes]]+Donnees[[#This Row],[Commentaires]]+Donnees[[#This Row],[Partages]])/Donnees[[#This Row],[Vues]]</f>
        <v>0.24201363636363638</v>
      </c>
      <c r="AB33" s="40">
        <f>IF(Donnees[[#This Row],[Engagement]]&gt;=VLOOKUP(Donnees[[#This Row],[Échantillon]],'Méthode &amp; limites'!$B$9:$D$11,2,FALSE),1,0)</f>
        <v>1</v>
      </c>
      <c r="AC33" s="43" t="str">
        <f>IF(Donnees[[#This Row],[Abonnés]]="","",Donnees[[#This Row],[Vues]]/Donnees[[#This Row],[Abonnés]])</f>
        <v/>
      </c>
      <c r="AD33" s="40" t="s">
        <v>44</v>
      </c>
      <c r="AE33" s="43">
        <f>SUMPRODUCT((Donnees[Échantillon]=Donnees[[#This Row],[Échantillon]])*(Donnees[Engagement]&lt;Donnees[[#This Row],[Engagement]]))+(SUMPRODUCT((Donnees[Échantillon]=Donnees[[#This Row],[Échantillon]])*(Donnees[Engagement]=Donnees[[#This Row],[Engagement]]))+1)/2</f>
        <v>96</v>
      </c>
      <c r="AF33" s="43">
        <f>SUMPRODUCT((Donnees[Échantillon]=Donnees[[#This Row],[Échantillon]])*(Donnees[Vues]&lt;Donnees[[#This Row],[Vues]]))+(SUMPRODUCT((Donnees[Échantillon]=Donnees[[#This Row],[Échantillon]])*(Donnees[Vues]=Donnees[[#This Row],[Vues]]))+1)/2</f>
        <v>69</v>
      </c>
      <c r="AG33" s="43">
        <f>SUMPRODUCT((Donnees[Échantillon]=Donnees[[#This Row],[Échantillon]])*(Donnees[Durée (s)]&lt;Donnees[[#This Row],[Durée (s)]]))+(SUMPRODUCT((Donnees[Échantillon]=Donnees[[#This Row],[Échantillon]])*(Donnees[Durée (s)]=Donnees[[#This Row],[Durée (s)]]))+1)/2</f>
        <v>56</v>
      </c>
      <c r="AH33" s="43">
        <f>SUMPRODUCT((Donnees[Échantillon]=Donnees[[#This Row],[Échantillon]])*(Donnees[Nb hashtags]&lt;Donnees[[#This Row],[Nb hashtags]]))+(SUMPRODUCT((Donnees[Échantillon]=Donnees[[#This Row],[Échantillon]])*(Donnees[Nb hashtags]=Donnees[[#This Row],[Nb hashtags]]))+1)/2</f>
        <v>19</v>
      </c>
      <c r="AI33" s="43">
        <f>SUMPRODUCT((Donnees[Échantillon]=Donnees[[#This Row],[Échantillon]])*(Donnees[Longueur du texte]&lt;Donnees[[#This Row],[Longueur du texte]]))+(SUMPRODUCT((Donnees[Échantillon]=Donnees[[#This Row],[Échantillon]])*(Donnees[Longueur du texte]=Donnees[[#This Row],[Longueur du texte]]))+1)/2</f>
        <v>84</v>
      </c>
      <c r="AJ33" s="43" t="str">
        <f>IF(Donnees[[#This Row],[Abonnés]]="","",SUMPRODUCT((Donnees[Échantillon]=Donnees[[#This Row],[Échantillon]])*(Donnees[Abonnés]&lt;Donnees[[#This Row],[Abonnés]]))+(SUMPRODUCT((Donnees[Échantillon]=Donnees[[#This Row],[Échantillon]])*(Donnees[Abonnés]=Donnees[[#This Row],[Abonnés]]))+1)/2)</f>
        <v/>
      </c>
      <c r="AK3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34" spans="1:37" x14ac:dyDescent="0.2">
      <c r="A34" s="40" t="s">
        <v>37</v>
      </c>
      <c r="B34" s="40" t="s">
        <v>88</v>
      </c>
      <c r="C34" s="40" t="s">
        <v>39</v>
      </c>
      <c r="D34" s="40">
        <v>8</v>
      </c>
      <c r="E34" s="40" t="s">
        <v>71</v>
      </c>
      <c r="F34" s="40" t="str">
        <f>IF(OR(Donnees[[#This Row],[Jour]]="samedi",Donnees[[#This Row],[Jour]]="dimanche"),"Oui","Non")</f>
        <v>Non</v>
      </c>
      <c r="G34" s="40">
        <v>0</v>
      </c>
      <c r="H34" s="40" t="str">
        <f>IF(Donnees[[#This Row],[Heure UTC]]&lt;6,"0-5 h",IF(Donnees[[#This Row],[Heure UTC]]&lt;12,"6-11 h",IF(Donnees[[#This Row],[Heure UTC]]&lt;18,"12-17 h","18-23 h")))</f>
        <v>0-5 h</v>
      </c>
      <c r="I34" s="40">
        <v>13</v>
      </c>
      <c r="J34" s="40" t="str">
        <f>IF(Donnees[[#This Row],[Durée (s)]]&lt;=10,"1. ≤ 10 s",IF(Donnees[[#This Row],[Durée (s)]]&lt;=15,"2. 11-15 s",IF(Donnees[[#This Row],[Durée (s)]]&lt;=30,"3. 16-30 s",IF(Donnees[[#This Row],[Durée (s)]]&lt;=60,"4. 31-60 s","5. &gt; 60 s"))))</f>
        <v>2. 11-15 s</v>
      </c>
      <c r="K34" s="40" t="str">
        <f>IF(Donnees[[#This Row],[Durée (s)]]&gt;15,"Oui","Non")</f>
        <v>Non</v>
      </c>
      <c r="L34" s="40">
        <v>0</v>
      </c>
      <c r="M34" s="40" t="s">
        <v>41</v>
      </c>
      <c r="N34" s="40">
        <v>0</v>
      </c>
      <c r="O34" s="40" t="s">
        <v>44</v>
      </c>
      <c r="P34" s="40" t="s">
        <v>41</v>
      </c>
      <c r="Q34" s="40" t="s">
        <v>41</v>
      </c>
      <c r="R34" s="40"/>
      <c r="S34" s="40"/>
      <c r="T34" s="41"/>
      <c r="U34" s="40" t="str">
        <f>IF(Donnees[[#This Row],[Abonnés]]="","",IF(Donnees[[#This Row],[Abonnés]]&lt;1000000,"1. &lt; 1 M",IF(Donnees[[#This Row],[Abonnés]]&lt;3000000,"2. 1-3 M",IF(Donnees[[#This Row],[Abonnés]]&lt;8000000,"3. 3-8 M","4. ≥ 8 M"))))</f>
        <v/>
      </c>
      <c r="V34" s="41"/>
      <c r="W34" s="41">
        <v>19800000</v>
      </c>
      <c r="X34" s="41">
        <v>1600000</v>
      </c>
      <c r="Y34" s="41">
        <v>12400</v>
      </c>
      <c r="Z34" s="41">
        <v>44200</v>
      </c>
      <c r="AA34" s="42">
        <f>(Donnees[[#This Row],[Likes]]+Donnees[[#This Row],[Commentaires]]+Donnees[[#This Row],[Partages]])/Donnees[[#This Row],[Vues]]</f>
        <v>8.3666666666666667E-2</v>
      </c>
      <c r="AB34" s="40">
        <f>IF(Donnees[[#This Row],[Engagement]]&gt;=VLOOKUP(Donnees[[#This Row],[Échantillon]],'Méthode &amp; limites'!$B$9:$D$11,2,FALSE),1,0)</f>
        <v>0</v>
      </c>
      <c r="AC34" s="43" t="str">
        <f>IF(Donnees[[#This Row],[Abonnés]]="","",Donnees[[#This Row],[Vues]]/Donnees[[#This Row],[Abonnés]])</f>
        <v/>
      </c>
      <c r="AD34" s="40" t="s">
        <v>44</v>
      </c>
      <c r="AE34" s="43">
        <f>SUMPRODUCT((Donnees[Échantillon]=Donnees[[#This Row],[Échantillon]])*(Donnees[Engagement]&lt;Donnees[[#This Row],[Engagement]]))+(SUMPRODUCT((Donnees[Échantillon]=Donnees[[#This Row],[Échantillon]])*(Donnees[Engagement]=Donnees[[#This Row],[Engagement]]))+1)/2</f>
        <v>37</v>
      </c>
      <c r="AF34" s="43">
        <f>SUMPRODUCT((Donnees[Échantillon]=Donnees[[#This Row],[Échantillon]])*(Donnees[Vues]&lt;Donnees[[#This Row],[Vues]]))+(SUMPRODUCT((Donnees[Échantillon]=Donnees[[#This Row],[Échantillon]])*(Donnees[Vues]=Donnees[[#This Row],[Vues]]))+1)/2</f>
        <v>68</v>
      </c>
      <c r="AG34" s="43">
        <f>SUMPRODUCT((Donnees[Échantillon]=Donnees[[#This Row],[Échantillon]])*(Donnees[Durée (s)]&lt;Donnees[[#This Row],[Durée (s)]]))+(SUMPRODUCT((Donnees[Échantillon]=Donnees[[#This Row],[Échantillon]])*(Donnees[Durée (s)]=Donnees[[#This Row],[Durée (s)]]))+1)/2</f>
        <v>64.5</v>
      </c>
      <c r="AH34" s="43">
        <f>SUMPRODUCT((Donnees[Échantillon]=Donnees[[#This Row],[Échantillon]])*(Donnees[Nb hashtags]&lt;Donnees[[#This Row],[Nb hashtags]]))+(SUMPRODUCT((Donnees[Échantillon]=Donnees[[#This Row],[Échantillon]])*(Donnees[Nb hashtags]=Donnees[[#This Row],[Nb hashtags]]))+1)/2</f>
        <v>19</v>
      </c>
      <c r="AI34" s="43">
        <f>SUMPRODUCT((Donnees[Échantillon]=Donnees[[#This Row],[Échantillon]])*(Donnees[Longueur du texte]&lt;Donnees[[#This Row],[Longueur du texte]]))+(SUMPRODUCT((Donnees[Échantillon]=Donnees[[#This Row],[Échantillon]])*(Donnees[Longueur du texte]=Donnees[[#This Row],[Longueur du texte]]))+1)/2</f>
        <v>16</v>
      </c>
      <c r="AJ34" s="43" t="str">
        <f>IF(Donnees[[#This Row],[Abonnés]]="","",SUMPRODUCT((Donnees[Échantillon]=Donnees[[#This Row],[Échantillon]])*(Donnees[Abonnés]&lt;Donnees[[#This Row],[Abonnés]]))+(SUMPRODUCT((Donnees[Échantillon]=Donnees[[#This Row],[Échantillon]])*(Donnees[Abonnés]=Donnees[[#This Row],[Abonnés]]))+1)/2)</f>
        <v/>
      </c>
      <c r="AK3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35" spans="1:37" x14ac:dyDescent="0.2">
      <c r="A35" s="40" t="s">
        <v>37</v>
      </c>
      <c r="B35" s="40" t="s">
        <v>58</v>
      </c>
      <c r="C35" s="40" t="s">
        <v>46</v>
      </c>
      <c r="D35" s="40">
        <v>11</v>
      </c>
      <c r="E35" s="40" t="s">
        <v>68</v>
      </c>
      <c r="F35" s="40" t="str">
        <f>IF(OR(Donnees[[#This Row],[Jour]]="samedi",Donnees[[#This Row],[Jour]]="dimanche"),"Oui","Non")</f>
        <v>Non</v>
      </c>
      <c r="G35" s="40">
        <v>11</v>
      </c>
      <c r="H35" s="40" t="str">
        <f>IF(Donnees[[#This Row],[Heure UTC]]&lt;6,"0-5 h",IF(Donnees[[#This Row],[Heure UTC]]&lt;12,"6-11 h",IF(Donnees[[#This Row],[Heure UTC]]&lt;18,"12-17 h","18-23 h")))</f>
        <v>6-11 h</v>
      </c>
      <c r="I35" s="40">
        <v>8</v>
      </c>
      <c r="J35" s="40" t="str">
        <f>IF(Donnees[[#This Row],[Durée (s)]]&lt;=10,"1. ≤ 10 s",IF(Donnees[[#This Row],[Durée (s)]]&lt;=15,"2. 11-15 s",IF(Donnees[[#This Row],[Durée (s)]]&lt;=30,"3. 16-30 s",IF(Donnees[[#This Row],[Durée (s)]]&lt;=60,"4. 31-60 s","5. &gt; 60 s"))))</f>
        <v>1. ≤ 10 s</v>
      </c>
      <c r="K35" s="40" t="str">
        <f>IF(Donnees[[#This Row],[Durée (s)]]&gt;15,"Oui","Non")</f>
        <v>Non</v>
      </c>
      <c r="L35" s="40">
        <v>3</v>
      </c>
      <c r="M35" s="40" t="s">
        <v>41</v>
      </c>
      <c r="N35" s="40">
        <v>2</v>
      </c>
      <c r="O35" s="40" t="s">
        <v>41</v>
      </c>
      <c r="P35" s="40" t="s">
        <v>41</v>
      </c>
      <c r="Q35" s="40" t="s">
        <v>41</v>
      </c>
      <c r="R35" s="40"/>
      <c r="S35" s="40"/>
      <c r="T35" s="41"/>
      <c r="U35" s="40" t="str">
        <f>IF(Donnees[[#This Row],[Abonnés]]="","",IF(Donnees[[#This Row],[Abonnés]]&lt;1000000,"1. &lt; 1 M",IF(Donnees[[#This Row],[Abonnés]]&lt;3000000,"2. 1-3 M",IF(Donnees[[#This Row],[Abonnés]]&lt;8000000,"3. 3-8 M","4. ≥ 8 M"))))</f>
        <v/>
      </c>
      <c r="V35" s="41"/>
      <c r="W35" s="41">
        <v>18900000</v>
      </c>
      <c r="X35" s="41">
        <v>2600000</v>
      </c>
      <c r="Y35" s="41">
        <v>10500</v>
      </c>
      <c r="Z35" s="41">
        <v>4745</v>
      </c>
      <c r="AA35" s="42">
        <f>(Donnees[[#This Row],[Likes]]+Donnees[[#This Row],[Commentaires]]+Donnees[[#This Row],[Partages]])/Donnees[[#This Row],[Vues]]</f>
        <v>0.13837275132275131</v>
      </c>
      <c r="AB35" s="40">
        <f>IF(Donnees[[#This Row],[Engagement]]&gt;=VLOOKUP(Donnees[[#This Row],[Échantillon]],'Méthode &amp; limites'!$B$9:$D$11,2,FALSE),1,0)</f>
        <v>0</v>
      </c>
      <c r="AC35" s="43" t="str">
        <f>IF(Donnees[[#This Row],[Abonnés]]="","",Donnees[[#This Row],[Vues]]/Donnees[[#This Row],[Abonnés]])</f>
        <v/>
      </c>
      <c r="AD35" s="40" t="s">
        <v>44</v>
      </c>
      <c r="AE35" s="43">
        <f>SUMPRODUCT((Donnees[Échantillon]=Donnees[[#This Row],[Échantillon]])*(Donnees[Engagement]&lt;Donnees[[#This Row],[Engagement]]))+(SUMPRODUCT((Donnees[Échantillon]=Donnees[[#This Row],[Échantillon]])*(Donnees[Engagement]=Donnees[[#This Row],[Engagement]]))+1)/2</f>
        <v>69</v>
      </c>
      <c r="AF35" s="43">
        <f>SUMPRODUCT((Donnees[Échantillon]=Donnees[[#This Row],[Échantillon]])*(Donnees[Vues]&lt;Donnees[[#This Row],[Vues]]))+(SUMPRODUCT((Donnees[Échantillon]=Donnees[[#This Row],[Échantillon]])*(Donnees[Vues]=Donnees[[#This Row],[Vues]]))+1)/2</f>
        <v>66.5</v>
      </c>
      <c r="AG35" s="43">
        <f>SUMPRODUCT((Donnees[Échantillon]=Donnees[[#This Row],[Échantillon]])*(Donnees[Durée (s)]&lt;Donnees[[#This Row],[Durée (s)]]))+(SUMPRODUCT((Donnees[Échantillon]=Donnees[[#This Row],[Échantillon]])*(Donnees[Durée (s)]=Donnees[[#This Row],[Durée (s)]]))+1)/2</f>
        <v>14</v>
      </c>
      <c r="AH35" s="43">
        <f>SUMPRODUCT((Donnees[Échantillon]=Donnees[[#This Row],[Échantillon]])*(Donnees[Nb hashtags]&lt;Donnees[[#This Row],[Nb hashtags]]))+(SUMPRODUCT((Donnees[Échantillon]=Donnees[[#This Row],[Échantillon]])*(Donnees[Nb hashtags]=Donnees[[#This Row],[Nb hashtags]]))+1)/2</f>
        <v>52</v>
      </c>
      <c r="AI35" s="43">
        <f>SUMPRODUCT((Donnees[Échantillon]=Donnees[[#This Row],[Échantillon]])*(Donnees[Longueur du texte]&lt;Donnees[[#This Row],[Longueur du texte]]))+(SUMPRODUCT((Donnees[Échantillon]=Donnees[[#This Row],[Échantillon]])*(Donnees[Longueur du texte]=Donnees[[#This Row],[Longueur du texte]]))+1)/2</f>
        <v>35</v>
      </c>
      <c r="AJ35" s="43" t="str">
        <f>IF(Donnees[[#This Row],[Abonnés]]="","",SUMPRODUCT((Donnees[Échantillon]=Donnees[[#This Row],[Échantillon]])*(Donnees[Abonnés]&lt;Donnees[[#This Row],[Abonnés]]))+(SUMPRODUCT((Donnees[Échantillon]=Donnees[[#This Row],[Échantillon]])*(Donnees[Abonnés]=Donnees[[#This Row],[Abonnés]]))+1)/2)</f>
        <v/>
      </c>
      <c r="AK3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36" spans="1:37" x14ac:dyDescent="0.2">
      <c r="A36" s="40" t="s">
        <v>37</v>
      </c>
      <c r="B36" s="40" t="s">
        <v>89</v>
      </c>
      <c r="C36" s="40" t="s">
        <v>39</v>
      </c>
      <c r="D36" s="40">
        <v>51</v>
      </c>
      <c r="E36" s="40" t="s">
        <v>56</v>
      </c>
      <c r="F36" s="40" t="str">
        <f>IF(OR(Donnees[[#This Row],[Jour]]="samedi",Donnees[[#This Row],[Jour]]="dimanche"),"Oui","Non")</f>
        <v>Oui</v>
      </c>
      <c r="G36" s="40">
        <v>20</v>
      </c>
      <c r="H36" s="40" t="str">
        <f>IF(Donnees[[#This Row],[Heure UTC]]&lt;6,"0-5 h",IF(Donnees[[#This Row],[Heure UTC]]&lt;12,"6-11 h",IF(Donnees[[#This Row],[Heure UTC]]&lt;18,"12-17 h","18-23 h")))</f>
        <v>18-23 h</v>
      </c>
      <c r="I36" s="40">
        <v>7</v>
      </c>
      <c r="J36" s="40" t="str">
        <f>IF(Donnees[[#This Row],[Durée (s)]]&lt;=10,"1. ≤ 10 s",IF(Donnees[[#This Row],[Durée (s)]]&lt;=15,"2. 11-15 s",IF(Donnees[[#This Row],[Durée (s)]]&lt;=30,"3. 16-30 s",IF(Donnees[[#This Row],[Durée (s)]]&lt;=60,"4. 31-60 s","5. &gt; 60 s"))))</f>
        <v>1. ≤ 10 s</v>
      </c>
      <c r="K36" s="40" t="str">
        <f>IF(Donnees[[#This Row],[Durée (s)]]&gt;15,"Oui","Non")</f>
        <v>Non</v>
      </c>
      <c r="L36" s="40">
        <v>0</v>
      </c>
      <c r="M36" s="40" t="s">
        <v>41</v>
      </c>
      <c r="N36" s="40">
        <v>0</v>
      </c>
      <c r="O36" s="40" t="s">
        <v>44</v>
      </c>
      <c r="P36" s="40" t="s">
        <v>41</v>
      </c>
      <c r="Q36" s="40" t="s">
        <v>41</v>
      </c>
      <c r="R36" s="40"/>
      <c r="S36" s="40"/>
      <c r="T36" s="41"/>
      <c r="U36" s="40" t="str">
        <f>IF(Donnees[[#This Row],[Abonnés]]="","",IF(Donnees[[#This Row],[Abonnés]]&lt;1000000,"1. &lt; 1 M",IF(Donnees[[#This Row],[Abonnés]]&lt;3000000,"2. 1-3 M",IF(Donnees[[#This Row],[Abonnés]]&lt;8000000,"3. 3-8 M","4. ≥ 8 M"))))</f>
        <v/>
      </c>
      <c r="V36" s="41"/>
      <c r="W36" s="41">
        <v>18900000</v>
      </c>
      <c r="X36" s="41">
        <v>2600000</v>
      </c>
      <c r="Y36" s="41">
        <v>20000</v>
      </c>
      <c r="Z36" s="41">
        <v>25700</v>
      </c>
      <c r="AA36" s="42">
        <f>(Donnees[[#This Row],[Likes]]+Donnees[[#This Row],[Commentaires]]+Donnees[[#This Row],[Partages]])/Donnees[[#This Row],[Vues]]</f>
        <v>0.13998412698412699</v>
      </c>
      <c r="AB36" s="40">
        <f>IF(Donnees[[#This Row],[Engagement]]&gt;=VLOOKUP(Donnees[[#This Row],[Échantillon]],'Méthode &amp; limites'!$B$9:$D$11,2,FALSE),1,0)</f>
        <v>0</v>
      </c>
      <c r="AC36" s="43" t="str">
        <f>IF(Donnees[[#This Row],[Abonnés]]="","",Donnees[[#This Row],[Vues]]/Donnees[[#This Row],[Abonnés]])</f>
        <v/>
      </c>
      <c r="AD36" s="40" t="s">
        <v>44</v>
      </c>
      <c r="AE36" s="43">
        <f>SUMPRODUCT((Donnees[Échantillon]=Donnees[[#This Row],[Échantillon]])*(Donnees[Engagement]&lt;Donnees[[#This Row],[Engagement]]))+(SUMPRODUCT((Donnees[Échantillon]=Donnees[[#This Row],[Échantillon]])*(Donnees[Engagement]=Donnees[[#This Row],[Engagement]]))+1)/2</f>
        <v>70</v>
      </c>
      <c r="AF36" s="43">
        <f>SUMPRODUCT((Donnees[Échantillon]=Donnees[[#This Row],[Échantillon]])*(Donnees[Vues]&lt;Donnees[[#This Row],[Vues]]))+(SUMPRODUCT((Donnees[Échantillon]=Donnees[[#This Row],[Échantillon]])*(Donnees[Vues]=Donnees[[#This Row],[Vues]]))+1)/2</f>
        <v>66.5</v>
      </c>
      <c r="AG36" s="43">
        <f>SUMPRODUCT((Donnees[Échantillon]=Donnees[[#This Row],[Échantillon]])*(Donnees[Durée (s)]&lt;Donnees[[#This Row],[Durée (s)]]))+(SUMPRODUCT((Donnees[Échantillon]=Donnees[[#This Row],[Échantillon]])*(Donnees[Durée (s)]=Donnees[[#This Row],[Durée (s)]]))+1)/2</f>
        <v>3</v>
      </c>
      <c r="AH36" s="43">
        <f>SUMPRODUCT((Donnees[Échantillon]=Donnees[[#This Row],[Échantillon]])*(Donnees[Nb hashtags]&lt;Donnees[[#This Row],[Nb hashtags]]))+(SUMPRODUCT((Donnees[Échantillon]=Donnees[[#This Row],[Échantillon]])*(Donnees[Nb hashtags]=Donnees[[#This Row],[Nb hashtags]]))+1)/2</f>
        <v>19</v>
      </c>
      <c r="AI36" s="43">
        <f>SUMPRODUCT((Donnees[Échantillon]=Donnees[[#This Row],[Échantillon]])*(Donnees[Longueur du texte]&lt;Donnees[[#This Row],[Longueur du texte]]))+(SUMPRODUCT((Donnees[Échantillon]=Donnees[[#This Row],[Échantillon]])*(Donnees[Longueur du texte]=Donnees[[#This Row],[Longueur du texte]]))+1)/2</f>
        <v>16</v>
      </c>
      <c r="AJ36" s="43" t="str">
        <f>IF(Donnees[[#This Row],[Abonnés]]="","",SUMPRODUCT((Donnees[Échantillon]=Donnees[[#This Row],[Échantillon]])*(Donnees[Abonnés]&lt;Donnees[[#This Row],[Abonnés]]))+(SUMPRODUCT((Donnees[Échantillon]=Donnees[[#This Row],[Échantillon]])*(Donnees[Abonnés]=Donnees[[#This Row],[Abonnés]]))+1)/2)</f>
        <v/>
      </c>
      <c r="AK3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37" spans="1:37" x14ac:dyDescent="0.2">
      <c r="A37" s="40" t="s">
        <v>37</v>
      </c>
      <c r="B37" s="40" t="s">
        <v>90</v>
      </c>
      <c r="C37" s="40" t="s">
        <v>50</v>
      </c>
      <c r="D37" s="40">
        <v>14</v>
      </c>
      <c r="E37" s="40" t="s">
        <v>40</v>
      </c>
      <c r="F37" s="40" t="str">
        <f>IF(OR(Donnees[[#This Row],[Jour]]="samedi",Donnees[[#This Row],[Jour]]="dimanche"),"Oui","Non")</f>
        <v>Non</v>
      </c>
      <c r="G37" s="40">
        <v>20</v>
      </c>
      <c r="H37" s="40" t="str">
        <f>IF(Donnees[[#This Row],[Heure UTC]]&lt;6,"0-5 h",IF(Donnees[[#This Row],[Heure UTC]]&lt;12,"6-11 h",IF(Donnees[[#This Row],[Heure UTC]]&lt;18,"12-17 h","18-23 h")))</f>
        <v>18-23 h</v>
      </c>
      <c r="I37" s="40">
        <v>15</v>
      </c>
      <c r="J37" s="40" t="str">
        <f>IF(Donnees[[#This Row],[Durée (s)]]&lt;=10,"1. ≤ 10 s",IF(Donnees[[#This Row],[Durée (s)]]&lt;=15,"2. 11-15 s",IF(Donnees[[#This Row],[Durée (s)]]&lt;=30,"3. 16-30 s",IF(Donnees[[#This Row],[Durée (s)]]&lt;=60,"4. 31-60 s","5. &gt; 60 s"))))</f>
        <v>2. 11-15 s</v>
      </c>
      <c r="K37" s="40" t="str">
        <f>IF(Donnees[[#This Row],[Durée (s)]]&gt;15,"Oui","Non")</f>
        <v>Non</v>
      </c>
      <c r="L37" s="40">
        <v>5</v>
      </c>
      <c r="M37" s="40" t="s">
        <v>44</v>
      </c>
      <c r="N37" s="40">
        <v>63</v>
      </c>
      <c r="O37" s="40" t="s">
        <v>41</v>
      </c>
      <c r="P37" s="40" t="s">
        <v>41</v>
      </c>
      <c r="Q37" s="40" t="s">
        <v>41</v>
      </c>
      <c r="R37" s="40"/>
      <c r="S37" s="40"/>
      <c r="T37" s="41"/>
      <c r="U37" s="40" t="str">
        <f>IF(Donnees[[#This Row],[Abonnés]]="","",IF(Donnees[[#This Row],[Abonnés]]&lt;1000000,"1. &lt; 1 M",IF(Donnees[[#This Row],[Abonnés]]&lt;3000000,"2. 1-3 M",IF(Donnees[[#This Row],[Abonnés]]&lt;8000000,"3. 3-8 M","4. ≥ 8 M"))))</f>
        <v/>
      </c>
      <c r="V37" s="41"/>
      <c r="W37" s="41">
        <v>17100000</v>
      </c>
      <c r="X37" s="41">
        <v>1000000</v>
      </c>
      <c r="Y37" s="41">
        <v>12100</v>
      </c>
      <c r="Z37" s="41">
        <v>137100</v>
      </c>
      <c r="AA37" s="42">
        <f>(Donnees[[#This Row],[Likes]]+Donnees[[#This Row],[Commentaires]]+Donnees[[#This Row],[Partages]])/Donnees[[#This Row],[Vues]]</f>
        <v>6.72046783625731E-2</v>
      </c>
      <c r="AB37" s="40">
        <f>IF(Donnees[[#This Row],[Engagement]]&gt;=VLOOKUP(Donnees[[#This Row],[Échantillon]],'Méthode &amp; limites'!$B$9:$D$11,2,FALSE),1,0)</f>
        <v>0</v>
      </c>
      <c r="AC37" s="43" t="str">
        <f>IF(Donnees[[#This Row],[Abonnés]]="","",Donnees[[#This Row],[Vues]]/Donnees[[#This Row],[Abonnés]])</f>
        <v/>
      </c>
      <c r="AD37" s="40" t="s">
        <v>44</v>
      </c>
      <c r="AE37" s="43">
        <f>SUMPRODUCT((Donnees[Échantillon]=Donnees[[#This Row],[Échantillon]])*(Donnees[Engagement]&lt;Donnees[[#This Row],[Engagement]]))+(SUMPRODUCT((Donnees[Échantillon]=Donnees[[#This Row],[Échantillon]])*(Donnees[Engagement]=Donnees[[#This Row],[Engagement]]))+1)/2</f>
        <v>20</v>
      </c>
      <c r="AF37" s="43">
        <f>SUMPRODUCT((Donnees[Échantillon]=Donnees[[#This Row],[Échantillon]])*(Donnees[Vues]&lt;Donnees[[#This Row],[Vues]]))+(SUMPRODUCT((Donnees[Échantillon]=Donnees[[#This Row],[Échantillon]])*(Donnees[Vues]=Donnees[[#This Row],[Vues]]))+1)/2</f>
        <v>65</v>
      </c>
      <c r="AG37" s="43">
        <f>SUMPRODUCT((Donnees[Échantillon]=Donnees[[#This Row],[Échantillon]])*(Donnees[Durée (s)]&lt;Donnees[[#This Row],[Durée (s)]]))+(SUMPRODUCT((Donnees[Échantillon]=Donnees[[#This Row],[Échantillon]])*(Donnees[Durée (s)]=Donnees[[#This Row],[Durée (s)]]))+1)/2</f>
        <v>78</v>
      </c>
      <c r="AH37" s="43">
        <f>SUMPRODUCT((Donnees[Échantillon]=Donnees[[#This Row],[Échantillon]])*(Donnees[Nb hashtags]&lt;Donnees[[#This Row],[Nb hashtags]]))+(SUMPRODUCT((Donnees[Échantillon]=Donnees[[#This Row],[Échantillon]])*(Donnees[Nb hashtags]=Donnees[[#This Row],[Nb hashtags]]))+1)/2</f>
        <v>70</v>
      </c>
      <c r="AI37" s="43">
        <f>SUMPRODUCT((Donnees[Échantillon]=Donnees[[#This Row],[Échantillon]])*(Donnees[Longueur du texte]&lt;Donnees[[#This Row],[Longueur du texte]]))+(SUMPRODUCT((Donnees[Échantillon]=Donnees[[#This Row],[Échantillon]])*(Donnees[Longueur du texte]=Donnees[[#This Row],[Longueur du texte]]))+1)/2</f>
        <v>96.5</v>
      </c>
      <c r="AJ37" s="43" t="str">
        <f>IF(Donnees[[#This Row],[Abonnés]]="","",SUMPRODUCT((Donnees[Échantillon]=Donnees[[#This Row],[Échantillon]])*(Donnees[Abonnés]&lt;Donnees[[#This Row],[Abonnés]]))+(SUMPRODUCT((Donnees[Échantillon]=Donnees[[#This Row],[Échantillon]])*(Donnees[Abonnés]=Donnees[[#This Row],[Abonnés]]))+1)/2)</f>
        <v/>
      </c>
      <c r="AK3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38" spans="1:37" x14ac:dyDescent="0.2">
      <c r="A38" s="40" t="s">
        <v>37</v>
      </c>
      <c r="B38" s="40" t="s">
        <v>91</v>
      </c>
      <c r="C38" s="40" t="s">
        <v>46</v>
      </c>
      <c r="D38" s="40">
        <v>3</v>
      </c>
      <c r="E38" s="40" t="s">
        <v>75</v>
      </c>
      <c r="F38" s="40" t="str">
        <f>IF(OR(Donnees[[#This Row],[Jour]]="samedi",Donnees[[#This Row],[Jour]]="dimanche"),"Oui","Non")</f>
        <v>Oui</v>
      </c>
      <c r="G38" s="40">
        <v>6</v>
      </c>
      <c r="H38" s="40" t="str">
        <f>IF(Donnees[[#This Row],[Heure UTC]]&lt;6,"0-5 h",IF(Donnees[[#This Row],[Heure UTC]]&lt;12,"6-11 h",IF(Donnees[[#This Row],[Heure UTC]]&lt;18,"12-17 h","18-23 h")))</f>
        <v>6-11 h</v>
      </c>
      <c r="I38" s="40">
        <v>20</v>
      </c>
      <c r="J38" s="40" t="str">
        <f>IF(Donnees[[#This Row],[Durée (s)]]&lt;=10,"1. ≤ 10 s",IF(Donnees[[#This Row],[Durée (s)]]&lt;=15,"2. 11-15 s",IF(Donnees[[#This Row],[Durée (s)]]&lt;=30,"3. 16-30 s",IF(Donnees[[#This Row],[Durée (s)]]&lt;=60,"4. 31-60 s","5. &gt; 60 s"))))</f>
        <v>3. 16-30 s</v>
      </c>
      <c r="K38" s="40" t="str">
        <f>IF(Donnees[[#This Row],[Durée (s)]]&gt;15,"Oui","Non")</f>
        <v>Oui</v>
      </c>
      <c r="L38" s="40">
        <v>1</v>
      </c>
      <c r="M38" s="40" t="s">
        <v>41</v>
      </c>
      <c r="N38" s="40">
        <v>12</v>
      </c>
      <c r="O38" s="40" t="s">
        <v>41</v>
      </c>
      <c r="P38" s="40" t="s">
        <v>41</v>
      </c>
      <c r="Q38" s="40" t="s">
        <v>41</v>
      </c>
      <c r="R38" s="40"/>
      <c r="S38" s="40"/>
      <c r="T38" s="41"/>
      <c r="U38" s="40" t="str">
        <f>IF(Donnees[[#This Row],[Abonnés]]="","",IF(Donnees[[#This Row],[Abonnés]]&lt;1000000,"1. &lt; 1 M",IF(Donnees[[#This Row],[Abonnés]]&lt;3000000,"2. 1-3 M",IF(Donnees[[#This Row],[Abonnés]]&lt;8000000,"3. 3-8 M","4. ≥ 8 M"))))</f>
        <v/>
      </c>
      <c r="V38" s="41"/>
      <c r="W38" s="41">
        <v>17000000</v>
      </c>
      <c r="X38" s="41">
        <v>5300000</v>
      </c>
      <c r="Y38" s="41">
        <v>255800</v>
      </c>
      <c r="Z38" s="41">
        <v>158300</v>
      </c>
      <c r="AA38" s="42">
        <f>(Donnees[[#This Row],[Likes]]+Donnees[[#This Row],[Commentaires]]+Donnees[[#This Row],[Partages]])/Donnees[[#This Row],[Vues]]</f>
        <v>0.33612352941176471</v>
      </c>
      <c r="AB38" s="40">
        <f>IF(Donnees[[#This Row],[Engagement]]&gt;=VLOOKUP(Donnees[[#This Row],[Échantillon]],'Méthode &amp; limites'!$B$9:$D$11,2,FALSE),1,0)</f>
        <v>1</v>
      </c>
      <c r="AC38" s="43" t="str">
        <f>IF(Donnees[[#This Row],[Abonnés]]="","",Donnees[[#This Row],[Vues]]/Donnees[[#This Row],[Abonnés]])</f>
        <v/>
      </c>
      <c r="AD38" s="40" t="s">
        <v>44</v>
      </c>
      <c r="AE38" s="43">
        <f>SUMPRODUCT((Donnees[Échantillon]=Donnees[[#This Row],[Échantillon]])*(Donnees[Engagement]&lt;Donnees[[#This Row],[Engagement]]))+(SUMPRODUCT((Donnees[Échantillon]=Donnees[[#This Row],[Échantillon]])*(Donnees[Engagement]=Donnees[[#This Row],[Engagement]]))+1)/2</f>
        <v>99</v>
      </c>
      <c r="AF38" s="43">
        <f>SUMPRODUCT((Donnees[Échantillon]=Donnees[[#This Row],[Échantillon]])*(Donnees[Vues]&lt;Donnees[[#This Row],[Vues]]))+(SUMPRODUCT((Donnees[Échantillon]=Donnees[[#This Row],[Échantillon]])*(Donnees[Vues]=Donnees[[#This Row],[Vues]]))+1)/2</f>
        <v>64</v>
      </c>
      <c r="AG38" s="43">
        <f>SUMPRODUCT((Donnees[Échantillon]=Donnees[[#This Row],[Échantillon]])*(Donnees[Durée (s)]&lt;Donnees[[#This Row],[Durée (s)]]))+(SUMPRODUCT((Donnees[Échantillon]=Donnees[[#This Row],[Échantillon]])*(Donnees[Durée (s)]=Donnees[[#This Row],[Durée (s)]]))+1)/2</f>
        <v>86.5</v>
      </c>
      <c r="AH38" s="43">
        <f>SUMPRODUCT((Donnees[Échantillon]=Donnees[[#This Row],[Échantillon]])*(Donnees[Nb hashtags]&lt;Donnees[[#This Row],[Nb hashtags]]))+(SUMPRODUCT((Donnees[Échantillon]=Donnees[[#This Row],[Échantillon]])*(Donnees[Nb hashtags]=Donnees[[#This Row],[Nb hashtags]]))+1)/2</f>
        <v>39</v>
      </c>
      <c r="AI38" s="43">
        <f>SUMPRODUCT((Donnees[Échantillon]=Donnees[[#This Row],[Échantillon]])*(Donnees[Longueur du texte]&lt;Donnees[[#This Row],[Longueur du texte]]))+(SUMPRODUCT((Donnees[Échantillon]=Donnees[[#This Row],[Échantillon]])*(Donnees[Longueur du texte]=Donnees[[#This Row],[Longueur du texte]]))+1)/2</f>
        <v>48</v>
      </c>
      <c r="AJ38" s="43" t="str">
        <f>IF(Donnees[[#This Row],[Abonnés]]="","",SUMPRODUCT((Donnees[Échantillon]=Donnees[[#This Row],[Échantillon]])*(Donnees[Abonnés]&lt;Donnees[[#This Row],[Abonnés]]))+(SUMPRODUCT((Donnees[Échantillon]=Donnees[[#This Row],[Échantillon]])*(Donnees[Abonnés]=Donnees[[#This Row],[Abonnés]]))+1)/2)</f>
        <v/>
      </c>
      <c r="AK3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39" spans="1:37" x14ac:dyDescent="0.2">
      <c r="A39" s="40" t="s">
        <v>37</v>
      </c>
      <c r="B39" s="40" t="s">
        <v>92</v>
      </c>
      <c r="C39" s="40" t="s">
        <v>39</v>
      </c>
      <c r="D39" s="40">
        <v>7</v>
      </c>
      <c r="E39" s="40" t="s">
        <v>40</v>
      </c>
      <c r="F39" s="40" t="str">
        <f>IF(OR(Donnees[[#This Row],[Jour]]="samedi",Donnees[[#This Row],[Jour]]="dimanche"),"Oui","Non")</f>
        <v>Non</v>
      </c>
      <c r="G39" s="40">
        <v>20</v>
      </c>
      <c r="H39" s="40" t="str">
        <f>IF(Donnees[[#This Row],[Heure UTC]]&lt;6,"0-5 h",IF(Donnees[[#This Row],[Heure UTC]]&lt;12,"6-11 h",IF(Donnees[[#This Row],[Heure UTC]]&lt;18,"12-17 h","18-23 h")))</f>
        <v>18-23 h</v>
      </c>
      <c r="I39" s="40">
        <v>14</v>
      </c>
      <c r="J39" s="40" t="str">
        <f>IF(Donnees[[#This Row],[Durée (s)]]&lt;=10,"1. ≤ 10 s",IF(Donnees[[#This Row],[Durée (s)]]&lt;=15,"2. 11-15 s",IF(Donnees[[#This Row],[Durée (s)]]&lt;=30,"3. 16-30 s",IF(Donnees[[#This Row],[Durée (s)]]&lt;=60,"4. 31-60 s","5. &gt; 60 s"))))</f>
        <v>2. 11-15 s</v>
      </c>
      <c r="K39" s="40" t="str">
        <f>IF(Donnees[[#This Row],[Durée (s)]]&gt;15,"Oui","Non")</f>
        <v>Non</v>
      </c>
      <c r="L39" s="40">
        <v>5</v>
      </c>
      <c r="M39" s="40" t="s">
        <v>44</v>
      </c>
      <c r="N39" s="40">
        <v>47</v>
      </c>
      <c r="O39" s="40" t="s">
        <v>41</v>
      </c>
      <c r="P39" s="40" t="s">
        <v>41</v>
      </c>
      <c r="Q39" s="40" t="s">
        <v>41</v>
      </c>
      <c r="R39" s="40"/>
      <c r="S39" s="40"/>
      <c r="T39" s="41"/>
      <c r="U39" s="40" t="str">
        <f>IF(Donnees[[#This Row],[Abonnés]]="","",IF(Donnees[[#This Row],[Abonnés]]&lt;1000000,"1. &lt; 1 M",IF(Donnees[[#This Row],[Abonnés]]&lt;3000000,"2. 1-3 M",IF(Donnees[[#This Row],[Abonnés]]&lt;8000000,"3. 3-8 M","4. ≥ 8 M"))))</f>
        <v/>
      </c>
      <c r="V39" s="41"/>
      <c r="W39" s="41">
        <v>15200000</v>
      </c>
      <c r="X39" s="41">
        <v>1900000</v>
      </c>
      <c r="Y39" s="41">
        <v>68500</v>
      </c>
      <c r="Z39" s="41">
        <v>68500</v>
      </c>
      <c r="AA39" s="42">
        <f>(Donnees[[#This Row],[Likes]]+Donnees[[#This Row],[Commentaires]]+Donnees[[#This Row],[Partages]])/Donnees[[#This Row],[Vues]]</f>
        <v>0.13401315789473683</v>
      </c>
      <c r="AB39" s="40">
        <f>IF(Donnees[[#This Row],[Engagement]]&gt;=VLOOKUP(Donnees[[#This Row],[Échantillon]],'Méthode &amp; limites'!$B$9:$D$11,2,FALSE),1,0)</f>
        <v>0</v>
      </c>
      <c r="AC39" s="43" t="str">
        <f>IF(Donnees[[#This Row],[Abonnés]]="","",Donnees[[#This Row],[Vues]]/Donnees[[#This Row],[Abonnés]])</f>
        <v/>
      </c>
      <c r="AD39" s="40" t="s">
        <v>44</v>
      </c>
      <c r="AE39" s="43">
        <f>SUMPRODUCT((Donnees[Échantillon]=Donnees[[#This Row],[Échantillon]])*(Donnees[Engagement]&lt;Donnees[[#This Row],[Engagement]]))+(SUMPRODUCT((Donnees[Échantillon]=Donnees[[#This Row],[Échantillon]])*(Donnees[Engagement]=Donnees[[#This Row],[Engagement]]))+1)/2</f>
        <v>68</v>
      </c>
      <c r="AF39" s="43">
        <f>SUMPRODUCT((Donnees[Échantillon]=Donnees[[#This Row],[Échantillon]])*(Donnees[Vues]&lt;Donnees[[#This Row],[Vues]]))+(SUMPRODUCT((Donnees[Échantillon]=Donnees[[#This Row],[Échantillon]])*(Donnees[Vues]=Donnees[[#This Row],[Vues]]))+1)/2</f>
        <v>63</v>
      </c>
      <c r="AG39" s="43">
        <f>SUMPRODUCT((Donnees[Échantillon]=Donnees[[#This Row],[Échantillon]])*(Donnees[Durée (s)]&lt;Donnees[[#This Row],[Durée (s)]]))+(SUMPRODUCT((Donnees[Échantillon]=Donnees[[#This Row],[Échantillon]])*(Donnees[Durée (s)]=Donnees[[#This Row],[Durée (s)]]))+1)/2</f>
        <v>70.5</v>
      </c>
      <c r="AH39" s="43">
        <f>SUMPRODUCT((Donnees[Échantillon]=Donnees[[#This Row],[Échantillon]])*(Donnees[Nb hashtags]&lt;Donnees[[#This Row],[Nb hashtags]]))+(SUMPRODUCT((Donnees[Échantillon]=Donnees[[#This Row],[Échantillon]])*(Donnees[Nb hashtags]=Donnees[[#This Row],[Nb hashtags]]))+1)/2</f>
        <v>70</v>
      </c>
      <c r="AI39" s="43">
        <f>SUMPRODUCT((Donnees[Échantillon]=Donnees[[#This Row],[Échantillon]])*(Donnees[Longueur du texte]&lt;Donnees[[#This Row],[Longueur du texte]]))+(SUMPRODUCT((Donnees[Échantillon]=Donnees[[#This Row],[Échantillon]])*(Donnees[Longueur du texte]=Donnees[[#This Row],[Longueur du texte]]))+1)/2</f>
        <v>89</v>
      </c>
      <c r="AJ39" s="43" t="str">
        <f>IF(Donnees[[#This Row],[Abonnés]]="","",SUMPRODUCT((Donnees[Échantillon]=Donnees[[#This Row],[Échantillon]])*(Donnees[Abonnés]&lt;Donnees[[#This Row],[Abonnés]]))+(SUMPRODUCT((Donnees[Échantillon]=Donnees[[#This Row],[Échantillon]])*(Donnees[Abonnés]=Donnees[[#This Row],[Abonnés]]))+1)/2)</f>
        <v/>
      </c>
      <c r="AK3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40" spans="1:37" x14ac:dyDescent="0.2">
      <c r="A40" s="40" t="s">
        <v>37</v>
      </c>
      <c r="B40" s="40" t="s">
        <v>93</v>
      </c>
      <c r="C40" s="40" t="s">
        <v>46</v>
      </c>
      <c r="D40" s="40">
        <v>84</v>
      </c>
      <c r="E40" s="40" t="s">
        <v>40</v>
      </c>
      <c r="F40" s="40" t="str">
        <f>IF(OR(Donnees[[#This Row],[Jour]]="samedi",Donnees[[#This Row],[Jour]]="dimanche"),"Oui","Non")</f>
        <v>Non</v>
      </c>
      <c r="G40" s="40">
        <v>18</v>
      </c>
      <c r="H40" s="40" t="str">
        <f>IF(Donnees[[#This Row],[Heure UTC]]&lt;6,"0-5 h",IF(Donnees[[#This Row],[Heure UTC]]&lt;12,"6-11 h",IF(Donnees[[#This Row],[Heure UTC]]&lt;18,"12-17 h","18-23 h")))</f>
        <v>18-23 h</v>
      </c>
      <c r="I40" s="40">
        <v>9</v>
      </c>
      <c r="J40" s="40" t="str">
        <f>IF(Donnees[[#This Row],[Durée (s)]]&lt;=10,"1. ≤ 10 s",IF(Donnees[[#This Row],[Durée (s)]]&lt;=15,"2. 11-15 s",IF(Donnees[[#This Row],[Durée (s)]]&lt;=30,"3. 16-30 s",IF(Donnees[[#This Row],[Durée (s)]]&lt;=60,"4. 31-60 s","5. &gt; 60 s"))))</f>
        <v>1. ≤ 10 s</v>
      </c>
      <c r="K40" s="40" t="str">
        <f>IF(Donnees[[#This Row],[Durée (s)]]&gt;15,"Oui","Non")</f>
        <v>Non</v>
      </c>
      <c r="L40" s="40">
        <v>9</v>
      </c>
      <c r="M40" s="40" t="s">
        <v>44</v>
      </c>
      <c r="N40" s="40">
        <v>84</v>
      </c>
      <c r="O40" s="40" t="s">
        <v>41</v>
      </c>
      <c r="P40" s="40" t="s">
        <v>41</v>
      </c>
      <c r="Q40" s="40" t="s">
        <v>44</v>
      </c>
      <c r="R40" s="40"/>
      <c r="S40" s="40"/>
      <c r="T40" s="41"/>
      <c r="U40" s="40" t="str">
        <f>IF(Donnees[[#This Row],[Abonnés]]="","",IF(Donnees[[#This Row],[Abonnés]]&lt;1000000,"1. &lt; 1 M",IF(Donnees[[#This Row],[Abonnés]]&lt;3000000,"2. 1-3 M",IF(Donnees[[#This Row],[Abonnés]]&lt;8000000,"3. 3-8 M","4. ≥ 8 M"))))</f>
        <v/>
      </c>
      <c r="V40" s="41"/>
      <c r="W40" s="41">
        <v>15000000</v>
      </c>
      <c r="X40" s="41">
        <v>1800000</v>
      </c>
      <c r="Y40" s="41">
        <v>6751</v>
      </c>
      <c r="Z40" s="41">
        <v>5469</v>
      </c>
      <c r="AA40" s="42">
        <f>(Donnees[[#This Row],[Likes]]+Donnees[[#This Row],[Commentaires]]+Donnees[[#This Row],[Partages]])/Donnees[[#This Row],[Vues]]</f>
        <v>0.12081466666666667</v>
      </c>
      <c r="AB40" s="40">
        <f>IF(Donnees[[#This Row],[Engagement]]&gt;=VLOOKUP(Donnees[[#This Row],[Échantillon]],'Méthode &amp; limites'!$B$9:$D$11,2,FALSE),1,0)</f>
        <v>0</v>
      </c>
      <c r="AC40" s="43" t="str">
        <f>IF(Donnees[[#This Row],[Abonnés]]="","",Donnees[[#This Row],[Vues]]/Donnees[[#This Row],[Abonnés]])</f>
        <v/>
      </c>
      <c r="AD40" s="40" t="s">
        <v>44</v>
      </c>
      <c r="AE40" s="43">
        <f>SUMPRODUCT((Donnees[Échantillon]=Donnees[[#This Row],[Échantillon]])*(Donnees[Engagement]&lt;Donnees[[#This Row],[Engagement]]))+(SUMPRODUCT((Donnees[Échantillon]=Donnees[[#This Row],[Échantillon]])*(Donnees[Engagement]=Donnees[[#This Row],[Engagement]]))+1)/2</f>
        <v>60</v>
      </c>
      <c r="AF40" s="43">
        <f>SUMPRODUCT((Donnees[Échantillon]=Donnees[[#This Row],[Échantillon]])*(Donnees[Vues]&lt;Donnees[[#This Row],[Vues]]))+(SUMPRODUCT((Donnees[Échantillon]=Donnees[[#This Row],[Échantillon]])*(Donnees[Vues]=Donnees[[#This Row],[Vues]]))+1)/2</f>
        <v>62</v>
      </c>
      <c r="AG40" s="43">
        <f>SUMPRODUCT((Donnees[Échantillon]=Donnees[[#This Row],[Échantillon]])*(Donnees[Durée (s)]&lt;Donnees[[#This Row],[Durée (s)]]))+(SUMPRODUCT((Donnees[Échantillon]=Donnees[[#This Row],[Échantillon]])*(Donnees[Durée (s)]=Donnees[[#This Row],[Durée (s)]]))+1)/2</f>
        <v>28</v>
      </c>
      <c r="AH40" s="43">
        <f>SUMPRODUCT((Donnees[Échantillon]=Donnees[[#This Row],[Échantillon]])*(Donnees[Nb hashtags]&lt;Donnees[[#This Row],[Nb hashtags]]))+(SUMPRODUCT((Donnees[Échantillon]=Donnees[[#This Row],[Échantillon]])*(Donnees[Nb hashtags]=Donnees[[#This Row],[Nb hashtags]]))+1)/2</f>
        <v>90.5</v>
      </c>
      <c r="AI40" s="43">
        <f>SUMPRODUCT((Donnees[Échantillon]=Donnees[[#This Row],[Échantillon]])*(Donnees[Longueur du texte]&lt;Donnees[[#This Row],[Longueur du texte]]))+(SUMPRODUCT((Donnees[Échantillon]=Donnees[[#This Row],[Échantillon]])*(Donnees[Longueur du texte]=Donnees[[#This Row],[Longueur du texte]]))+1)/2</f>
        <v>100</v>
      </c>
      <c r="AJ40" s="43" t="str">
        <f>IF(Donnees[[#This Row],[Abonnés]]="","",SUMPRODUCT((Donnees[Échantillon]=Donnees[[#This Row],[Échantillon]])*(Donnees[Abonnés]&lt;Donnees[[#This Row],[Abonnés]]))+(SUMPRODUCT((Donnees[Échantillon]=Donnees[[#This Row],[Échantillon]])*(Donnees[Abonnés]=Donnees[[#This Row],[Abonnés]]))+1)/2)</f>
        <v/>
      </c>
      <c r="AK4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41" spans="1:37" x14ac:dyDescent="0.2">
      <c r="A41" s="40" t="s">
        <v>37</v>
      </c>
      <c r="B41" s="40" t="s">
        <v>94</v>
      </c>
      <c r="C41" s="40" t="s">
        <v>50</v>
      </c>
      <c r="D41" s="40">
        <v>47</v>
      </c>
      <c r="E41" s="40" t="s">
        <v>47</v>
      </c>
      <c r="F41" s="40" t="str">
        <f>IF(OR(Donnees[[#This Row],[Jour]]="samedi",Donnees[[#This Row],[Jour]]="dimanche"),"Oui","Non")</f>
        <v>Non</v>
      </c>
      <c r="G41" s="40">
        <v>4</v>
      </c>
      <c r="H41" s="40" t="str">
        <f>IF(Donnees[[#This Row],[Heure UTC]]&lt;6,"0-5 h",IF(Donnees[[#This Row],[Heure UTC]]&lt;12,"6-11 h",IF(Donnees[[#This Row],[Heure UTC]]&lt;18,"12-17 h","18-23 h")))</f>
        <v>0-5 h</v>
      </c>
      <c r="I41" s="40">
        <v>15</v>
      </c>
      <c r="J41" s="40" t="str">
        <f>IF(Donnees[[#This Row],[Durée (s)]]&lt;=10,"1. ≤ 10 s",IF(Donnees[[#This Row],[Durée (s)]]&lt;=15,"2. 11-15 s",IF(Donnees[[#This Row],[Durée (s)]]&lt;=30,"3. 16-30 s",IF(Donnees[[#This Row],[Durée (s)]]&lt;=60,"4. 31-60 s","5. &gt; 60 s"))))</f>
        <v>2. 11-15 s</v>
      </c>
      <c r="K41" s="40" t="str">
        <f>IF(Donnees[[#This Row],[Durée (s)]]&gt;15,"Oui","Non")</f>
        <v>Non</v>
      </c>
      <c r="L41" s="40">
        <v>11</v>
      </c>
      <c r="M41" s="40" t="s">
        <v>44</v>
      </c>
      <c r="N41" s="40">
        <v>23</v>
      </c>
      <c r="O41" s="40" t="s">
        <v>41</v>
      </c>
      <c r="P41" s="40" t="s">
        <v>44</v>
      </c>
      <c r="Q41" s="40" t="s">
        <v>41</v>
      </c>
      <c r="R41" s="40"/>
      <c r="S41" s="40"/>
      <c r="T41" s="41"/>
      <c r="U41" s="40" t="str">
        <f>IF(Donnees[[#This Row],[Abonnés]]="","",IF(Donnees[[#This Row],[Abonnés]]&lt;1000000,"1. &lt; 1 M",IF(Donnees[[#This Row],[Abonnés]]&lt;3000000,"2. 1-3 M",IF(Donnees[[#This Row],[Abonnés]]&lt;8000000,"3. 3-8 M","4. ≥ 8 M"))))</f>
        <v/>
      </c>
      <c r="V41" s="41"/>
      <c r="W41" s="41">
        <v>14900000</v>
      </c>
      <c r="X41" s="41">
        <v>616300</v>
      </c>
      <c r="Y41" s="41">
        <v>9206</v>
      </c>
      <c r="Z41" s="41">
        <v>101300</v>
      </c>
      <c r="AA41" s="42">
        <f>(Donnees[[#This Row],[Likes]]+Donnees[[#This Row],[Commentaires]]+Donnees[[#This Row],[Partages]])/Donnees[[#This Row],[Vues]]</f>
        <v>4.8778926174496647E-2</v>
      </c>
      <c r="AB41" s="40">
        <f>IF(Donnees[[#This Row],[Engagement]]&gt;=VLOOKUP(Donnees[[#This Row],[Échantillon]],'Méthode &amp; limites'!$B$9:$D$11,2,FALSE),1,0)</f>
        <v>0</v>
      </c>
      <c r="AC41" s="43" t="str">
        <f>IF(Donnees[[#This Row],[Abonnés]]="","",Donnees[[#This Row],[Vues]]/Donnees[[#This Row],[Abonnés]])</f>
        <v/>
      </c>
      <c r="AD41" s="40" t="s">
        <v>44</v>
      </c>
      <c r="AE41" s="43">
        <f>SUMPRODUCT((Donnees[Échantillon]=Donnees[[#This Row],[Échantillon]])*(Donnees[Engagement]&lt;Donnees[[#This Row],[Engagement]]))+(SUMPRODUCT((Donnees[Échantillon]=Donnees[[#This Row],[Échantillon]])*(Donnees[Engagement]=Donnees[[#This Row],[Engagement]]))+1)/2</f>
        <v>10</v>
      </c>
      <c r="AF41" s="43">
        <f>SUMPRODUCT((Donnees[Échantillon]=Donnees[[#This Row],[Échantillon]])*(Donnees[Vues]&lt;Donnees[[#This Row],[Vues]]))+(SUMPRODUCT((Donnees[Échantillon]=Donnees[[#This Row],[Échantillon]])*(Donnees[Vues]=Donnees[[#This Row],[Vues]]))+1)/2</f>
        <v>61</v>
      </c>
      <c r="AG41" s="43">
        <f>SUMPRODUCT((Donnees[Échantillon]=Donnees[[#This Row],[Échantillon]])*(Donnees[Durée (s)]&lt;Donnees[[#This Row],[Durée (s)]]))+(SUMPRODUCT((Donnees[Échantillon]=Donnees[[#This Row],[Échantillon]])*(Donnees[Durée (s)]=Donnees[[#This Row],[Durée (s)]]))+1)/2</f>
        <v>78</v>
      </c>
      <c r="AH41" s="43">
        <f>SUMPRODUCT((Donnees[Échantillon]=Donnees[[#This Row],[Échantillon]])*(Donnees[Nb hashtags]&lt;Donnees[[#This Row],[Nb hashtags]]))+(SUMPRODUCT((Donnees[Échantillon]=Donnees[[#This Row],[Échantillon]])*(Donnees[Nb hashtags]=Donnees[[#This Row],[Nb hashtags]]))+1)/2</f>
        <v>96</v>
      </c>
      <c r="AI41" s="43">
        <f>SUMPRODUCT((Donnees[Échantillon]=Donnees[[#This Row],[Échantillon]])*(Donnees[Longueur du texte]&lt;Donnees[[#This Row],[Longueur du texte]]))+(SUMPRODUCT((Donnees[Échantillon]=Donnees[[#This Row],[Échantillon]])*(Donnees[Longueur du texte]=Donnees[[#This Row],[Longueur du texte]]))+1)/2</f>
        <v>64</v>
      </c>
      <c r="AJ41" s="43" t="str">
        <f>IF(Donnees[[#This Row],[Abonnés]]="","",SUMPRODUCT((Donnees[Échantillon]=Donnees[[#This Row],[Échantillon]])*(Donnees[Abonnés]&lt;Donnees[[#This Row],[Abonnés]]))+(SUMPRODUCT((Donnees[Échantillon]=Donnees[[#This Row],[Échantillon]])*(Donnees[Abonnés]=Donnees[[#This Row],[Abonnés]]))+1)/2)</f>
        <v/>
      </c>
      <c r="AK4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42" spans="1:37" x14ac:dyDescent="0.2">
      <c r="A42" s="40" t="s">
        <v>37</v>
      </c>
      <c r="B42" s="40" t="s">
        <v>70</v>
      </c>
      <c r="C42" s="40" t="s">
        <v>39</v>
      </c>
      <c r="D42" s="40">
        <v>7</v>
      </c>
      <c r="E42" s="40" t="s">
        <v>40</v>
      </c>
      <c r="F42" s="40" t="str">
        <f>IF(OR(Donnees[[#This Row],[Jour]]="samedi",Donnees[[#This Row],[Jour]]="dimanche"),"Oui","Non")</f>
        <v>Non</v>
      </c>
      <c r="G42" s="40">
        <v>20</v>
      </c>
      <c r="H42" s="40" t="str">
        <f>IF(Donnees[[#This Row],[Heure UTC]]&lt;6,"0-5 h",IF(Donnees[[#This Row],[Heure UTC]]&lt;12,"6-11 h",IF(Donnees[[#This Row],[Heure UTC]]&lt;18,"12-17 h","18-23 h")))</f>
        <v>18-23 h</v>
      </c>
      <c r="I42" s="40">
        <v>10</v>
      </c>
      <c r="J42" s="40" t="str">
        <f>IF(Donnees[[#This Row],[Durée (s)]]&lt;=10,"1. ≤ 10 s",IF(Donnees[[#This Row],[Durée (s)]]&lt;=15,"2. 11-15 s",IF(Donnees[[#This Row],[Durée (s)]]&lt;=30,"3. 16-30 s",IF(Donnees[[#This Row],[Durée (s)]]&lt;=60,"4. 31-60 s","5. &gt; 60 s"))))</f>
        <v>1. ≤ 10 s</v>
      </c>
      <c r="K42" s="40" t="str">
        <f>IF(Donnees[[#This Row],[Durée (s)]]&gt;15,"Oui","Non")</f>
        <v>Non</v>
      </c>
      <c r="L42" s="40">
        <v>0</v>
      </c>
      <c r="M42" s="40" t="s">
        <v>41</v>
      </c>
      <c r="N42" s="40">
        <v>0</v>
      </c>
      <c r="O42" s="40" t="s">
        <v>41</v>
      </c>
      <c r="P42" s="40" t="s">
        <v>44</v>
      </c>
      <c r="Q42" s="40" t="s">
        <v>41</v>
      </c>
      <c r="R42" s="40"/>
      <c r="S42" s="40"/>
      <c r="T42" s="41"/>
      <c r="U42" s="40" t="str">
        <f>IF(Donnees[[#This Row],[Abonnés]]="","",IF(Donnees[[#This Row],[Abonnés]]&lt;1000000,"1. &lt; 1 M",IF(Donnees[[#This Row],[Abonnés]]&lt;3000000,"2. 1-3 M",IF(Donnees[[#This Row],[Abonnés]]&lt;8000000,"3. 3-8 M","4. ≥ 8 M"))))</f>
        <v/>
      </c>
      <c r="V42" s="41"/>
      <c r="W42" s="41">
        <v>14400000</v>
      </c>
      <c r="X42" s="41">
        <v>928700</v>
      </c>
      <c r="Y42" s="41">
        <v>3614</v>
      </c>
      <c r="Z42" s="41">
        <v>4936</v>
      </c>
      <c r="AA42" s="42">
        <f>(Donnees[[#This Row],[Likes]]+Donnees[[#This Row],[Commentaires]]+Donnees[[#This Row],[Partages]])/Donnees[[#This Row],[Vues]]</f>
        <v>6.5086805555555557E-2</v>
      </c>
      <c r="AB42" s="40">
        <f>IF(Donnees[[#This Row],[Engagement]]&gt;=VLOOKUP(Donnees[[#This Row],[Échantillon]],'Méthode &amp; limites'!$B$9:$D$11,2,FALSE),1,0)</f>
        <v>0</v>
      </c>
      <c r="AC42" s="43" t="str">
        <f>IF(Donnees[[#This Row],[Abonnés]]="","",Donnees[[#This Row],[Vues]]/Donnees[[#This Row],[Abonnés]])</f>
        <v/>
      </c>
      <c r="AD42" s="40" t="s">
        <v>44</v>
      </c>
      <c r="AE42" s="43">
        <f>SUMPRODUCT((Donnees[Échantillon]=Donnees[[#This Row],[Échantillon]])*(Donnees[Engagement]&lt;Donnees[[#This Row],[Engagement]]))+(SUMPRODUCT((Donnees[Échantillon]=Donnees[[#This Row],[Échantillon]])*(Donnees[Engagement]=Donnees[[#This Row],[Engagement]]))+1)/2</f>
        <v>19</v>
      </c>
      <c r="AF42" s="43">
        <f>SUMPRODUCT((Donnees[Échantillon]=Donnees[[#This Row],[Échantillon]])*(Donnees[Vues]&lt;Donnees[[#This Row],[Vues]]))+(SUMPRODUCT((Donnees[Échantillon]=Donnees[[#This Row],[Échantillon]])*(Donnees[Vues]=Donnees[[#This Row],[Vues]]))+1)/2</f>
        <v>60</v>
      </c>
      <c r="AG42" s="43">
        <f>SUMPRODUCT((Donnees[Échantillon]=Donnees[[#This Row],[Échantillon]])*(Donnees[Durée (s)]&lt;Donnees[[#This Row],[Durée (s)]]))+(SUMPRODUCT((Donnees[Échantillon]=Donnees[[#This Row],[Échantillon]])*(Donnees[Durée (s)]=Donnees[[#This Row],[Durée (s)]]))+1)/2</f>
        <v>38</v>
      </c>
      <c r="AH42" s="43">
        <f>SUMPRODUCT((Donnees[Échantillon]=Donnees[[#This Row],[Échantillon]])*(Donnees[Nb hashtags]&lt;Donnees[[#This Row],[Nb hashtags]]))+(SUMPRODUCT((Donnees[Échantillon]=Donnees[[#This Row],[Échantillon]])*(Donnees[Nb hashtags]=Donnees[[#This Row],[Nb hashtags]]))+1)/2</f>
        <v>19</v>
      </c>
      <c r="AI42" s="43">
        <f>SUMPRODUCT((Donnees[Échantillon]=Donnees[[#This Row],[Échantillon]])*(Donnees[Longueur du texte]&lt;Donnees[[#This Row],[Longueur du texte]]))+(SUMPRODUCT((Donnees[Échantillon]=Donnees[[#This Row],[Échantillon]])*(Donnees[Longueur du texte]=Donnees[[#This Row],[Longueur du texte]]))+1)/2</f>
        <v>16</v>
      </c>
      <c r="AJ42" s="43" t="str">
        <f>IF(Donnees[[#This Row],[Abonnés]]="","",SUMPRODUCT((Donnees[Échantillon]=Donnees[[#This Row],[Échantillon]])*(Donnees[Abonnés]&lt;Donnees[[#This Row],[Abonnés]]))+(SUMPRODUCT((Donnees[Échantillon]=Donnees[[#This Row],[Échantillon]])*(Donnees[Abonnés]=Donnees[[#This Row],[Abonnés]]))+1)/2)</f>
        <v/>
      </c>
      <c r="AK4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43" spans="1:37" x14ac:dyDescent="0.2">
      <c r="A43" s="40" t="s">
        <v>37</v>
      </c>
      <c r="B43" s="40" t="s">
        <v>70</v>
      </c>
      <c r="C43" s="40" t="s">
        <v>39</v>
      </c>
      <c r="D43" s="40">
        <v>9</v>
      </c>
      <c r="E43" s="40" t="s">
        <v>56</v>
      </c>
      <c r="F43" s="40" t="str">
        <f>IF(OR(Donnees[[#This Row],[Jour]]="samedi",Donnees[[#This Row],[Jour]]="dimanche"),"Oui","Non")</f>
        <v>Oui</v>
      </c>
      <c r="G43" s="40">
        <v>19</v>
      </c>
      <c r="H43" s="40" t="str">
        <f>IF(Donnees[[#This Row],[Heure UTC]]&lt;6,"0-5 h",IF(Donnees[[#This Row],[Heure UTC]]&lt;12,"6-11 h",IF(Donnees[[#This Row],[Heure UTC]]&lt;18,"12-17 h","18-23 h")))</f>
        <v>18-23 h</v>
      </c>
      <c r="I43" s="40">
        <v>12</v>
      </c>
      <c r="J43" s="40" t="str">
        <f>IF(Donnees[[#This Row],[Durée (s)]]&lt;=10,"1. ≤ 10 s",IF(Donnees[[#This Row],[Durée (s)]]&lt;=15,"2. 11-15 s",IF(Donnees[[#This Row],[Durée (s)]]&lt;=30,"3. 16-30 s",IF(Donnees[[#This Row],[Durée (s)]]&lt;=60,"4. 31-60 s","5. &gt; 60 s"))))</f>
        <v>2. 11-15 s</v>
      </c>
      <c r="K43" s="40" t="str">
        <f>IF(Donnees[[#This Row],[Durée (s)]]&gt;15,"Oui","Non")</f>
        <v>Non</v>
      </c>
      <c r="L43" s="40">
        <v>0</v>
      </c>
      <c r="M43" s="40" t="s">
        <v>41</v>
      </c>
      <c r="N43" s="40">
        <v>0</v>
      </c>
      <c r="O43" s="40" t="s">
        <v>41</v>
      </c>
      <c r="P43" s="40" t="s">
        <v>44</v>
      </c>
      <c r="Q43" s="40" t="s">
        <v>41</v>
      </c>
      <c r="R43" s="40"/>
      <c r="S43" s="40"/>
      <c r="T43" s="41"/>
      <c r="U43" s="40" t="str">
        <f>IF(Donnees[[#This Row],[Abonnés]]="","",IF(Donnees[[#This Row],[Abonnés]]&lt;1000000,"1. &lt; 1 M",IF(Donnees[[#This Row],[Abonnés]]&lt;3000000,"2. 1-3 M",IF(Donnees[[#This Row],[Abonnés]]&lt;8000000,"3. 3-8 M","4. ≥ 8 M"))))</f>
        <v/>
      </c>
      <c r="V43" s="41"/>
      <c r="W43" s="41">
        <v>14300000</v>
      </c>
      <c r="X43" s="41">
        <v>2800000</v>
      </c>
      <c r="Y43" s="41">
        <v>23000</v>
      </c>
      <c r="Z43" s="41">
        <v>15600</v>
      </c>
      <c r="AA43" s="42">
        <f>(Donnees[[#This Row],[Likes]]+Donnees[[#This Row],[Commentaires]]+Donnees[[#This Row],[Partages]])/Donnees[[#This Row],[Vues]]</f>
        <v>0.1985034965034965</v>
      </c>
      <c r="AB43" s="40">
        <f>IF(Donnees[[#This Row],[Engagement]]&gt;=VLOOKUP(Donnees[[#This Row],[Échantillon]],'Méthode &amp; limites'!$B$9:$D$11,2,FALSE),1,0)</f>
        <v>1</v>
      </c>
      <c r="AC43" s="43" t="str">
        <f>IF(Donnees[[#This Row],[Abonnés]]="","",Donnees[[#This Row],[Vues]]/Donnees[[#This Row],[Abonnés]])</f>
        <v/>
      </c>
      <c r="AD43" s="40" t="s">
        <v>44</v>
      </c>
      <c r="AE43" s="43">
        <f>SUMPRODUCT((Donnees[Échantillon]=Donnees[[#This Row],[Échantillon]])*(Donnees[Engagement]&lt;Donnees[[#This Row],[Engagement]]))+(SUMPRODUCT((Donnees[Échantillon]=Donnees[[#This Row],[Échantillon]])*(Donnees[Engagement]=Donnees[[#This Row],[Engagement]]))+1)/2</f>
        <v>90</v>
      </c>
      <c r="AF43" s="43">
        <f>SUMPRODUCT((Donnees[Échantillon]=Donnees[[#This Row],[Échantillon]])*(Donnees[Vues]&lt;Donnees[[#This Row],[Vues]]))+(SUMPRODUCT((Donnees[Échantillon]=Donnees[[#This Row],[Échantillon]])*(Donnees[Vues]=Donnees[[#This Row],[Vues]]))+1)/2</f>
        <v>59</v>
      </c>
      <c r="AG43" s="43">
        <f>SUMPRODUCT((Donnees[Échantillon]=Donnees[[#This Row],[Échantillon]])*(Donnees[Durée (s)]&lt;Donnees[[#This Row],[Durée (s)]]))+(SUMPRODUCT((Donnees[Échantillon]=Donnees[[#This Row],[Échantillon]])*(Donnees[Durée (s)]=Donnees[[#This Row],[Durée (s)]]))+1)/2</f>
        <v>56</v>
      </c>
      <c r="AH43" s="43">
        <f>SUMPRODUCT((Donnees[Échantillon]=Donnees[[#This Row],[Échantillon]])*(Donnees[Nb hashtags]&lt;Donnees[[#This Row],[Nb hashtags]]))+(SUMPRODUCT((Donnees[Échantillon]=Donnees[[#This Row],[Échantillon]])*(Donnees[Nb hashtags]=Donnees[[#This Row],[Nb hashtags]]))+1)/2</f>
        <v>19</v>
      </c>
      <c r="AI43" s="43">
        <f>SUMPRODUCT((Donnees[Échantillon]=Donnees[[#This Row],[Échantillon]])*(Donnees[Longueur du texte]&lt;Donnees[[#This Row],[Longueur du texte]]))+(SUMPRODUCT((Donnees[Échantillon]=Donnees[[#This Row],[Échantillon]])*(Donnees[Longueur du texte]=Donnees[[#This Row],[Longueur du texte]]))+1)/2</f>
        <v>16</v>
      </c>
      <c r="AJ43" s="43" t="str">
        <f>IF(Donnees[[#This Row],[Abonnés]]="","",SUMPRODUCT((Donnees[Échantillon]=Donnees[[#This Row],[Échantillon]])*(Donnees[Abonnés]&lt;Donnees[[#This Row],[Abonnés]]))+(SUMPRODUCT((Donnees[Échantillon]=Donnees[[#This Row],[Échantillon]])*(Donnees[Abonnés]=Donnees[[#This Row],[Abonnés]]))+1)/2)</f>
        <v/>
      </c>
      <c r="AK4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44" spans="1:37" x14ac:dyDescent="0.2">
      <c r="A44" s="40" t="s">
        <v>37</v>
      </c>
      <c r="B44" s="40" t="s">
        <v>95</v>
      </c>
      <c r="C44" s="40" t="s">
        <v>39</v>
      </c>
      <c r="D44" s="40">
        <v>21</v>
      </c>
      <c r="E44" s="40" t="s">
        <v>40</v>
      </c>
      <c r="F44" s="40" t="str">
        <f>IF(OR(Donnees[[#This Row],[Jour]]="samedi",Donnees[[#This Row],[Jour]]="dimanche"),"Oui","Non")</f>
        <v>Non</v>
      </c>
      <c r="G44" s="40">
        <v>0</v>
      </c>
      <c r="H44" s="40" t="str">
        <f>IF(Donnees[[#This Row],[Heure UTC]]&lt;6,"0-5 h",IF(Donnees[[#This Row],[Heure UTC]]&lt;12,"6-11 h",IF(Donnees[[#This Row],[Heure UTC]]&lt;18,"12-17 h","18-23 h")))</f>
        <v>0-5 h</v>
      </c>
      <c r="I44" s="40">
        <v>12</v>
      </c>
      <c r="J44" s="40" t="str">
        <f>IF(Donnees[[#This Row],[Durée (s)]]&lt;=10,"1. ≤ 10 s",IF(Donnees[[#This Row],[Durée (s)]]&lt;=15,"2. 11-15 s",IF(Donnees[[#This Row],[Durée (s)]]&lt;=30,"3. 16-30 s",IF(Donnees[[#This Row],[Durée (s)]]&lt;=60,"4. 31-60 s","5. &gt; 60 s"))))</f>
        <v>2. 11-15 s</v>
      </c>
      <c r="K44" s="40" t="str">
        <f>IF(Donnees[[#This Row],[Durée (s)]]&gt;15,"Oui","Non")</f>
        <v>Non</v>
      </c>
      <c r="L44" s="40">
        <v>0</v>
      </c>
      <c r="M44" s="40" t="s">
        <v>41</v>
      </c>
      <c r="N44" s="40">
        <v>0</v>
      </c>
      <c r="O44" s="40" t="s">
        <v>44</v>
      </c>
      <c r="P44" s="40" t="s">
        <v>41</v>
      </c>
      <c r="Q44" s="40" t="s">
        <v>41</v>
      </c>
      <c r="R44" s="40"/>
      <c r="S44" s="40"/>
      <c r="T44" s="41"/>
      <c r="U44" s="40" t="str">
        <f>IF(Donnees[[#This Row],[Abonnés]]="","",IF(Donnees[[#This Row],[Abonnés]]&lt;1000000,"1. &lt; 1 M",IF(Donnees[[#This Row],[Abonnés]]&lt;3000000,"2. 1-3 M",IF(Donnees[[#This Row],[Abonnés]]&lt;8000000,"3. 3-8 M","4. ≥ 8 M"))))</f>
        <v/>
      </c>
      <c r="V44" s="41"/>
      <c r="W44" s="41">
        <v>14100000</v>
      </c>
      <c r="X44" s="41">
        <v>3300000</v>
      </c>
      <c r="Y44" s="41">
        <v>38800</v>
      </c>
      <c r="Z44" s="41">
        <v>17100</v>
      </c>
      <c r="AA44" s="42">
        <f>(Donnees[[#This Row],[Likes]]+Donnees[[#This Row],[Commentaires]]+Donnees[[#This Row],[Partages]])/Donnees[[#This Row],[Vues]]</f>
        <v>0.23800709219858157</v>
      </c>
      <c r="AB44" s="40">
        <f>IF(Donnees[[#This Row],[Engagement]]&gt;=VLOOKUP(Donnees[[#This Row],[Échantillon]],'Méthode &amp; limites'!$B$9:$D$11,2,FALSE),1,0)</f>
        <v>1</v>
      </c>
      <c r="AC44" s="43" t="str">
        <f>IF(Donnees[[#This Row],[Abonnés]]="","",Donnees[[#This Row],[Vues]]/Donnees[[#This Row],[Abonnés]])</f>
        <v/>
      </c>
      <c r="AD44" s="40" t="s">
        <v>44</v>
      </c>
      <c r="AE44" s="43">
        <f>SUMPRODUCT((Donnees[Échantillon]=Donnees[[#This Row],[Échantillon]])*(Donnees[Engagement]&lt;Donnees[[#This Row],[Engagement]]))+(SUMPRODUCT((Donnees[Échantillon]=Donnees[[#This Row],[Échantillon]])*(Donnees[Engagement]=Donnees[[#This Row],[Engagement]]))+1)/2</f>
        <v>95</v>
      </c>
      <c r="AF44" s="43">
        <f>SUMPRODUCT((Donnees[Échantillon]=Donnees[[#This Row],[Échantillon]])*(Donnees[Vues]&lt;Donnees[[#This Row],[Vues]]))+(SUMPRODUCT((Donnees[Échantillon]=Donnees[[#This Row],[Échantillon]])*(Donnees[Vues]=Donnees[[#This Row],[Vues]]))+1)/2</f>
        <v>57.5</v>
      </c>
      <c r="AG44" s="43">
        <f>SUMPRODUCT((Donnees[Échantillon]=Donnees[[#This Row],[Échantillon]])*(Donnees[Durée (s)]&lt;Donnees[[#This Row],[Durée (s)]]))+(SUMPRODUCT((Donnees[Échantillon]=Donnees[[#This Row],[Échantillon]])*(Donnees[Durée (s)]=Donnees[[#This Row],[Durée (s)]]))+1)/2</f>
        <v>56</v>
      </c>
      <c r="AH44" s="43">
        <f>SUMPRODUCT((Donnees[Échantillon]=Donnees[[#This Row],[Échantillon]])*(Donnees[Nb hashtags]&lt;Donnees[[#This Row],[Nb hashtags]]))+(SUMPRODUCT((Donnees[Échantillon]=Donnees[[#This Row],[Échantillon]])*(Donnees[Nb hashtags]=Donnees[[#This Row],[Nb hashtags]]))+1)/2</f>
        <v>19</v>
      </c>
      <c r="AI44" s="43">
        <f>SUMPRODUCT((Donnees[Échantillon]=Donnees[[#This Row],[Échantillon]])*(Donnees[Longueur du texte]&lt;Donnees[[#This Row],[Longueur du texte]]))+(SUMPRODUCT((Donnees[Échantillon]=Donnees[[#This Row],[Échantillon]])*(Donnees[Longueur du texte]=Donnees[[#This Row],[Longueur du texte]]))+1)/2</f>
        <v>16</v>
      </c>
      <c r="AJ44" s="43" t="str">
        <f>IF(Donnees[[#This Row],[Abonnés]]="","",SUMPRODUCT((Donnees[Échantillon]=Donnees[[#This Row],[Échantillon]])*(Donnees[Abonnés]&lt;Donnees[[#This Row],[Abonnés]]))+(SUMPRODUCT((Donnees[Échantillon]=Donnees[[#This Row],[Échantillon]])*(Donnees[Abonnés]=Donnees[[#This Row],[Abonnés]]))+1)/2)</f>
        <v/>
      </c>
      <c r="AK4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45" spans="1:37" x14ac:dyDescent="0.2">
      <c r="A45" s="40" t="s">
        <v>37</v>
      </c>
      <c r="B45" s="40" t="s">
        <v>96</v>
      </c>
      <c r="C45" s="40" t="s">
        <v>62</v>
      </c>
      <c r="D45" s="40">
        <v>5</v>
      </c>
      <c r="E45" s="40" t="s">
        <v>47</v>
      </c>
      <c r="F45" s="40" t="str">
        <f>IF(OR(Donnees[[#This Row],[Jour]]="samedi",Donnees[[#This Row],[Jour]]="dimanche"),"Oui","Non")</f>
        <v>Non</v>
      </c>
      <c r="G45" s="40">
        <v>20</v>
      </c>
      <c r="H45" s="40" t="str">
        <f>IF(Donnees[[#This Row],[Heure UTC]]&lt;6,"0-5 h",IF(Donnees[[#This Row],[Heure UTC]]&lt;12,"6-11 h",IF(Donnees[[#This Row],[Heure UTC]]&lt;18,"12-17 h","18-23 h")))</f>
        <v>18-23 h</v>
      </c>
      <c r="I45" s="40">
        <v>12</v>
      </c>
      <c r="J45" s="40" t="str">
        <f>IF(Donnees[[#This Row],[Durée (s)]]&lt;=10,"1. ≤ 10 s",IF(Donnees[[#This Row],[Durée (s)]]&lt;=15,"2. 11-15 s",IF(Donnees[[#This Row],[Durée (s)]]&lt;=30,"3. 16-30 s",IF(Donnees[[#This Row],[Durée (s)]]&lt;=60,"4. 31-60 s","5. &gt; 60 s"))))</f>
        <v>2. 11-15 s</v>
      </c>
      <c r="K45" s="40" t="str">
        <f>IF(Donnees[[#This Row],[Durée (s)]]&gt;15,"Oui","Non")</f>
        <v>Non</v>
      </c>
      <c r="L45" s="40">
        <v>7</v>
      </c>
      <c r="M45" s="40" t="s">
        <v>44</v>
      </c>
      <c r="N45" s="40">
        <v>41</v>
      </c>
      <c r="O45" s="40" t="s">
        <v>41</v>
      </c>
      <c r="P45" s="40" t="s">
        <v>41</v>
      </c>
      <c r="Q45" s="40" t="s">
        <v>41</v>
      </c>
      <c r="R45" s="40"/>
      <c r="S45" s="40"/>
      <c r="T45" s="41"/>
      <c r="U45" s="40" t="str">
        <f>IF(Donnees[[#This Row],[Abonnés]]="","",IF(Donnees[[#This Row],[Abonnés]]&lt;1000000,"1. &lt; 1 M",IF(Donnees[[#This Row],[Abonnés]]&lt;3000000,"2. 1-3 M",IF(Donnees[[#This Row],[Abonnés]]&lt;8000000,"3. 3-8 M","4. ≥ 8 M"))))</f>
        <v/>
      </c>
      <c r="V45" s="41"/>
      <c r="W45" s="41">
        <v>14100000</v>
      </c>
      <c r="X45" s="41">
        <v>951000</v>
      </c>
      <c r="Y45" s="41">
        <v>3828</v>
      </c>
      <c r="Z45" s="41">
        <v>6113</v>
      </c>
      <c r="AA45" s="42">
        <f>(Donnees[[#This Row],[Likes]]+Donnees[[#This Row],[Commentaires]]+Donnees[[#This Row],[Partages]])/Donnees[[#This Row],[Vues]]</f>
        <v>6.815184397163121E-2</v>
      </c>
      <c r="AB45" s="40">
        <f>IF(Donnees[[#This Row],[Engagement]]&gt;=VLOOKUP(Donnees[[#This Row],[Échantillon]],'Méthode &amp; limites'!$B$9:$D$11,2,FALSE),1,0)</f>
        <v>0</v>
      </c>
      <c r="AC45" s="43" t="str">
        <f>IF(Donnees[[#This Row],[Abonnés]]="","",Donnees[[#This Row],[Vues]]/Donnees[[#This Row],[Abonnés]])</f>
        <v/>
      </c>
      <c r="AD45" s="40" t="s">
        <v>44</v>
      </c>
      <c r="AE45" s="43">
        <f>SUMPRODUCT((Donnees[Échantillon]=Donnees[[#This Row],[Échantillon]])*(Donnees[Engagement]&lt;Donnees[[#This Row],[Engagement]]))+(SUMPRODUCT((Donnees[Échantillon]=Donnees[[#This Row],[Échantillon]])*(Donnees[Engagement]=Donnees[[#This Row],[Engagement]]))+1)/2</f>
        <v>21</v>
      </c>
      <c r="AF45" s="43">
        <f>SUMPRODUCT((Donnees[Échantillon]=Donnees[[#This Row],[Échantillon]])*(Donnees[Vues]&lt;Donnees[[#This Row],[Vues]]))+(SUMPRODUCT((Donnees[Échantillon]=Donnees[[#This Row],[Échantillon]])*(Donnees[Vues]=Donnees[[#This Row],[Vues]]))+1)/2</f>
        <v>57.5</v>
      </c>
      <c r="AG45" s="43">
        <f>SUMPRODUCT((Donnees[Échantillon]=Donnees[[#This Row],[Échantillon]])*(Donnees[Durée (s)]&lt;Donnees[[#This Row],[Durée (s)]]))+(SUMPRODUCT((Donnees[Échantillon]=Donnees[[#This Row],[Échantillon]])*(Donnees[Durée (s)]=Donnees[[#This Row],[Durée (s)]]))+1)/2</f>
        <v>56</v>
      </c>
      <c r="AH45" s="43">
        <f>SUMPRODUCT((Donnees[Échantillon]=Donnees[[#This Row],[Échantillon]])*(Donnees[Nb hashtags]&lt;Donnees[[#This Row],[Nb hashtags]]))+(SUMPRODUCT((Donnees[Échantillon]=Donnees[[#This Row],[Échantillon]])*(Donnees[Nb hashtags]=Donnees[[#This Row],[Nb hashtags]]))+1)/2</f>
        <v>80</v>
      </c>
      <c r="AI45" s="43">
        <f>SUMPRODUCT((Donnees[Échantillon]=Donnees[[#This Row],[Échantillon]])*(Donnees[Longueur du texte]&lt;Donnees[[#This Row],[Longueur du texte]]))+(SUMPRODUCT((Donnees[Échantillon]=Donnees[[#This Row],[Échantillon]])*(Donnees[Longueur du texte]=Donnees[[#This Row],[Longueur du texte]]))+1)/2</f>
        <v>86</v>
      </c>
      <c r="AJ45" s="43" t="str">
        <f>IF(Donnees[[#This Row],[Abonnés]]="","",SUMPRODUCT((Donnees[Échantillon]=Donnees[[#This Row],[Échantillon]])*(Donnees[Abonnés]&lt;Donnees[[#This Row],[Abonnés]]))+(SUMPRODUCT((Donnees[Échantillon]=Donnees[[#This Row],[Échantillon]])*(Donnees[Abonnés]=Donnees[[#This Row],[Abonnés]]))+1)/2)</f>
        <v/>
      </c>
      <c r="AK4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46" spans="1:37" x14ac:dyDescent="0.2">
      <c r="A46" s="40" t="s">
        <v>37</v>
      </c>
      <c r="B46" s="40" t="s">
        <v>97</v>
      </c>
      <c r="C46" s="40" t="s">
        <v>39</v>
      </c>
      <c r="D46" s="40">
        <v>51</v>
      </c>
      <c r="E46" s="40" t="s">
        <v>56</v>
      </c>
      <c r="F46" s="40" t="str">
        <f>IF(OR(Donnees[[#This Row],[Jour]]="samedi",Donnees[[#This Row],[Jour]]="dimanche"),"Oui","Non")</f>
        <v>Oui</v>
      </c>
      <c r="G46" s="40">
        <v>12</v>
      </c>
      <c r="H46" s="40" t="str">
        <f>IF(Donnees[[#This Row],[Heure UTC]]&lt;6,"0-5 h",IF(Donnees[[#This Row],[Heure UTC]]&lt;12,"6-11 h",IF(Donnees[[#This Row],[Heure UTC]]&lt;18,"12-17 h","18-23 h")))</f>
        <v>12-17 h</v>
      </c>
      <c r="I46" s="40">
        <v>38</v>
      </c>
      <c r="J46" s="40" t="str">
        <f>IF(Donnees[[#This Row],[Durée (s)]]&lt;=10,"1. ≤ 10 s",IF(Donnees[[#This Row],[Durée (s)]]&lt;=15,"2. 11-15 s",IF(Donnees[[#This Row],[Durée (s)]]&lt;=30,"3. 16-30 s",IF(Donnees[[#This Row],[Durée (s)]]&lt;=60,"4. 31-60 s","5. &gt; 60 s"))))</f>
        <v>4. 31-60 s</v>
      </c>
      <c r="K46" s="40" t="str">
        <f>IF(Donnees[[#This Row],[Durée (s)]]&gt;15,"Oui","Non")</f>
        <v>Oui</v>
      </c>
      <c r="L46" s="40">
        <v>0</v>
      </c>
      <c r="M46" s="40" t="s">
        <v>41</v>
      </c>
      <c r="N46" s="40">
        <v>0</v>
      </c>
      <c r="O46" s="40" t="s">
        <v>44</v>
      </c>
      <c r="P46" s="40" t="s">
        <v>41</v>
      </c>
      <c r="Q46" s="40" t="s">
        <v>41</v>
      </c>
      <c r="R46" s="40"/>
      <c r="S46" s="40"/>
      <c r="T46" s="41"/>
      <c r="U46" s="40" t="str">
        <f>IF(Donnees[[#This Row],[Abonnés]]="","",IF(Donnees[[#This Row],[Abonnés]]&lt;1000000,"1. &lt; 1 M",IF(Donnees[[#This Row],[Abonnés]]&lt;3000000,"2. 1-3 M",IF(Donnees[[#This Row],[Abonnés]]&lt;8000000,"3. 3-8 M","4. ≥ 8 M"))))</f>
        <v/>
      </c>
      <c r="V46" s="41"/>
      <c r="W46" s="41">
        <v>13700000</v>
      </c>
      <c r="X46" s="41">
        <v>1500000</v>
      </c>
      <c r="Y46" s="41">
        <v>30200</v>
      </c>
      <c r="Z46" s="41">
        <v>222600</v>
      </c>
      <c r="AA46" s="42">
        <f>(Donnees[[#This Row],[Likes]]+Donnees[[#This Row],[Commentaires]]+Donnees[[#This Row],[Partages]])/Donnees[[#This Row],[Vues]]</f>
        <v>0.12794160583941605</v>
      </c>
      <c r="AB46" s="40">
        <f>IF(Donnees[[#This Row],[Engagement]]&gt;=VLOOKUP(Donnees[[#This Row],[Échantillon]],'Méthode &amp; limites'!$B$9:$D$11,2,FALSE),1,0)</f>
        <v>0</v>
      </c>
      <c r="AC46" s="43" t="str">
        <f>IF(Donnees[[#This Row],[Abonnés]]="","",Donnees[[#This Row],[Vues]]/Donnees[[#This Row],[Abonnés]])</f>
        <v/>
      </c>
      <c r="AD46" s="40" t="s">
        <v>44</v>
      </c>
      <c r="AE46" s="43">
        <f>SUMPRODUCT((Donnees[Échantillon]=Donnees[[#This Row],[Échantillon]])*(Donnees[Engagement]&lt;Donnees[[#This Row],[Engagement]]))+(SUMPRODUCT((Donnees[Échantillon]=Donnees[[#This Row],[Échantillon]])*(Donnees[Engagement]=Donnees[[#This Row],[Engagement]]))+1)/2</f>
        <v>66</v>
      </c>
      <c r="AF46" s="43">
        <f>SUMPRODUCT((Donnees[Échantillon]=Donnees[[#This Row],[Échantillon]])*(Donnees[Vues]&lt;Donnees[[#This Row],[Vues]]))+(SUMPRODUCT((Donnees[Échantillon]=Donnees[[#This Row],[Échantillon]])*(Donnees[Vues]=Donnees[[#This Row],[Vues]]))+1)/2</f>
        <v>56</v>
      </c>
      <c r="AG46" s="43">
        <f>SUMPRODUCT((Donnees[Échantillon]=Donnees[[#This Row],[Échantillon]])*(Donnees[Durée (s)]&lt;Donnees[[#This Row],[Durée (s)]]))+(SUMPRODUCT((Donnees[Échantillon]=Donnees[[#This Row],[Échantillon]])*(Donnees[Durée (s)]=Donnees[[#This Row],[Durée (s)]]))+1)/2</f>
        <v>93</v>
      </c>
      <c r="AH46" s="43">
        <f>SUMPRODUCT((Donnees[Échantillon]=Donnees[[#This Row],[Échantillon]])*(Donnees[Nb hashtags]&lt;Donnees[[#This Row],[Nb hashtags]]))+(SUMPRODUCT((Donnees[Échantillon]=Donnees[[#This Row],[Échantillon]])*(Donnees[Nb hashtags]=Donnees[[#This Row],[Nb hashtags]]))+1)/2</f>
        <v>19</v>
      </c>
      <c r="AI46" s="43">
        <f>SUMPRODUCT((Donnees[Échantillon]=Donnees[[#This Row],[Échantillon]])*(Donnees[Longueur du texte]&lt;Donnees[[#This Row],[Longueur du texte]]))+(SUMPRODUCT((Donnees[Échantillon]=Donnees[[#This Row],[Échantillon]])*(Donnees[Longueur du texte]=Donnees[[#This Row],[Longueur du texte]]))+1)/2</f>
        <v>16</v>
      </c>
      <c r="AJ46" s="43" t="str">
        <f>IF(Donnees[[#This Row],[Abonnés]]="","",SUMPRODUCT((Donnees[Échantillon]=Donnees[[#This Row],[Échantillon]])*(Donnees[Abonnés]&lt;Donnees[[#This Row],[Abonnés]]))+(SUMPRODUCT((Donnees[Échantillon]=Donnees[[#This Row],[Échantillon]])*(Donnees[Abonnés]=Donnees[[#This Row],[Abonnés]]))+1)/2)</f>
        <v/>
      </c>
      <c r="AK4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47" spans="1:37" x14ac:dyDescent="0.2">
      <c r="A47" s="40" t="s">
        <v>37</v>
      </c>
      <c r="B47" s="40" t="s">
        <v>98</v>
      </c>
      <c r="C47" s="40" t="s">
        <v>67</v>
      </c>
      <c r="D47" s="40">
        <v>27</v>
      </c>
      <c r="E47" s="40" t="s">
        <v>59</v>
      </c>
      <c r="F47" s="40" t="str">
        <f>IF(OR(Donnees[[#This Row],[Jour]]="samedi",Donnees[[#This Row],[Jour]]="dimanche"),"Oui","Non")</f>
        <v>Non</v>
      </c>
      <c r="G47" s="40">
        <v>17</v>
      </c>
      <c r="H47" s="40" t="str">
        <f>IF(Donnees[[#This Row],[Heure UTC]]&lt;6,"0-5 h",IF(Donnees[[#This Row],[Heure UTC]]&lt;12,"6-11 h",IF(Donnees[[#This Row],[Heure UTC]]&lt;18,"12-17 h","18-23 h")))</f>
        <v>12-17 h</v>
      </c>
      <c r="I47" s="40">
        <v>8</v>
      </c>
      <c r="J47" s="40" t="str">
        <f>IF(Donnees[[#This Row],[Durée (s)]]&lt;=10,"1. ≤ 10 s",IF(Donnees[[#This Row],[Durée (s)]]&lt;=15,"2. 11-15 s",IF(Donnees[[#This Row],[Durée (s)]]&lt;=30,"3. 16-30 s",IF(Donnees[[#This Row],[Durée (s)]]&lt;=60,"4. 31-60 s","5. &gt; 60 s"))))</f>
        <v>1. ≤ 10 s</v>
      </c>
      <c r="K47" s="40" t="str">
        <f>IF(Donnees[[#This Row],[Durée (s)]]&gt;15,"Oui","Non")</f>
        <v>Non</v>
      </c>
      <c r="L47" s="40">
        <v>4</v>
      </c>
      <c r="M47" s="40" t="s">
        <v>41</v>
      </c>
      <c r="N47" s="40">
        <v>65</v>
      </c>
      <c r="O47" s="40" t="s">
        <v>41</v>
      </c>
      <c r="P47" s="40" t="s">
        <v>41</v>
      </c>
      <c r="Q47" s="40" t="s">
        <v>44</v>
      </c>
      <c r="R47" s="40"/>
      <c r="S47" s="40"/>
      <c r="T47" s="41"/>
      <c r="U47" s="40" t="str">
        <f>IF(Donnees[[#This Row],[Abonnés]]="","",IF(Donnees[[#This Row],[Abonnés]]&lt;1000000,"1. &lt; 1 M",IF(Donnees[[#This Row],[Abonnés]]&lt;3000000,"2. 1-3 M",IF(Donnees[[#This Row],[Abonnés]]&lt;8000000,"3. 3-8 M","4. ≥ 8 M"))))</f>
        <v/>
      </c>
      <c r="V47" s="41"/>
      <c r="W47" s="41">
        <v>13200000</v>
      </c>
      <c r="X47" s="41">
        <v>2200000</v>
      </c>
      <c r="Y47" s="41">
        <v>28100</v>
      </c>
      <c r="Z47" s="41">
        <v>140200</v>
      </c>
      <c r="AA47" s="42">
        <f>(Donnees[[#This Row],[Likes]]+Donnees[[#This Row],[Commentaires]]+Donnees[[#This Row],[Partages]])/Donnees[[#This Row],[Vues]]</f>
        <v>0.17941666666666667</v>
      </c>
      <c r="AB47" s="40">
        <f>IF(Donnees[[#This Row],[Engagement]]&gt;=VLOOKUP(Donnees[[#This Row],[Échantillon]],'Méthode &amp; limites'!$B$9:$D$11,2,FALSE),1,0)</f>
        <v>1</v>
      </c>
      <c r="AC47" s="43" t="str">
        <f>IF(Donnees[[#This Row],[Abonnés]]="","",Donnees[[#This Row],[Vues]]/Donnees[[#This Row],[Abonnés]])</f>
        <v/>
      </c>
      <c r="AD47" s="40" t="s">
        <v>44</v>
      </c>
      <c r="AE47" s="43">
        <f>SUMPRODUCT((Donnees[Échantillon]=Donnees[[#This Row],[Échantillon]])*(Donnees[Engagement]&lt;Donnees[[#This Row],[Engagement]]))+(SUMPRODUCT((Donnees[Échantillon]=Donnees[[#This Row],[Échantillon]])*(Donnees[Engagement]=Donnees[[#This Row],[Engagement]]))+1)/2</f>
        <v>86</v>
      </c>
      <c r="AF47" s="43">
        <f>SUMPRODUCT((Donnees[Échantillon]=Donnees[[#This Row],[Échantillon]])*(Donnees[Vues]&lt;Donnees[[#This Row],[Vues]]))+(SUMPRODUCT((Donnees[Échantillon]=Donnees[[#This Row],[Échantillon]])*(Donnees[Vues]=Donnees[[#This Row],[Vues]]))+1)/2</f>
        <v>55</v>
      </c>
      <c r="AG47" s="43">
        <f>SUMPRODUCT((Donnees[Échantillon]=Donnees[[#This Row],[Échantillon]])*(Donnees[Durée (s)]&lt;Donnees[[#This Row],[Durée (s)]]))+(SUMPRODUCT((Donnees[Échantillon]=Donnees[[#This Row],[Échantillon]])*(Donnees[Durée (s)]=Donnees[[#This Row],[Durée (s)]]))+1)/2</f>
        <v>14</v>
      </c>
      <c r="AH47" s="43">
        <f>SUMPRODUCT((Donnees[Échantillon]=Donnees[[#This Row],[Échantillon]])*(Donnees[Nb hashtags]&lt;Donnees[[#This Row],[Nb hashtags]]))+(SUMPRODUCT((Donnees[Échantillon]=Donnees[[#This Row],[Échantillon]])*(Donnees[Nb hashtags]=Donnees[[#This Row],[Nb hashtags]]))+1)/2</f>
        <v>62</v>
      </c>
      <c r="AI47" s="43">
        <f>SUMPRODUCT((Donnees[Échantillon]=Donnees[[#This Row],[Échantillon]])*(Donnees[Longueur du texte]&lt;Donnees[[#This Row],[Longueur du texte]]))+(SUMPRODUCT((Donnees[Échantillon]=Donnees[[#This Row],[Échantillon]])*(Donnees[Longueur du texte]=Donnees[[#This Row],[Longueur du texte]]))+1)/2</f>
        <v>98</v>
      </c>
      <c r="AJ47" s="43" t="str">
        <f>IF(Donnees[[#This Row],[Abonnés]]="","",SUMPRODUCT((Donnees[Échantillon]=Donnees[[#This Row],[Échantillon]])*(Donnees[Abonnés]&lt;Donnees[[#This Row],[Abonnés]]))+(SUMPRODUCT((Donnees[Échantillon]=Donnees[[#This Row],[Échantillon]])*(Donnees[Abonnés]=Donnees[[#This Row],[Abonnés]]))+1)/2)</f>
        <v/>
      </c>
      <c r="AK4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48" spans="1:37" x14ac:dyDescent="0.2">
      <c r="A48" s="40" t="s">
        <v>37</v>
      </c>
      <c r="B48" s="40" t="s">
        <v>99</v>
      </c>
      <c r="C48" s="40" t="s">
        <v>62</v>
      </c>
      <c r="D48" s="40">
        <v>10</v>
      </c>
      <c r="E48" s="40" t="s">
        <v>75</v>
      </c>
      <c r="F48" s="40" t="str">
        <f>IF(OR(Donnees[[#This Row],[Jour]]="samedi",Donnees[[#This Row],[Jour]]="dimanche"),"Oui","Non")</f>
        <v>Oui</v>
      </c>
      <c r="G48" s="40">
        <v>5</v>
      </c>
      <c r="H48" s="40" t="str">
        <f>IF(Donnees[[#This Row],[Heure UTC]]&lt;6,"0-5 h",IF(Donnees[[#This Row],[Heure UTC]]&lt;12,"6-11 h",IF(Donnees[[#This Row],[Heure UTC]]&lt;18,"12-17 h","18-23 h")))</f>
        <v>0-5 h</v>
      </c>
      <c r="I48" s="40">
        <v>12</v>
      </c>
      <c r="J48" s="40" t="str">
        <f>IF(Donnees[[#This Row],[Durée (s)]]&lt;=10,"1. ≤ 10 s",IF(Donnees[[#This Row],[Durée (s)]]&lt;=15,"2. 11-15 s",IF(Donnees[[#This Row],[Durée (s)]]&lt;=30,"3. 16-30 s",IF(Donnees[[#This Row],[Durée (s)]]&lt;=60,"4. 31-60 s","5. &gt; 60 s"))))</f>
        <v>2. 11-15 s</v>
      </c>
      <c r="K48" s="40" t="str">
        <f>IF(Donnees[[#This Row],[Durée (s)]]&gt;15,"Oui","Non")</f>
        <v>Non</v>
      </c>
      <c r="L48" s="40">
        <v>10</v>
      </c>
      <c r="M48" s="40" t="s">
        <v>44</v>
      </c>
      <c r="N48" s="40">
        <v>19</v>
      </c>
      <c r="O48" s="40" t="s">
        <v>41</v>
      </c>
      <c r="P48" s="40" t="s">
        <v>41</v>
      </c>
      <c r="Q48" s="40" t="s">
        <v>41</v>
      </c>
      <c r="R48" s="40"/>
      <c r="S48" s="40"/>
      <c r="T48" s="41"/>
      <c r="U48" s="40" t="str">
        <f>IF(Donnees[[#This Row],[Abonnés]]="","",IF(Donnees[[#This Row],[Abonnés]]&lt;1000000,"1. &lt; 1 M",IF(Donnees[[#This Row],[Abonnés]]&lt;3000000,"2. 1-3 M",IF(Donnees[[#This Row],[Abonnés]]&lt;8000000,"3. 3-8 M","4. ≥ 8 M"))))</f>
        <v/>
      </c>
      <c r="V48" s="41"/>
      <c r="W48" s="41">
        <v>13100000</v>
      </c>
      <c r="X48" s="41">
        <v>1200000</v>
      </c>
      <c r="Y48" s="41">
        <v>27200</v>
      </c>
      <c r="Z48" s="41">
        <v>91000</v>
      </c>
      <c r="AA48" s="42">
        <f>(Donnees[[#This Row],[Likes]]+Donnees[[#This Row],[Commentaires]]+Donnees[[#This Row],[Partages]])/Donnees[[#This Row],[Vues]]</f>
        <v>0.10062595419847328</v>
      </c>
      <c r="AB48" s="40">
        <f>IF(Donnees[[#This Row],[Engagement]]&gt;=VLOOKUP(Donnees[[#This Row],[Échantillon]],'Méthode &amp; limites'!$B$9:$D$11,2,FALSE),1,0)</f>
        <v>0</v>
      </c>
      <c r="AC48" s="43" t="str">
        <f>IF(Donnees[[#This Row],[Abonnés]]="","",Donnees[[#This Row],[Vues]]/Donnees[[#This Row],[Abonnés]])</f>
        <v/>
      </c>
      <c r="AD48" s="40" t="s">
        <v>44</v>
      </c>
      <c r="AE48" s="43">
        <f>SUMPRODUCT((Donnees[Échantillon]=Donnees[[#This Row],[Échantillon]])*(Donnees[Engagement]&lt;Donnees[[#This Row],[Engagement]]))+(SUMPRODUCT((Donnees[Échantillon]=Donnees[[#This Row],[Échantillon]])*(Donnees[Engagement]=Donnees[[#This Row],[Engagement]]))+1)/2</f>
        <v>46</v>
      </c>
      <c r="AF48" s="43">
        <f>SUMPRODUCT((Donnees[Échantillon]=Donnees[[#This Row],[Échantillon]])*(Donnees[Vues]&lt;Donnees[[#This Row],[Vues]]))+(SUMPRODUCT((Donnees[Échantillon]=Donnees[[#This Row],[Échantillon]])*(Donnees[Vues]=Donnees[[#This Row],[Vues]]))+1)/2</f>
        <v>54</v>
      </c>
      <c r="AG48" s="43">
        <f>SUMPRODUCT((Donnees[Échantillon]=Donnees[[#This Row],[Échantillon]])*(Donnees[Durée (s)]&lt;Donnees[[#This Row],[Durée (s)]]))+(SUMPRODUCT((Donnees[Échantillon]=Donnees[[#This Row],[Échantillon]])*(Donnees[Durée (s)]=Donnees[[#This Row],[Durée (s)]]))+1)/2</f>
        <v>56</v>
      </c>
      <c r="AH48" s="43">
        <f>SUMPRODUCT((Donnees[Échantillon]=Donnees[[#This Row],[Échantillon]])*(Donnees[Nb hashtags]&lt;Donnees[[#This Row],[Nb hashtags]]))+(SUMPRODUCT((Donnees[Échantillon]=Donnees[[#This Row],[Échantillon]])*(Donnees[Nb hashtags]=Donnees[[#This Row],[Nb hashtags]]))+1)/2</f>
        <v>93.5</v>
      </c>
      <c r="AI48" s="43">
        <f>SUMPRODUCT((Donnees[Échantillon]=Donnees[[#This Row],[Échantillon]])*(Donnees[Longueur du texte]&lt;Donnees[[#This Row],[Longueur du texte]]))+(SUMPRODUCT((Donnees[Échantillon]=Donnees[[#This Row],[Échantillon]])*(Donnees[Longueur du texte]=Donnees[[#This Row],[Longueur du texte]]))+1)/2</f>
        <v>56.5</v>
      </c>
      <c r="AJ48" s="43" t="str">
        <f>IF(Donnees[[#This Row],[Abonnés]]="","",SUMPRODUCT((Donnees[Échantillon]=Donnees[[#This Row],[Échantillon]])*(Donnees[Abonnés]&lt;Donnees[[#This Row],[Abonnés]]))+(SUMPRODUCT((Donnees[Échantillon]=Donnees[[#This Row],[Échantillon]])*(Donnees[Abonnés]=Donnees[[#This Row],[Abonnés]]))+1)/2)</f>
        <v/>
      </c>
      <c r="AK4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49" spans="1:37" x14ac:dyDescent="0.2">
      <c r="A49" s="40" t="s">
        <v>37</v>
      </c>
      <c r="B49" s="40" t="s">
        <v>100</v>
      </c>
      <c r="C49" s="40" t="s">
        <v>67</v>
      </c>
      <c r="D49" s="40">
        <v>5</v>
      </c>
      <c r="E49" s="40" t="s">
        <v>47</v>
      </c>
      <c r="F49" s="40" t="str">
        <f>IF(OR(Donnees[[#This Row],[Jour]]="samedi",Donnees[[#This Row],[Jour]]="dimanche"),"Oui","Non")</f>
        <v>Non</v>
      </c>
      <c r="G49" s="40">
        <v>18</v>
      </c>
      <c r="H49" s="40" t="str">
        <f>IF(Donnees[[#This Row],[Heure UTC]]&lt;6,"0-5 h",IF(Donnees[[#This Row],[Heure UTC]]&lt;12,"6-11 h",IF(Donnees[[#This Row],[Heure UTC]]&lt;18,"12-17 h","18-23 h")))</f>
        <v>18-23 h</v>
      </c>
      <c r="I49" s="40">
        <v>9</v>
      </c>
      <c r="J49" s="40" t="str">
        <f>IF(Donnees[[#This Row],[Durée (s)]]&lt;=10,"1. ≤ 10 s",IF(Donnees[[#This Row],[Durée (s)]]&lt;=15,"2. 11-15 s",IF(Donnees[[#This Row],[Durée (s)]]&lt;=30,"3. 16-30 s",IF(Donnees[[#This Row],[Durée (s)]]&lt;=60,"4. 31-60 s","5. &gt; 60 s"))))</f>
        <v>1. ≤ 10 s</v>
      </c>
      <c r="K49" s="40" t="str">
        <f>IF(Donnees[[#This Row],[Durée (s)]]&gt;15,"Oui","Non")</f>
        <v>Non</v>
      </c>
      <c r="L49" s="40">
        <v>8</v>
      </c>
      <c r="M49" s="40" t="s">
        <v>41</v>
      </c>
      <c r="N49" s="40">
        <v>3</v>
      </c>
      <c r="O49" s="40" t="s">
        <v>41</v>
      </c>
      <c r="P49" s="40" t="s">
        <v>41</v>
      </c>
      <c r="Q49" s="40" t="s">
        <v>41</v>
      </c>
      <c r="R49" s="40"/>
      <c r="S49" s="40"/>
      <c r="T49" s="41"/>
      <c r="U49" s="40" t="str">
        <f>IF(Donnees[[#This Row],[Abonnés]]="","",IF(Donnees[[#This Row],[Abonnés]]&lt;1000000,"1. &lt; 1 M",IF(Donnees[[#This Row],[Abonnés]]&lt;3000000,"2. 1-3 M",IF(Donnees[[#This Row],[Abonnés]]&lt;8000000,"3. 3-8 M","4. ≥ 8 M"))))</f>
        <v/>
      </c>
      <c r="V49" s="41"/>
      <c r="W49" s="41">
        <v>11400000</v>
      </c>
      <c r="X49" s="41">
        <v>2100000</v>
      </c>
      <c r="Y49" s="41">
        <v>25000</v>
      </c>
      <c r="Z49" s="41">
        <v>110300</v>
      </c>
      <c r="AA49" s="42">
        <f>(Donnees[[#This Row],[Likes]]+Donnees[[#This Row],[Commentaires]]+Donnees[[#This Row],[Partages]])/Donnees[[#This Row],[Vues]]</f>
        <v>0.19607894736842105</v>
      </c>
      <c r="AB49" s="40">
        <f>IF(Donnees[[#This Row],[Engagement]]&gt;=VLOOKUP(Donnees[[#This Row],[Échantillon]],'Méthode &amp; limites'!$B$9:$D$11,2,FALSE),1,0)</f>
        <v>1</v>
      </c>
      <c r="AC49" s="43" t="str">
        <f>IF(Donnees[[#This Row],[Abonnés]]="","",Donnees[[#This Row],[Vues]]/Donnees[[#This Row],[Abonnés]])</f>
        <v/>
      </c>
      <c r="AD49" s="40" t="s">
        <v>44</v>
      </c>
      <c r="AE49" s="43">
        <f>SUMPRODUCT((Donnees[Échantillon]=Donnees[[#This Row],[Échantillon]])*(Donnees[Engagement]&lt;Donnees[[#This Row],[Engagement]]))+(SUMPRODUCT((Donnees[Échantillon]=Donnees[[#This Row],[Échantillon]])*(Donnees[Engagement]=Donnees[[#This Row],[Engagement]]))+1)/2</f>
        <v>89</v>
      </c>
      <c r="AF49" s="43">
        <f>SUMPRODUCT((Donnees[Échantillon]=Donnees[[#This Row],[Échantillon]])*(Donnees[Vues]&lt;Donnees[[#This Row],[Vues]]))+(SUMPRODUCT((Donnees[Échantillon]=Donnees[[#This Row],[Échantillon]])*(Donnees[Vues]=Donnees[[#This Row],[Vues]]))+1)/2</f>
        <v>53</v>
      </c>
      <c r="AG49" s="43">
        <f>SUMPRODUCT((Donnees[Échantillon]=Donnees[[#This Row],[Échantillon]])*(Donnees[Durée (s)]&lt;Donnees[[#This Row],[Durée (s)]]))+(SUMPRODUCT((Donnees[Échantillon]=Donnees[[#This Row],[Échantillon]])*(Donnees[Durée (s)]=Donnees[[#This Row],[Durée (s)]]))+1)/2</f>
        <v>28</v>
      </c>
      <c r="AH49" s="43">
        <f>SUMPRODUCT((Donnees[Échantillon]=Donnees[[#This Row],[Échantillon]])*(Donnees[Nb hashtags]&lt;Donnees[[#This Row],[Nb hashtags]]))+(SUMPRODUCT((Donnees[Échantillon]=Donnees[[#This Row],[Échantillon]])*(Donnees[Nb hashtags]=Donnees[[#This Row],[Nb hashtags]]))+1)/2</f>
        <v>86</v>
      </c>
      <c r="AI49" s="43">
        <f>SUMPRODUCT((Donnees[Échantillon]=Donnees[[#This Row],[Échantillon]])*(Donnees[Longueur du texte]&lt;Donnees[[#This Row],[Longueur du texte]]))+(SUMPRODUCT((Donnees[Échantillon]=Donnees[[#This Row],[Échantillon]])*(Donnees[Longueur du texte]=Donnees[[#This Row],[Longueur du texte]]))+1)/2</f>
        <v>36.5</v>
      </c>
      <c r="AJ49" s="43" t="str">
        <f>IF(Donnees[[#This Row],[Abonnés]]="","",SUMPRODUCT((Donnees[Échantillon]=Donnees[[#This Row],[Échantillon]])*(Donnees[Abonnés]&lt;Donnees[[#This Row],[Abonnés]]))+(SUMPRODUCT((Donnees[Échantillon]=Donnees[[#This Row],[Échantillon]])*(Donnees[Abonnés]=Donnees[[#This Row],[Abonnés]]))+1)/2)</f>
        <v/>
      </c>
      <c r="AK4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50" spans="1:37" x14ac:dyDescent="0.2">
      <c r="A50" s="40" t="s">
        <v>37</v>
      </c>
      <c r="B50" s="40" t="s">
        <v>101</v>
      </c>
      <c r="C50" s="40" t="s">
        <v>39</v>
      </c>
      <c r="D50" s="40">
        <v>85</v>
      </c>
      <c r="E50" s="40" t="s">
        <v>71</v>
      </c>
      <c r="F50" s="40" t="str">
        <f>IF(OR(Donnees[[#This Row],[Jour]]="samedi",Donnees[[#This Row],[Jour]]="dimanche"),"Oui","Non")</f>
        <v>Non</v>
      </c>
      <c r="G50" s="40">
        <v>9</v>
      </c>
      <c r="H50" s="40" t="str">
        <f>IF(Donnees[[#This Row],[Heure UTC]]&lt;6,"0-5 h",IF(Donnees[[#This Row],[Heure UTC]]&lt;12,"6-11 h",IF(Donnees[[#This Row],[Heure UTC]]&lt;18,"12-17 h","18-23 h")))</f>
        <v>6-11 h</v>
      </c>
      <c r="I50" s="40">
        <v>13</v>
      </c>
      <c r="J50" s="40" t="str">
        <f>IF(Donnees[[#This Row],[Durée (s)]]&lt;=10,"1. ≤ 10 s",IF(Donnees[[#This Row],[Durée (s)]]&lt;=15,"2. 11-15 s",IF(Donnees[[#This Row],[Durée (s)]]&lt;=30,"3. 16-30 s",IF(Donnees[[#This Row],[Durée (s)]]&lt;=60,"4. 31-60 s","5. &gt; 60 s"))))</f>
        <v>2. 11-15 s</v>
      </c>
      <c r="K50" s="40" t="str">
        <f>IF(Donnees[[#This Row],[Durée (s)]]&gt;15,"Oui","Non")</f>
        <v>Non</v>
      </c>
      <c r="L50" s="40">
        <v>0</v>
      </c>
      <c r="M50" s="40" t="s">
        <v>41</v>
      </c>
      <c r="N50" s="40">
        <v>0</v>
      </c>
      <c r="O50" s="40" t="s">
        <v>44</v>
      </c>
      <c r="P50" s="40" t="s">
        <v>41</v>
      </c>
      <c r="Q50" s="40" t="s">
        <v>41</v>
      </c>
      <c r="R50" s="40"/>
      <c r="S50" s="40"/>
      <c r="T50" s="41"/>
      <c r="U50" s="40" t="str">
        <f>IF(Donnees[[#This Row],[Abonnés]]="","",IF(Donnees[[#This Row],[Abonnés]]&lt;1000000,"1. &lt; 1 M",IF(Donnees[[#This Row],[Abonnés]]&lt;3000000,"2. 1-3 M",IF(Donnees[[#This Row],[Abonnés]]&lt;8000000,"3. 3-8 M","4. ≥ 8 M"))))</f>
        <v/>
      </c>
      <c r="V50" s="41"/>
      <c r="W50" s="41">
        <v>11000000</v>
      </c>
      <c r="X50" s="41">
        <v>417300</v>
      </c>
      <c r="Y50" s="41">
        <v>6307</v>
      </c>
      <c r="Z50" s="41">
        <v>56600</v>
      </c>
      <c r="AA50" s="42">
        <f>(Donnees[[#This Row],[Likes]]+Donnees[[#This Row],[Commentaires]]+Donnees[[#This Row],[Partages]])/Donnees[[#This Row],[Vues]]</f>
        <v>4.3655181818181815E-2</v>
      </c>
      <c r="AB50" s="40">
        <f>IF(Donnees[[#This Row],[Engagement]]&gt;=VLOOKUP(Donnees[[#This Row],[Échantillon]],'Méthode &amp; limites'!$B$9:$D$11,2,FALSE),1,0)</f>
        <v>0</v>
      </c>
      <c r="AC50" s="43" t="str">
        <f>IF(Donnees[[#This Row],[Abonnés]]="","",Donnees[[#This Row],[Vues]]/Donnees[[#This Row],[Abonnés]])</f>
        <v/>
      </c>
      <c r="AD50" s="40" t="s">
        <v>44</v>
      </c>
      <c r="AE50" s="43">
        <f>SUMPRODUCT((Donnees[Échantillon]=Donnees[[#This Row],[Échantillon]])*(Donnees[Engagement]&lt;Donnees[[#This Row],[Engagement]]))+(SUMPRODUCT((Donnees[Échantillon]=Donnees[[#This Row],[Échantillon]])*(Donnees[Engagement]=Donnees[[#This Row],[Engagement]]))+1)/2</f>
        <v>9</v>
      </c>
      <c r="AF50" s="43">
        <f>SUMPRODUCT((Donnees[Échantillon]=Donnees[[#This Row],[Échantillon]])*(Donnees[Vues]&lt;Donnees[[#This Row],[Vues]]))+(SUMPRODUCT((Donnees[Échantillon]=Donnees[[#This Row],[Échantillon]])*(Donnees[Vues]=Donnees[[#This Row],[Vues]]))+1)/2</f>
        <v>52</v>
      </c>
      <c r="AG50" s="43">
        <f>SUMPRODUCT((Donnees[Échantillon]=Donnees[[#This Row],[Échantillon]])*(Donnees[Durée (s)]&lt;Donnees[[#This Row],[Durée (s)]]))+(SUMPRODUCT((Donnees[Échantillon]=Donnees[[#This Row],[Échantillon]])*(Donnees[Durée (s)]=Donnees[[#This Row],[Durée (s)]]))+1)/2</f>
        <v>64.5</v>
      </c>
      <c r="AH50" s="43">
        <f>SUMPRODUCT((Donnees[Échantillon]=Donnees[[#This Row],[Échantillon]])*(Donnees[Nb hashtags]&lt;Donnees[[#This Row],[Nb hashtags]]))+(SUMPRODUCT((Donnees[Échantillon]=Donnees[[#This Row],[Échantillon]])*(Donnees[Nb hashtags]=Donnees[[#This Row],[Nb hashtags]]))+1)/2</f>
        <v>19</v>
      </c>
      <c r="AI50" s="43">
        <f>SUMPRODUCT((Donnees[Échantillon]=Donnees[[#This Row],[Échantillon]])*(Donnees[Longueur du texte]&lt;Donnees[[#This Row],[Longueur du texte]]))+(SUMPRODUCT((Donnees[Échantillon]=Donnees[[#This Row],[Échantillon]])*(Donnees[Longueur du texte]=Donnees[[#This Row],[Longueur du texte]]))+1)/2</f>
        <v>16</v>
      </c>
      <c r="AJ50" s="43" t="str">
        <f>IF(Donnees[[#This Row],[Abonnés]]="","",SUMPRODUCT((Donnees[Échantillon]=Donnees[[#This Row],[Échantillon]])*(Donnees[Abonnés]&lt;Donnees[[#This Row],[Abonnés]]))+(SUMPRODUCT((Donnees[Échantillon]=Donnees[[#This Row],[Échantillon]])*(Donnees[Abonnés]=Donnees[[#This Row],[Abonnés]]))+1)/2)</f>
        <v/>
      </c>
      <c r="AK5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51" spans="1:37" x14ac:dyDescent="0.2">
      <c r="A51" s="40" t="s">
        <v>37</v>
      </c>
      <c r="B51" s="40" t="s">
        <v>102</v>
      </c>
      <c r="C51" s="40" t="s">
        <v>39</v>
      </c>
      <c r="D51" s="40">
        <v>15</v>
      </c>
      <c r="E51" s="40" t="s">
        <v>71</v>
      </c>
      <c r="F51" s="40" t="str">
        <f>IF(OR(Donnees[[#This Row],[Jour]]="samedi",Donnees[[#This Row],[Jour]]="dimanche"),"Oui","Non")</f>
        <v>Non</v>
      </c>
      <c r="G51" s="40">
        <v>20</v>
      </c>
      <c r="H51" s="40" t="str">
        <f>IF(Donnees[[#This Row],[Heure UTC]]&lt;6,"0-5 h",IF(Donnees[[#This Row],[Heure UTC]]&lt;12,"6-11 h",IF(Donnees[[#This Row],[Heure UTC]]&lt;18,"12-17 h","18-23 h")))</f>
        <v>18-23 h</v>
      </c>
      <c r="I51" s="40">
        <v>23</v>
      </c>
      <c r="J51" s="40" t="str">
        <f>IF(Donnees[[#This Row],[Durée (s)]]&lt;=10,"1. ≤ 10 s",IF(Donnees[[#This Row],[Durée (s)]]&lt;=15,"2. 11-15 s",IF(Donnees[[#This Row],[Durée (s)]]&lt;=30,"3. 16-30 s",IF(Donnees[[#This Row],[Durée (s)]]&lt;=60,"4. 31-60 s","5. &gt; 60 s"))))</f>
        <v>3. 16-30 s</v>
      </c>
      <c r="K51" s="40" t="str">
        <f>IF(Donnees[[#This Row],[Durée (s)]]&gt;15,"Oui","Non")</f>
        <v>Oui</v>
      </c>
      <c r="L51" s="40">
        <v>3</v>
      </c>
      <c r="M51" s="40" t="s">
        <v>44</v>
      </c>
      <c r="N51" s="40">
        <v>34</v>
      </c>
      <c r="O51" s="40" t="s">
        <v>41</v>
      </c>
      <c r="P51" s="40" t="s">
        <v>41</v>
      </c>
      <c r="Q51" s="40" t="s">
        <v>41</v>
      </c>
      <c r="R51" s="40"/>
      <c r="S51" s="40"/>
      <c r="T51" s="41"/>
      <c r="U51" s="40" t="str">
        <f>IF(Donnees[[#This Row],[Abonnés]]="","",IF(Donnees[[#This Row],[Abonnés]]&lt;1000000,"1. &lt; 1 M",IF(Donnees[[#This Row],[Abonnés]]&lt;3000000,"2. 1-3 M",IF(Donnees[[#This Row],[Abonnés]]&lt;8000000,"3. 3-8 M","4. ≥ 8 M"))))</f>
        <v/>
      </c>
      <c r="V51" s="41"/>
      <c r="W51" s="41">
        <v>10500000</v>
      </c>
      <c r="X51" s="41">
        <v>1800000</v>
      </c>
      <c r="Y51" s="41">
        <v>24000</v>
      </c>
      <c r="Z51" s="41">
        <v>130600</v>
      </c>
      <c r="AA51" s="42">
        <f>(Donnees[[#This Row],[Likes]]+Donnees[[#This Row],[Commentaires]]+Donnees[[#This Row],[Partages]])/Donnees[[#This Row],[Vues]]</f>
        <v>0.18615238095238096</v>
      </c>
      <c r="AB51" s="40">
        <f>IF(Donnees[[#This Row],[Engagement]]&gt;=VLOOKUP(Donnees[[#This Row],[Échantillon]],'Méthode &amp; limites'!$B$9:$D$11,2,FALSE),1,0)</f>
        <v>1</v>
      </c>
      <c r="AC51" s="43" t="str">
        <f>IF(Donnees[[#This Row],[Abonnés]]="","",Donnees[[#This Row],[Vues]]/Donnees[[#This Row],[Abonnés]])</f>
        <v/>
      </c>
      <c r="AD51" s="40" t="s">
        <v>44</v>
      </c>
      <c r="AE51" s="43">
        <f>SUMPRODUCT((Donnees[Échantillon]=Donnees[[#This Row],[Échantillon]])*(Donnees[Engagement]&lt;Donnees[[#This Row],[Engagement]]))+(SUMPRODUCT((Donnees[Échantillon]=Donnees[[#This Row],[Échantillon]])*(Donnees[Engagement]=Donnees[[#This Row],[Engagement]]))+1)/2</f>
        <v>87</v>
      </c>
      <c r="AF51" s="43">
        <f>SUMPRODUCT((Donnees[Échantillon]=Donnees[[#This Row],[Échantillon]])*(Donnees[Vues]&lt;Donnees[[#This Row],[Vues]]))+(SUMPRODUCT((Donnees[Échantillon]=Donnees[[#This Row],[Échantillon]])*(Donnees[Vues]=Donnees[[#This Row],[Vues]]))+1)/2</f>
        <v>51</v>
      </c>
      <c r="AG51" s="43">
        <f>SUMPRODUCT((Donnees[Échantillon]=Donnees[[#This Row],[Échantillon]])*(Donnees[Durée (s)]&lt;Donnees[[#This Row],[Durée (s)]]))+(SUMPRODUCT((Donnees[Échantillon]=Donnees[[#This Row],[Échantillon]])*(Donnees[Durée (s)]=Donnees[[#This Row],[Durée (s)]]))+1)/2</f>
        <v>89</v>
      </c>
      <c r="AH51" s="43">
        <f>SUMPRODUCT((Donnees[Échantillon]=Donnees[[#This Row],[Échantillon]])*(Donnees[Nb hashtags]&lt;Donnees[[#This Row],[Nb hashtags]]))+(SUMPRODUCT((Donnees[Échantillon]=Donnees[[#This Row],[Échantillon]])*(Donnees[Nb hashtags]=Donnees[[#This Row],[Nb hashtags]]))+1)/2</f>
        <v>52</v>
      </c>
      <c r="AI51" s="43">
        <f>SUMPRODUCT((Donnees[Échantillon]=Donnees[[#This Row],[Échantillon]])*(Donnees[Longueur du texte]&lt;Donnees[[#This Row],[Longueur du texte]]))+(SUMPRODUCT((Donnees[Échantillon]=Donnees[[#This Row],[Échantillon]])*(Donnees[Longueur du texte]=Donnees[[#This Row],[Longueur du texte]]))+1)/2</f>
        <v>75.5</v>
      </c>
      <c r="AJ51" s="43" t="str">
        <f>IF(Donnees[[#This Row],[Abonnés]]="","",SUMPRODUCT((Donnees[Échantillon]=Donnees[[#This Row],[Échantillon]])*(Donnees[Abonnés]&lt;Donnees[[#This Row],[Abonnés]]))+(SUMPRODUCT((Donnees[Échantillon]=Donnees[[#This Row],[Échantillon]])*(Donnees[Abonnés]=Donnees[[#This Row],[Abonnés]]))+1)/2)</f>
        <v/>
      </c>
      <c r="AK5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52" spans="1:37" x14ac:dyDescent="0.2">
      <c r="A52" s="40" t="s">
        <v>37</v>
      </c>
      <c r="B52" s="40" t="s">
        <v>103</v>
      </c>
      <c r="C52" s="40" t="s">
        <v>39</v>
      </c>
      <c r="D52" s="40">
        <v>57</v>
      </c>
      <c r="E52" s="40" t="s">
        <v>71</v>
      </c>
      <c r="F52" s="40" t="str">
        <f>IF(OR(Donnees[[#This Row],[Jour]]="samedi",Donnees[[#This Row],[Jour]]="dimanche"),"Oui","Non")</f>
        <v>Non</v>
      </c>
      <c r="G52" s="40">
        <v>23</v>
      </c>
      <c r="H52" s="40" t="str">
        <f>IF(Donnees[[#This Row],[Heure UTC]]&lt;6,"0-5 h",IF(Donnees[[#This Row],[Heure UTC]]&lt;12,"6-11 h",IF(Donnees[[#This Row],[Heure UTC]]&lt;18,"12-17 h","18-23 h")))</f>
        <v>18-23 h</v>
      </c>
      <c r="I52" s="40">
        <v>9</v>
      </c>
      <c r="J52" s="40" t="str">
        <f>IF(Donnees[[#This Row],[Durée (s)]]&lt;=10,"1. ≤ 10 s",IF(Donnees[[#This Row],[Durée (s)]]&lt;=15,"2. 11-15 s",IF(Donnees[[#This Row],[Durée (s)]]&lt;=30,"3. 16-30 s",IF(Donnees[[#This Row],[Durée (s)]]&lt;=60,"4. 31-60 s","5. &gt; 60 s"))))</f>
        <v>1. ≤ 10 s</v>
      </c>
      <c r="K52" s="40" t="str">
        <f>IF(Donnees[[#This Row],[Durée (s)]]&gt;15,"Oui","Non")</f>
        <v>Non</v>
      </c>
      <c r="L52" s="40">
        <v>0</v>
      </c>
      <c r="M52" s="40" t="s">
        <v>41</v>
      </c>
      <c r="N52" s="40">
        <v>1</v>
      </c>
      <c r="O52" s="40" t="s">
        <v>41</v>
      </c>
      <c r="P52" s="40" t="s">
        <v>41</v>
      </c>
      <c r="Q52" s="40" t="s">
        <v>41</v>
      </c>
      <c r="R52" s="40"/>
      <c r="S52" s="40"/>
      <c r="T52" s="41"/>
      <c r="U52" s="40" t="str">
        <f>IF(Donnees[[#This Row],[Abonnés]]="","",IF(Donnees[[#This Row],[Abonnés]]&lt;1000000,"1. &lt; 1 M",IF(Donnees[[#This Row],[Abonnés]]&lt;3000000,"2. 1-3 M",IF(Donnees[[#This Row],[Abonnés]]&lt;8000000,"3. 3-8 M","4. ≥ 8 M"))))</f>
        <v/>
      </c>
      <c r="V52" s="41"/>
      <c r="W52" s="41">
        <v>10300000</v>
      </c>
      <c r="X52" s="41">
        <v>551600</v>
      </c>
      <c r="Y52" s="41">
        <v>0</v>
      </c>
      <c r="Z52" s="41">
        <v>227100</v>
      </c>
      <c r="AA52" s="42">
        <f>(Donnees[[#This Row],[Likes]]+Donnees[[#This Row],[Commentaires]]+Donnees[[#This Row],[Partages]])/Donnees[[#This Row],[Vues]]</f>
        <v>7.5601941747572815E-2</v>
      </c>
      <c r="AB52" s="40">
        <f>IF(Donnees[[#This Row],[Engagement]]&gt;=VLOOKUP(Donnees[[#This Row],[Échantillon]],'Méthode &amp; limites'!$B$9:$D$11,2,FALSE),1,0)</f>
        <v>0</v>
      </c>
      <c r="AC52" s="43" t="str">
        <f>IF(Donnees[[#This Row],[Abonnés]]="","",Donnees[[#This Row],[Vues]]/Donnees[[#This Row],[Abonnés]])</f>
        <v/>
      </c>
      <c r="AD52" s="40" t="s">
        <v>44</v>
      </c>
      <c r="AE52" s="43">
        <f>SUMPRODUCT((Donnees[Échantillon]=Donnees[[#This Row],[Échantillon]])*(Donnees[Engagement]&lt;Donnees[[#This Row],[Engagement]]))+(SUMPRODUCT((Donnees[Échantillon]=Donnees[[#This Row],[Échantillon]])*(Donnees[Engagement]=Donnees[[#This Row],[Engagement]]))+1)/2</f>
        <v>25</v>
      </c>
      <c r="AF52" s="43">
        <f>SUMPRODUCT((Donnees[Échantillon]=Donnees[[#This Row],[Échantillon]])*(Donnees[Vues]&lt;Donnees[[#This Row],[Vues]]))+(SUMPRODUCT((Donnees[Échantillon]=Donnees[[#This Row],[Échantillon]])*(Donnees[Vues]=Donnees[[#This Row],[Vues]]))+1)/2</f>
        <v>50</v>
      </c>
      <c r="AG52" s="43">
        <f>SUMPRODUCT((Donnees[Échantillon]=Donnees[[#This Row],[Échantillon]])*(Donnees[Durée (s)]&lt;Donnees[[#This Row],[Durée (s)]]))+(SUMPRODUCT((Donnees[Échantillon]=Donnees[[#This Row],[Échantillon]])*(Donnees[Durée (s)]=Donnees[[#This Row],[Durée (s)]]))+1)/2</f>
        <v>28</v>
      </c>
      <c r="AH52" s="43">
        <f>SUMPRODUCT((Donnees[Échantillon]=Donnees[[#This Row],[Échantillon]])*(Donnees[Nb hashtags]&lt;Donnees[[#This Row],[Nb hashtags]]))+(SUMPRODUCT((Donnees[Échantillon]=Donnees[[#This Row],[Échantillon]])*(Donnees[Nb hashtags]=Donnees[[#This Row],[Nb hashtags]]))+1)/2</f>
        <v>19</v>
      </c>
      <c r="AI52" s="43">
        <f>SUMPRODUCT((Donnees[Échantillon]=Donnees[[#This Row],[Échantillon]])*(Donnees[Longueur du texte]&lt;Donnees[[#This Row],[Longueur du texte]]))+(SUMPRODUCT((Donnees[Échantillon]=Donnees[[#This Row],[Échantillon]])*(Donnees[Longueur du texte]=Donnees[[#This Row],[Longueur du texte]]))+1)/2</f>
        <v>33</v>
      </c>
      <c r="AJ52" s="43" t="str">
        <f>IF(Donnees[[#This Row],[Abonnés]]="","",SUMPRODUCT((Donnees[Échantillon]=Donnees[[#This Row],[Échantillon]])*(Donnees[Abonnés]&lt;Donnees[[#This Row],[Abonnés]]))+(SUMPRODUCT((Donnees[Échantillon]=Donnees[[#This Row],[Échantillon]])*(Donnees[Abonnés]=Donnees[[#This Row],[Abonnés]]))+1)/2)</f>
        <v/>
      </c>
      <c r="AK5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53" spans="1:37" x14ac:dyDescent="0.2">
      <c r="A53" s="40" t="s">
        <v>37</v>
      </c>
      <c r="B53" s="40" t="s">
        <v>104</v>
      </c>
      <c r="C53" s="40" t="s">
        <v>67</v>
      </c>
      <c r="D53" s="40">
        <v>11</v>
      </c>
      <c r="E53" s="40" t="s">
        <v>68</v>
      </c>
      <c r="F53" s="40" t="str">
        <f>IF(OR(Donnees[[#This Row],[Jour]]="samedi",Donnees[[#This Row],[Jour]]="dimanche"),"Oui","Non")</f>
        <v>Non</v>
      </c>
      <c r="G53" s="40">
        <v>22</v>
      </c>
      <c r="H53" s="40" t="str">
        <f>IF(Donnees[[#This Row],[Heure UTC]]&lt;6,"0-5 h",IF(Donnees[[#This Row],[Heure UTC]]&lt;12,"6-11 h",IF(Donnees[[#This Row],[Heure UTC]]&lt;18,"12-17 h","18-23 h")))</f>
        <v>18-23 h</v>
      </c>
      <c r="I53" s="40">
        <v>8</v>
      </c>
      <c r="J53" s="40" t="str">
        <f>IF(Donnees[[#This Row],[Durée (s)]]&lt;=10,"1. ≤ 10 s",IF(Donnees[[#This Row],[Durée (s)]]&lt;=15,"2. 11-15 s",IF(Donnees[[#This Row],[Durée (s)]]&lt;=30,"3. 16-30 s",IF(Donnees[[#This Row],[Durée (s)]]&lt;=60,"4. 31-60 s","5. &gt; 60 s"))))</f>
        <v>1. ≤ 10 s</v>
      </c>
      <c r="K53" s="40" t="str">
        <f>IF(Donnees[[#This Row],[Durée (s)]]&gt;15,"Oui","Non")</f>
        <v>Non</v>
      </c>
      <c r="L53" s="40">
        <v>3</v>
      </c>
      <c r="M53" s="40" t="s">
        <v>41</v>
      </c>
      <c r="N53" s="40">
        <v>40</v>
      </c>
      <c r="O53" s="40" t="s">
        <v>41</v>
      </c>
      <c r="P53" s="40" t="s">
        <v>44</v>
      </c>
      <c r="Q53" s="40" t="s">
        <v>44</v>
      </c>
      <c r="R53" s="40"/>
      <c r="S53" s="40"/>
      <c r="T53" s="41"/>
      <c r="U53" s="40" t="str">
        <f>IF(Donnees[[#This Row],[Abonnés]]="","",IF(Donnees[[#This Row],[Abonnés]]&lt;1000000,"1. &lt; 1 M",IF(Donnees[[#This Row],[Abonnés]]&lt;3000000,"2. 1-3 M",IF(Donnees[[#This Row],[Abonnés]]&lt;8000000,"3. 3-8 M","4. ≥ 8 M"))))</f>
        <v/>
      </c>
      <c r="V53" s="41"/>
      <c r="W53" s="41">
        <v>10100000</v>
      </c>
      <c r="X53" s="41">
        <v>778100</v>
      </c>
      <c r="Y53" s="41">
        <v>5106</v>
      </c>
      <c r="Z53" s="41">
        <v>118900</v>
      </c>
      <c r="AA53" s="42">
        <f>(Donnees[[#This Row],[Likes]]+Donnees[[#This Row],[Commentaires]]+Donnees[[#This Row],[Partages]])/Donnees[[#This Row],[Vues]]</f>
        <v>8.9317425742574258E-2</v>
      </c>
      <c r="AB53" s="40">
        <f>IF(Donnees[[#This Row],[Engagement]]&gt;=VLOOKUP(Donnees[[#This Row],[Échantillon]],'Méthode &amp; limites'!$B$9:$D$11,2,FALSE),1,0)</f>
        <v>0</v>
      </c>
      <c r="AC53" s="43" t="str">
        <f>IF(Donnees[[#This Row],[Abonnés]]="","",Donnees[[#This Row],[Vues]]/Donnees[[#This Row],[Abonnés]])</f>
        <v/>
      </c>
      <c r="AD53" s="40" t="s">
        <v>44</v>
      </c>
      <c r="AE53" s="43">
        <f>SUMPRODUCT((Donnees[Échantillon]=Donnees[[#This Row],[Échantillon]])*(Donnees[Engagement]&lt;Donnees[[#This Row],[Engagement]]))+(SUMPRODUCT((Donnees[Échantillon]=Donnees[[#This Row],[Échantillon]])*(Donnees[Engagement]=Donnees[[#This Row],[Engagement]]))+1)/2</f>
        <v>38</v>
      </c>
      <c r="AF53" s="43">
        <f>SUMPRODUCT((Donnees[Échantillon]=Donnees[[#This Row],[Échantillon]])*(Donnees[Vues]&lt;Donnees[[#This Row],[Vues]]))+(SUMPRODUCT((Donnees[Échantillon]=Donnees[[#This Row],[Échantillon]])*(Donnees[Vues]=Donnees[[#This Row],[Vues]]))+1)/2</f>
        <v>49</v>
      </c>
      <c r="AG53" s="43">
        <f>SUMPRODUCT((Donnees[Échantillon]=Donnees[[#This Row],[Échantillon]])*(Donnees[Durée (s)]&lt;Donnees[[#This Row],[Durée (s)]]))+(SUMPRODUCT((Donnees[Échantillon]=Donnees[[#This Row],[Échantillon]])*(Donnees[Durée (s)]=Donnees[[#This Row],[Durée (s)]]))+1)/2</f>
        <v>14</v>
      </c>
      <c r="AH53" s="43">
        <f>SUMPRODUCT((Donnees[Échantillon]=Donnees[[#This Row],[Échantillon]])*(Donnees[Nb hashtags]&lt;Donnees[[#This Row],[Nb hashtags]]))+(SUMPRODUCT((Donnees[Échantillon]=Donnees[[#This Row],[Échantillon]])*(Donnees[Nb hashtags]=Donnees[[#This Row],[Nb hashtags]]))+1)/2</f>
        <v>52</v>
      </c>
      <c r="AI53" s="43">
        <f>SUMPRODUCT((Donnees[Échantillon]=Donnees[[#This Row],[Échantillon]])*(Donnees[Longueur du texte]&lt;Donnees[[#This Row],[Longueur du texte]]))+(SUMPRODUCT((Donnees[Échantillon]=Donnees[[#This Row],[Échantillon]])*(Donnees[Longueur du texte]=Donnees[[#This Row],[Longueur du texte]]))+1)/2</f>
        <v>85</v>
      </c>
      <c r="AJ53" s="43" t="str">
        <f>IF(Donnees[[#This Row],[Abonnés]]="","",SUMPRODUCT((Donnees[Échantillon]=Donnees[[#This Row],[Échantillon]])*(Donnees[Abonnés]&lt;Donnees[[#This Row],[Abonnés]]))+(SUMPRODUCT((Donnees[Échantillon]=Donnees[[#This Row],[Échantillon]])*(Donnees[Abonnés]=Donnees[[#This Row],[Abonnés]]))+1)/2)</f>
        <v/>
      </c>
      <c r="AK5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54" spans="1:37" x14ac:dyDescent="0.2">
      <c r="A54" s="40" t="s">
        <v>37</v>
      </c>
      <c r="B54" s="40" t="s">
        <v>91</v>
      </c>
      <c r="C54" s="40" t="s">
        <v>46</v>
      </c>
      <c r="D54" s="40">
        <v>0</v>
      </c>
      <c r="E54" s="40" t="s">
        <v>40</v>
      </c>
      <c r="F54" s="40" t="str">
        <f>IF(OR(Donnees[[#This Row],[Jour]]="samedi",Donnees[[#This Row],[Jour]]="dimanche"),"Oui","Non")</f>
        <v>Non</v>
      </c>
      <c r="G54" s="40">
        <v>9</v>
      </c>
      <c r="H54" s="40" t="str">
        <f>IF(Donnees[[#This Row],[Heure UTC]]&lt;6,"0-5 h",IF(Donnees[[#This Row],[Heure UTC]]&lt;12,"6-11 h",IF(Donnees[[#This Row],[Heure UTC]]&lt;18,"12-17 h","18-23 h")))</f>
        <v>6-11 h</v>
      </c>
      <c r="I54" s="40">
        <v>18</v>
      </c>
      <c r="J54" s="40" t="str">
        <f>IF(Donnees[[#This Row],[Durée (s)]]&lt;=10,"1. ≤ 10 s",IF(Donnees[[#This Row],[Durée (s)]]&lt;=15,"2. 11-15 s",IF(Donnees[[#This Row],[Durée (s)]]&lt;=30,"3. 16-30 s",IF(Donnees[[#This Row],[Durée (s)]]&lt;=60,"4. 31-60 s","5. &gt; 60 s"))))</f>
        <v>3. 16-30 s</v>
      </c>
      <c r="K54" s="40" t="str">
        <f>IF(Donnees[[#This Row],[Durée (s)]]&gt;15,"Oui","Non")</f>
        <v>Oui</v>
      </c>
      <c r="L54" s="40">
        <v>2</v>
      </c>
      <c r="M54" s="40" t="s">
        <v>41</v>
      </c>
      <c r="N54" s="40">
        <v>13</v>
      </c>
      <c r="O54" s="40" t="s">
        <v>41</v>
      </c>
      <c r="P54" s="40" t="s">
        <v>41</v>
      </c>
      <c r="Q54" s="40" t="s">
        <v>41</v>
      </c>
      <c r="R54" s="40"/>
      <c r="S54" s="40"/>
      <c r="T54" s="41"/>
      <c r="U54" s="40" t="str">
        <f>IF(Donnees[[#This Row],[Abonnés]]="","",IF(Donnees[[#This Row],[Abonnés]]&lt;1000000,"1. &lt; 1 M",IF(Donnees[[#This Row],[Abonnés]]&lt;3000000,"2. 1-3 M",IF(Donnees[[#This Row],[Abonnés]]&lt;8000000,"3. 3-8 M","4. ≥ 8 M"))))</f>
        <v/>
      </c>
      <c r="V54" s="41"/>
      <c r="W54" s="41">
        <v>9700000</v>
      </c>
      <c r="X54" s="41">
        <v>3600000</v>
      </c>
      <c r="Y54" s="41">
        <v>212900</v>
      </c>
      <c r="Z54" s="41">
        <v>109500</v>
      </c>
      <c r="AA54" s="42">
        <f>(Donnees[[#This Row],[Likes]]+Donnees[[#This Row],[Commentaires]]+Donnees[[#This Row],[Partages]])/Donnees[[#This Row],[Vues]]</f>
        <v>0.40437113402061858</v>
      </c>
      <c r="AB54" s="40">
        <f>IF(Donnees[[#This Row],[Engagement]]&gt;=VLOOKUP(Donnees[[#This Row],[Échantillon]],'Méthode &amp; limites'!$B$9:$D$11,2,FALSE),1,0)</f>
        <v>1</v>
      </c>
      <c r="AC54" s="43" t="str">
        <f>IF(Donnees[[#This Row],[Abonnés]]="","",Donnees[[#This Row],[Vues]]/Donnees[[#This Row],[Abonnés]])</f>
        <v/>
      </c>
      <c r="AD54" s="40" t="s">
        <v>44</v>
      </c>
      <c r="AE54" s="43">
        <f>SUMPRODUCT((Donnees[Échantillon]=Donnees[[#This Row],[Échantillon]])*(Donnees[Engagement]&lt;Donnees[[#This Row],[Engagement]]))+(SUMPRODUCT((Donnees[Échantillon]=Donnees[[#This Row],[Échantillon]])*(Donnees[Engagement]=Donnees[[#This Row],[Engagement]]))+1)/2</f>
        <v>100</v>
      </c>
      <c r="AF54" s="43">
        <f>SUMPRODUCT((Donnees[Échantillon]=Donnees[[#This Row],[Échantillon]])*(Donnees[Vues]&lt;Donnees[[#This Row],[Vues]]))+(SUMPRODUCT((Donnees[Échantillon]=Donnees[[#This Row],[Échantillon]])*(Donnees[Vues]=Donnees[[#This Row],[Vues]]))+1)/2</f>
        <v>48</v>
      </c>
      <c r="AG54" s="43">
        <f>SUMPRODUCT((Donnees[Échantillon]=Donnees[[#This Row],[Échantillon]])*(Donnees[Durée (s)]&lt;Donnees[[#This Row],[Durée (s)]]))+(SUMPRODUCT((Donnees[Échantillon]=Donnees[[#This Row],[Échantillon]])*(Donnees[Durée (s)]=Donnees[[#This Row],[Durée (s)]]))+1)/2</f>
        <v>85</v>
      </c>
      <c r="AH54" s="43">
        <f>SUMPRODUCT((Donnees[Échantillon]=Donnees[[#This Row],[Échantillon]])*(Donnees[Nb hashtags]&lt;Donnees[[#This Row],[Nb hashtags]]))+(SUMPRODUCT((Donnees[Échantillon]=Donnees[[#This Row],[Échantillon]])*(Donnees[Nb hashtags]=Donnees[[#This Row],[Nb hashtags]]))+1)/2</f>
        <v>43</v>
      </c>
      <c r="AI54" s="43">
        <f>SUMPRODUCT((Donnees[Échantillon]=Donnees[[#This Row],[Échantillon]])*(Donnees[Longueur du texte]&lt;Donnees[[#This Row],[Longueur du texte]]))+(SUMPRODUCT((Donnees[Échantillon]=Donnees[[#This Row],[Échantillon]])*(Donnees[Longueur du texte]=Donnees[[#This Row],[Longueur du texte]]))+1)/2</f>
        <v>49</v>
      </c>
      <c r="AJ54" s="43" t="str">
        <f>IF(Donnees[[#This Row],[Abonnés]]="","",SUMPRODUCT((Donnees[Échantillon]=Donnees[[#This Row],[Échantillon]])*(Donnees[Abonnés]&lt;Donnees[[#This Row],[Abonnés]]))+(SUMPRODUCT((Donnees[Échantillon]=Donnees[[#This Row],[Échantillon]])*(Donnees[Abonnés]=Donnees[[#This Row],[Abonnés]]))+1)/2)</f>
        <v/>
      </c>
      <c r="AK5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55" spans="1:37" x14ac:dyDescent="0.2">
      <c r="A55" s="40" t="s">
        <v>37</v>
      </c>
      <c r="B55" s="40" t="s">
        <v>105</v>
      </c>
      <c r="C55" s="40" t="s">
        <v>39</v>
      </c>
      <c r="D55" s="40">
        <v>6</v>
      </c>
      <c r="E55" s="40" t="s">
        <v>59</v>
      </c>
      <c r="F55" s="40" t="str">
        <f>IF(OR(Donnees[[#This Row],[Jour]]="samedi",Donnees[[#This Row],[Jour]]="dimanche"),"Oui","Non")</f>
        <v>Non</v>
      </c>
      <c r="G55" s="40">
        <v>23</v>
      </c>
      <c r="H55" s="40" t="str">
        <f>IF(Donnees[[#This Row],[Heure UTC]]&lt;6,"0-5 h",IF(Donnees[[#This Row],[Heure UTC]]&lt;12,"6-11 h",IF(Donnees[[#This Row],[Heure UTC]]&lt;18,"12-17 h","18-23 h")))</f>
        <v>18-23 h</v>
      </c>
      <c r="I55" s="40">
        <v>15</v>
      </c>
      <c r="J55" s="40" t="str">
        <f>IF(Donnees[[#This Row],[Durée (s)]]&lt;=10,"1. ≤ 10 s",IF(Donnees[[#This Row],[Durée (s)]]&lt;=15,"2. 11-15 s",IF(Donnees[[#This Row],[Durée (s)]]&lt;=30,"3. 16-30 s",IF(Donnees[[#This Row],[Durée (s)]]&lt;=60,"4. 31-60 s","5. &gt; 60 s"))))</f>
        <v>2. 11-15 s</v>
      </c>
      <c r="K55" s="40" t="str">
        <f>IF(Donnees[[#This Row],[Durée (s)]]&gt;15,"Oui","Non")</f>
        <v>Non</v>
      </c>
      <c r="L55" s="40">
        <v>0</v>
      </c>
      <c r="M55" s="40" t="s">
        <v>41</v>
      </c>
      <c r="N55" s="40">
        <v>0</v>
      </c>
      <c r="O55" s="40" t="s">
        <v>44</v>
      </c>
      <c r="P55" s="40" t="s">
        <v>41</v>
      </c>
      <c r="Q55" s="40" t="s">
        <v>41</v>
      </c>
      <c r="R55" s="40"/>
      <c r="S55" s="40"/>
      <c r="T55" s="41"/>
      <c r="U55" s="40" t="str">
        <f>IF(Donnees[[#This Row],[Abonnés]]="","",IF(Donnees[[#This Row],[Abonnés]]&lt;1000000,"1. &lt; 1 M",IF(Donnees[[#This Row],[Abonnés]]&lt;3000000,"2. 1-3 M",IF(Donnees[[#This Row],[Abonnés]]&lt;8000000,"3. 3-8 M","4. ≥ 8 M"))))</f>
        <v/>
      </c>
      <c r="V55" s="41"/>
      <c r="W55" s="41">
        <v>9300000</v>
      </c>
      <c r="X55" s="41">
        <v>1600000</v>
      </c>
      <c r="Y55" s="41">
        <v>23400</v>
      </c>
      <c r="Z55" s="41">
        <v>229200</v>
      </c>
      <c r="AA55" s="42">
        <f>(Donnees[[#This Row],[Likes]]+Donnees[[#This Row],[Commentaires]]+Donnees[[#This Row],[Partages]])/Donnees[[#This Row],[Vues]]</f>
        <v>0.19920430107526882</v>
      </c>
      <c r="AB55" s="40">
        <f>IF(Donnees[[#This Row],[Engagement]]&gt;=VLOOKUP(Donnees[[#This Row],[Échantillon]],'Méthode &amp; limites'!$B$9:$D$11,2,FALSE),1,0)</f>
        <v>1</v>
      </c>
      <c r="AC55" s="43" t="str">
        <f>IF(Donnees[[#This Row],[Abonnés]]="","",Donnees[[#This Row],[Vues]]/Donnees[[#This Row],[Abonnés]])</f>
        <v/>
      </c>
      <c r="AD55" s="40" t="s">
        <v>44</v>
      </c>
      <c r="AE55" s="43">
        <f>SUMPRODUCT((Donnees[Échantillon]=Donnees[[#This Row],[Échantillon]])*(Donnees[Engagement]&lt;Donnees[[#This Row],[Engagement]]))+(SUMPRODUCT((Donnees[Échantillon]=Donnees[[#This Row],[Échantillon]])*(Donnees[Engagement]=Donnees[[#This Row],[Engagement]]))+1)/2</f>
        <v>92</v>
      </c>
      <c r="AF55" s="43">
        <f>SUMPRODUCT((Donnees[Échantillon]=Donnees[[#This Row],[Échantillon]])*(Donnees[Vues]&lt;Donnees[[#This Row],[Vues]]))+(SUMPRODUCT((Donnees[Échantillon]=Donnees[[#This Row],[Échantillon]])*(Donnees[Vues]=Donnees[[#This Row],[Vues]]))+1)/2</f>
        <v>47</v>
      </c>
      <c r="AG55" s="43">
        <f>SUMPRODUCT((Donnees[Échantillon]=Donnees[[#This Row],[Échantillon]])*(Donnees[Durée (s)]&lt;Donnees[[#This Row],[Durée (s)]]))+(SUMPRODUCT((Donnees[Échantillon]=Donnees[[#This Row],[Échantillon]])*(Donnees[Durée (s)]=Donnees[[#This Row],[Durée (s)]]))+1)/2</f>
        <v>78</v>
      </c>
      <c r="AH55" s="43">
        <f>SUMPRODUCT((Donnees[Échantillon]=Donnees[[#This Row],[Échantillon]])*(Donnees[Nb hashtags]&lt;Donnees[[#This Row],[Nb hashtags]]))+(SUMPRODUCT((Donnees[Échantillon]=Donnees[[#This Row],[Échantillon]])*(Donnees[Nb hashtags]=Donnees[[#This Row],[Nb hashtags]]))+1)/2</f>
        <v>19</v>
      </c>
      <c r="AI55" s="43">
        <f>SUMPRODUCT((Donnees[Échantillon]=Donnees[[#This Row],[Échantillon]])*(Donnees[Longueur du texte]&lt;Donnees[[#This Row],[Longueur du texte]]))+(SUMPRODUCT((Donnees[Échantillon]=Donnees[[#This Row],[Échantillon]])*(Donnees[Longueur du texte]=Donnees[[#This Row],[Longueur du texte]]))+1)/2</f>
        <v>16</v>
      </c>
      <c r="AJ55" s="43" t="str">
        <f>IF(Donnees[[#This Row],[Abonnés]]="","",SUMPRODUCT((Donnees[Échantillon]=Donnees[[#This Row],[Échantillon]])*(Donnees[Abonnés]&lt;Donnees[[#This Row],[Abonnés]]))+(SUMPRODUCT((Donnees[Échantillon]=Donnees[[#This Row],[Échantillon]])*(Donnees[Abonnés]=Donnees[[#This Row],[Abonnés]]))+1)/2)</f>
        <v/>
      </c>
      <c r="AK5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56" spans="1:37" x14ac:dyDescent="0.2">
      <c r="A56" s="40" t="s">
        <v>37</v>
      </c>
      <c r="B56" s="40" t="s">
        <v>106</v>
      </c>
      <c r="C56" s="40" t="s">
        <v>50</v>
      </c>
      <c r="D56" s="40">
        <v>76</v>
      </c>
      <c r="E56" s="40" t="s">
        <v>59</v>
      </c>
      <c r="F56" s="40" t="str">
        <f>IF(OR(Donnees[[#This Row],[Jour]]="samedi",Donnees[[#This Row],[Jour]]="dimanche"),"Oui","Non")</f>
        <v>Non</v>
      </c>
      <c r="G56" s="40">
        <v>22</v>
      </c>
      <c r="H56" s="40" t="str">
        <f>IF(Donnees[[#This Row],[Heure UTC]]&lt;6,"0-5 h",IF(Donnees[[#This Row],[Heure UTC]]&lt;12,"6-11 h",IF(Donnees[[#This Row],[Heure UTC]]&lt;18,"12-17 h","18-23 h")))</f>
        <v>18-23 h</v>
      </c>
      <c r="I56" s="40">
        <v>14</v>
      </c>
      <c r="J56" s="40" t="str">
        <f>IF(Donnees[[#This Row],[Durée (s)]]&lt;=10,"1. ≤ 10 s",IF(Donnees[[#This Row],[Durée (s)]]&lt;=15,"2. 11-15 s",IF(Donnees[[#This Row],[Durée (s)]]&lt;=30,"3. 16-30 s",IF(Donnees[[#This Row],[Durée (s)]]&lt;=60,"4. 31-60 s","5. &gt; 60 s"))))</f>
        <v>2. 11-15 s</v>
      </c>
      <c r="K56" s="40" t="str">
        <f>IF(Donnees[[#This Row],[Durée (s)]]&gt;15,"Oui","Non")</f>
        <v>Non</v>
      </c>
      <c r="L56" s="40">
        <v>5</v>
      </c>
      <c r="M56" s="40" t="s">
        <v>44</v>
      </c>
      <c r="N56" s="40">
        <v>55</v>
      </c>
      <c r="O56" s="40" t="s">
        <v>41</v>
      </c>
      <c r="P56" s="40" t="s">
        <v>41</v>
      </c>
      <c r="Q56" s="40" t="s">
        <v>41</v>
      </c>
      <c r="R56" s="40"/>
      <c r="S56" s="40"/>
      <c r="T56" s="41"/>
      <c r="U56" s="40" t="str">
        <f>IF(Donnees[[#This Row],[Abonnés]]="","",IF(Donnees[[#This Row],[Abonnés]]&lt;1000000,"1. &lt; 1 M",IF(Donnees[[#This Row],[Abonnés]]&lt;3000000,"2. 1-3 M",IF(Donnees[[#This Row],[Abonnés]]&lt;8000000,"3. 3-8 M","4. ≥ 8 M"))))</f>
        <v/>
      </c>
      <c r="V56" s="41"/>
      <c r="W56" s="41">
        <v>8100000</v>
      </c>
      <c r="X56" s="41">
        <v>818300</v>
      </c>
      <c r="Y56" s="41">
        <v>22600</v>
      </c>
      <c r="Z56" s="41">
        <v>64000</v>
      </c>
      <c r="AA56" s="42">
        <f>(Donnees[[#This Row],[Likes]]+Donnees[[#This Row],[Commentaires]]+Donnees[[#This Row],[Partages]])/Donnees[[#This Row],[Vues]]</f>
        <v>0.11171604938271605</v>
      </c>
      <c r="AB56" s="40">
        <f>IF(Donnees[[#This Row],[Engagement]]&gt;=VLOOKUP(Donnees[[#This Row],[Échantillon]],'Méthode &amp; limites'!$B$9:$D$11,2,FALSE),1,0)</f>
        <v>0</v>
      </c>
      <c r="AC56" s="43" t="str">
        <f>IF(Donnees[[#This Row],[Abonnés]]="","",Donnees[[#This Row],[Vues]]/Donnees[[#This Row],[Abonnés]])</f>
        <v/>
      </c>
      <c r="AD56" s="40" t="s">
        <v>44</v>
      </c>
      <c r="AE56" s="43">
        <f>SUMPRODUCT((Donnees[Échantillon]=Donnees[[#This Row],[Échantillon]])*(Donnees[Engagement]&lt;Donnees[[#This Row],[Engagement]]))+(SUMPRODUCT((Donnees[Échantillon]=Donnees[[#This Row],[Échantillon]])*(Donnees[Engagement]=Donnees[[#This Row],[Engagement]]))+1)/2</f>
        <v>54</v>
      </c>
      <c r="AF56" s="43">
        <f>SUMPRODUCT((Donnees[Échantillon]=Donnees[[#This Row],[Échantillon]])*(Donnees[Vues]&lt;Donnees[[#This Row],[Vues]]))+(SUMPRODUCT((Donnees[Échantillon]=Donnees[[#This Row],[Échantillon]])*(Donnees[Vues]=Donnees[[#This Row],[Vues]]))+1)/2</f>
        <v>46</v>
      </c>
      <c r="AG56" s="43">
        <f>SUMPRODUCT((Donnees[Échantillon]=Donnees[[#This Row],[Échantillon]])*(Donnees[Durée (s)]&lt;Donnees[[#This Row],[Durée (s)]]))+(SUMPRODUCT((Donnees[Échantillon]=Donnees[[#This Row],[Échantillon]])*(Donnees[Durée (s)]=Donnees[[#This Row],[Durée (s)]]))+1)/2</f>
        <v>70.5</v>
      </c>
      <c r="AH56" s="43">
        <f>SUMPRODUCT((Donnees[Échantillon]=Donnees[[#This Row],[Échantillon]])*(Donnees[Nb hashtags]&lt;Donnees[[#This Row],[Nb hashtags]]))+(SUMPRODUCT((Donnees[Échantillon]=Donnees[[#This Row],[Échantillon]])*(Donnees[Nb hashtags]=Donnees[[#This Row],[Nb hashtags]]))+1)/2</f>
        <v>70</v>
      </c>
      <c r="AI56" s="43">
        <f>SUMPRODUCT((Donnees[Échantillon]=Donnees[[#This Row],[Échantillon]])*(Donnees[Longueur du texte]&lt;Donnees[[#This Row],[Longueur du texte]]))+(SUMPRODUCT((Donnees[Échantillon]=Donnees[[#This Row],[Échantillon]])*(Donnees[Longueur du texte]=Donnees[[#This Row],[Longueur du texte]]))+1)/2</f>
        <v>92</v>
      </c>
      <c r="AJ56" s="43" t="str">
        <f>IF(Donnees[[#This Row],[Abonnés]]="","",SUMPRODUCT((Donnees[Échantillon]=Donnees[[#This Row],[Échantillon]])*(Donnees[Abonnés]&lt;Donnees[[#This Row],[Abonnés]]))+(SUMPRODUCT((Donnees[Échantillon]=Donnees[[#This Row],[Échantillon]])*(Donnees[Abonnés]=Donnees[[#This Row],[Abonnés]]))+1)/2)</f>
        <v/>
      </c>
      <c r="AK5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57" spans="1:37" x14ac:dyDescent="0.2">
      <c r="A57" s="40" t="s">
        <v>37</v>
      </c>
      <c r="B57" s="40" t="s">
        <v>107</v>
      </c>
      <c r="C57" s="40" t="s">
        <v>67</v>
      </c>
      <c r="D57" s="40">
        <v>6</v>
      </c>
      <c r="E57" s="40" t="s">
        <v>59</v>
      </c>
      <c r="F57" s="40" t="str">
        <f>IF(OR(Donnees[[#This Row],[Jour]]="samedi",Donnees[[#This Row],[Jour]]="dimanche"),"Oui","Non")</f>
        <v>Non</v>
      </c>
      <c r="G57" s="40">
        <v>12</v>
      </c>
      <c r="H57" s="40" t="str">
        <f>IF(Donnees[[#This Row],[Heure UTC]]&lt;6,"0-5 h",IF(Donnees[[#This Row],[Heure UTC]]&lt;12,"6-11 h",IF(Donnees[[#This Row],[Heure UTC]]&lt;18,"12-17 h","18-23 h")))</f>
        <v>12-17 h</v>
      </c>
      <c r="I57" s="40">
        <v>15</v>
      </c>
      <c r="J57" s="40" t="str">
        <f>IF(Donnees[[#This Row],[Durée (s)]]&lt;=10,"1. ≤ 10 s",IF(Donnees[[#This Row],[Durée (s)]]&lt;=15,"2. 11-15 s",IF(Donnees[[#This Row],[Durée (s)]]&lt;=30,"3. 16-30 s",IF(Donnees[[#This Row],[Durée (s)]]&lt;=60,"4. 31-60 s","5. &gt; 60 s"))))</f>
        <v>2. 11-15 s</v>
      </c>
      <c r="K57" s="40" t="str">
        <f>IF(Donnees[[#This Row],[Durée (s)]]&gt;15,"Oui","Non")</f>
        <v>Non</v>
      </c>
      <c r="L57" s="40">
        <v>3</v>
      </c>
      <c r="M57" s="40" t="s">
        <v>41</v>
      </c>
      <c r="N57" s="40">
        <v>23</v>
      </c>
      <c r="O57" s="40" t="s">
        <v>41</v>
      </c>
      <c r="P57" s="40" t="s">
        <v>41</v>
      </c>
      <c r="Q57" s="40" t="s">
        <v>41</v>
      </c>
      <c r="R57" s="40"/>
      <c r="S57" s="40"/>
      <c r="T57" s="41"/>
      <c r="U57" s="40" t="str">
        <f>IF(Donnees[[#This Row],[Abonnés]]="","",IF(Donnees[[#This Row],[Abonnés]]&lt;1000000,"1. &lt; 1 M",IF(Donnees[[#This Row],[Abonnés]]&lt;3000000,"2. 1-3 M",IF(Donnees[[#This Row],[Abonnés]]&lt;8000000,"3. 3-8 M","4. ≥ 8 M"))))</f>
        <v/>
      </c>
      <c r="V57" s="41"/>
      <c r="W57" s="41">
        <v>8000000</v>
      </c>
      <c r="X57" s="41">
        <v>800700</v>
      </c>
      <c r="Y57" s="41">
        <v>23800</v>
      </c>
      <c r="Z57" s="41">
        <v>100700</v>
      </c>
      <c r="AA57" s="42">
        <f>(Donnees[[#This Row],[Likes]]+Donnees[[#This Row],[Commentaires]]+Donnees[[#This Row],[Partages]])/Donnees[[#This Row],[Vues]]</f>
        <v>0.11565</v>
      </c>
      <c r="AB57" s="40">
        <f>IF(Donnees[[#This Row],[Engagement]]&gt;=VLOOKUP(Donnees[[#This Row],[Échantillon]],'Méthode &amp; limites'!$B$9:$D$11,2,FALSE),1,0)</f>
        <v>0</v>
      </c>
      <c r="AC57" s="43" t="str">
        <f>IF(Donnees[[#This Row],[Abonnés]]="","",Donnees[[#This Row],[Vues]]/Donnees[[#This Row],[Abonnés]])</f>
        <v/>
      </c>
      <c r="AD57" s="40" t="s">
        <v>44</v>
      </c>
      <c r="AE57" s="43">
        <f>SUMPRODUCT((Donnees[Échantillon]=Donnees[[#This Row],[Échantillon]])*(Donnees[Engagement]&lt;Donnees[[#This Row],[Engagement]]))+(SUMPRODUCT((Donnees[Échantillon]=Donnees[[#This Row],[Échantillon]])*(Donnees[Engagement]=Donnees[[#This Row],[Engagement]]))+1)/2</f>
        <v>58</v>
      </c>
      <c r="AF57" s="43">
        <f>SUMPRODUCT((Donnees[Échantillon]=Donnees[[#This Row],[Échantillon]])*(Donnees[Vues]&lt;Donnees[[#This Row],[Vues]]))+(SUMPRODUCT((Donnees[Échantillon]=Donnees[[#This Row],[Échantillon]])*(Donnees[Vues]=Donnees[[#This Row],[Vues]]))+1)/2</f>
        <v>45</v>
      </c>
      <c r="AG57" s="43">
        <f>SUMPRODUCT((Donnees[Échantillon]=Donnees[[#This Row],[Échantillon]])*(Donnees[Durée (s)]&lt;Donnees[[#This Row],[Durée (s)]]))+(SUMPRODUCT((Donnees[Échantillon]=Donnees[[#This Row],[Échantillon]])*(Donnees[Durée (s)]=Donnees[[#This Row],[Durée (s)]]))+1)/2</f>
        <v>78</v>
      </c>
      <c r="AH57" s="43">
        <f>SUMPRODUCT((Donnees[Échantillon]=Donnees[[#This Row],[Échantillon]])*(Donnees[Nb hashtags]&lt;Donnees[[#This Row],[Nb hashtags]]))+(SUMPRODUCT((Donnees[Échantillon]=Donnees[[#This Row],[Échantillon]])*(Donnees[Nb hashtags]=Donnees[[#This Row],[Nb hashtags]]))+1)/2</f>
        <v>52</v>
      </c>
      <c r="AI57" s="43">
        <f>SUMPRODUCT((Donnees[Échantillon]=Donnees[[#This Row],[Échantillon]])*(Donnees[Longueur du texte]&lt;Donnees[[#This Row],[Longueur du texte]]))+(SUMPRODUCT((Donnees[Échantillon]=Donnees[[#This Row],[Échantillon]])*(Donnees[Longueur du texte]=Donnees[[#This Row],[Longueur du texte]]))+1)/2</f>
        <v>64</v>
      </c>
      <c r="AJ57" s="43" t="str">
        <f>IF(Donnees[[#This Row],[Abonnés]]="","",SUMPRODUCT((Donnees[Échantillon]=Donnees[[#This Row],[Échantillon]])*(Donnees[Abonnés]&lt;Donnees[[#This Row],[Abonnés]]))+(SUMPRODUCT((Donnees[Échantillon]=Donnees[[#This Row],[Échantillon]])*(Donnees[Abonnés]=Donnees[[#This Row],[Abonnés]]))+1)/2)</f>
        <v/>
      </c>
      <c r="AK5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58" spans="1:37" x14ac:dyDescent="0.2">
      <c r="A58" s="40" t="s">
        <v>37</v>
      </c>
      <c r="B58" s="40" t="s">
        <v>108</v>
      </c>
      <c r="C58" s="40" t="s">
        <v>67</v>
      </c>
      <c r="D58" s="40">
        <v>9</v>
      </c>
      <c r="E58" s="40" t="s">
        <v>56</v>
      </c>
      <c r="F58" s="40" t="str">
        <f>IF(OR(Donnees[[#This Row],[Jour]]="samedi",Donnees[[#This Row],[Jour]]="dimanche"),"Oui","Non")</f>
        <v>Oui</v>
      </c>
      <c r="G58" s="40">
        <v>3</v>
      </c>
      <c r="H58" s="40" t="str">
        <f>IF(Donnees[[#This Row],[Heure UTC]]&lt;6,"0-5 h",IF(Donnees[[#This Row],[Heure UTC]]&lt;12,"6-11 h",IF(Donnees[[#This Row],[Heure UTC]]&lt;18,"12-17 h","18-23 h")))</f>
        <v>0-5 h</v>
      </c>
      <c r="I58" s="40">
        <v>7</v>
      </c>
      <c r="J58" s="40" t="str">
        <f>IF(Donnees[[#This Row],[Durée (s)]]&lt;=10,"1. ≤ 10 s",IF(Donnees[[#This Row],[Durée (s)]]&lt;=15,"2. 11-15 s",IF(Donnees[[#This Row],[Durée (s)]]&lt;=30,"3. 16-30 s",IF(Donnees[[#This Row],[Durée (s)]]&lt;=60,"4. 31-60 s","5. &gt; 60 s"))))</f>
        <v>1. ≤ 10 s</v>
      </c>
      <c r="K58" s="40" t="str">
        <f>IF(Donnees[[#This Row],[Durée (s)]]&gt;15,"Oui","Non")</f>
        <v>Non</v>
      </c>
      <c r="L58" s="40">
        <v>3</v>
      </c>
      <c r="M58" s="40" t="s">
        <v>44</v>
      </c>
      <c r="N58" s="40">
        <v>19</v>
      </c>
      <c r="O58" s="40" t="s">
        <v>41</v>
      </c>
      <c r="P58" s="40" t="s">
        <v>41</v>
      </c>
      <c r="Q58" s="40" t="s">
        <v>41</v>
      </c>
      <c r="R58" s="40"/>
      <c r="S58" s="40"/>
      <c r="T58" s="41"/>
      <c r="U58" s="40" t="str">
        <f>IF(Donnees[[#This Row],[Abonnés]]="","",IF(Donnees[[#This Row],[Abonnés]]&lt;1000000,"1. &lt; 1 M",IF(Donnees[[#This Row],[Abonnés]]&lt;3000000,"2. 1-3 M",IF(Donnees[[#This Row],[Abonnés]]&lt;8000000,"3. 3-8 M","4. ≥ 8 M"))))</f>
        <v/>
      </c>
      <c r="V58" s="41"/>
      <c r="W58" s="41">
        <v>7700000</v>
      </c>
      <c r="X58" s="41">
        <v>944600</v>
      </c>
      <c r="Y58" s="41">
        <v>6370</v>
      </c>
      <c r="Z58" s="41">
        <v>41600</v>
      </c>
      <c r="AA58" s="42">
        <f>(Donnees[[#This Row],[Likes]]+Donnees[[#This Row],[Commentaires]]+Donnees[[#This Row],[Partages]])/Donnees[[#This Row],[Vues]]</f>
        <v>0.1289051948051948</v>
      </c>
      <c r="AB58" s="40">
        <f>IF(Donnees[[#This Row],[Engagement]]&gt;=VLOOKUP(Donnees[[#This Row],[Échantillon]],'Méthode &amp; limites'!$B$9:$D$11,2,FALSE),1,0)</f>
        <v>0</v>
      </c>
      <c r="AC58" s="43" t="str">
        <f>IF(Donnees[[#This Row],[Abonnés]]="","",Donnees[[#This Row],[Vues]]/Donnees[[#This Row],[Abonnés]])</f>
        <v/>
      </c>
      <c r="AD58" s="40" t="s">
        <v>44</v>
      </c>
      <c r="AE58" s="43">
        <f>SUMPRODUCT((Donnees[Échantillon]=Donnees[[#This Row],[Échantillon]])*(Donnees[Engagement]&lt;Donnees[[#This Row],[Engagement]]))+(SUMPRODUCT((Donnees[Échantillon]=Donnees[[#This Row],[Échantillon]])*(Donnees[Engagement]=Donnees[[#This Row],[Engagement]]))+1)/2</f>
        <v>67</v>
      </c>
      <c r="AF58" s="43">
        <f>SUMPRODUCT((Donnees[Échantillon]=Donnees[[#This Row],[Échantillon]])*(Donnees[Vues]&lt;Donnees[[#This Row],[Vues]]))+(SUMPRODUCT((Donnees[Échantillon]=Donnees[[#This Row],[Échantillon]])*(Donnees[Vues]=Donnees[[#This Row],[Vues]]))+1)/2</f>
        <v>44</v>
      </c>
      <c r="AG58" s="43">
        <f>SUMPRODUCT((Donnees[Échantillon]=Donnees[[#This Row],[Échantillon]])*(Donnees[Durée (s)]&lt;Donnees[[#This Row],[Durée (s)]]))+(SUMPRODUCT((Donnees[Échantillon]=Donnees[[#This Row],[Échantillon]])*(Donnees[Durée (s)]=Donnees[[#This Row],[Durée (s)]]))+1)/2</f>
        <v>3</v>
      </c>
      <c r="AH58" s="43">
        <f>SUMPRODUCT((Donnees[Échantillon]=Donnees[[#This Row],[Échantillon]])*(Donnees[Nb hashtags]&lt;Donnees[[#This Row],[Nb hashtags]]))+(SUMPRODUCT((Donnees[Échantillon]=Donnees[[#This Row],[Échantillon]])*(Donnees[Nb hashtags]=Donnees[[#This Row],[Nb hashtags]]))+1)/2</f>
        <v>52</v>
      </c>
      <c r="AI58" s="43">
        <f>SUMPRODUCT((Donnees[Échantillon]=Donnees[[#This Row],[Échantillon]])*(Donnees[Longueur du texte]&lt;Donnees[[#This Row],[Longueur du texte]]))+(SUMPRODUCT((Donnees[Échantillon]=Donnees[[#This Row],[Échantillon]])*(Donnees[Longueur du texte]=Donnees[[#This Row],[Longueur du texte]]))+1)/2</f>
        <v>56.5</v>
      </c>
      <c r="AJ58" s="43" t="str">
        <f>IF(Donnees[[#This Row],[Abonnés]]="","",SUMPRODUCT((Donnees[Échantillon]=Donnees[[#This Row],[Échantillon]])*(Donnees[Abonnés]&lt;Donnees[[#This Row],[Abonnés]]))+(SUMPRODUCT((Donnees[Échantillon]=Donnees[[#This Row],[Échantillon]])*(Donnees[Abonnés]=Donnees[[#This Row],[Abonnés]]))+1)/2)</f>
        <v/>
      </c>
      <c r="AK5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59" spans="1:37" x14ac:dyDescent="0.2">
      <c r="A59" s="40" t="s">
        <v>37</v>
      </c>
      <c r="B59" s="40" t="s">
        <v>109</v>
      </c>
      <c r="C59" s="40" t="s">
        <v>50</v>
      </c>
      <c r="D59" s="40">
        <v>7</v>
      </c>
      <c r="E59" s="40" t="s">
        <v>40</v>
      </c>
      <c r="F59" s="40" t="str">
        <f>IF(OR(Donnees[[#This Row],[Jour]]="samedi",Donnees[[#This Row],[Jour]]="dimanche"),"Oui","Non")</f>
        <v>Non</v>
      </c>
      <c r="G59" s="40">
        <v>21</v>
      </c>
      <c r="H59" s="40" t="str">
        <f>IF(Donnees[[#This Row],[Heure UTC]]&lt;6,"0-5 h",IF(Donnees[[#This Row],[Heure UTC]]&lt;12,"6-11 h",IF(Donnees[[#This Row],[Heure UTC]]&lt;18,"12-17 h","18-23 h")))</f>
        <v>18-23 h</v>
      </c>
      <c r="I59" s="40">
        <v>16</v>
      </c>
      <c r="J59" s="40" t="str">
        <f>IF(Donnees[[#This Row],[Durée (s)]]&lt;=10,"1. ≤ 10 s",IF(Donnees[[#This Row],[Durée (s)]]&lt;=15,"2. 11-15 s",IF(Donnees[[#This Row],[Durée (s)]]&lt;=30,"3. 16-30 s",IF(Donnees[[#This Row],[Durée (s)]]&lt;=60,"4. 31-60 s","5. &gt; 60 s"))))</f>
        <v>3. 16-30 s</v>
      </c>
      <c r="K59" s="40" t="str">
        <f>IF(Donnees[[#This Row],[Durée (s)]]&gt;15,"Oui","Non")</f>
        <v>Oui</v>
      </c>
      <c r="L59" s="40">
        <v>14</v>
      </c>
      <c r="M59" s="40" t="s">
        <v>44</v>
      </c>
      <c r="N59" s="40">
        <v>20</v>
      </c>
      <c r="O59" s="40" t="s">
        <v>41</v>
      </c>
      <c r="P59" s="40" t="s">
        <v>44</v>
      </c>
      <c r="Q59" s="40" t="s">
        <v>41</v>
      </c>
      <c r="R59" s="40"/>
      <c r="S59" s="40"/>
      <c r="T59" s="41"/>
      <c r="U59" s="40" t="str">
        <f>IF(Donnees[[#This Row],[Abonnés]]="","",IF(Donnees[[#This Row],[Abonnés]]&lt;1000000,"1. &lt; 1 M",IF(Donnees[[#This Row],[Abonnés]]&lt;3000000,"2. 1-3 M",IF(Donnees[[#This Row],[Abonnés]]&lt;8000000,"3. 3-8 M","4. ≥ 8 M"))))</f>
        <v/>
      </c>
      <c r="V59" s="41"/>
      <c r="W59" s="41">
        <v>6700000</v>
      </c>
      <c r="X59" s="41">
        <v>215800</v>
      </c>
      <c r="Y59" s="41">
        <v>5923</v>
      </c>
      <c r="Z59" s="41">
        <v>45800</v>
      </c>
      <c r="AA59" s="42">
        <f>(Donnees[[#This Row],[Likes]]+Donnees[[#This Row],[Commentaires]]+Donnees[[#This Row],[Partages]])/Donnees[[#This Row],[Vues]]</f>
        <v>3.992880597014925E-2</v>
      </c>
      <c r="AB59" s="40">
        <f>IF(Donnees[[#This Row],[Engagement]]&gt;=VLOOKUP(Donnees[[#This Row],[Échantillon]],'Méthode &amp; limites'!$B$9:$D$11,2,FALSE),1,0)</f>
        <v>0</v>
      </c>
      <c r="AC59" s="43" t="str">
        <f>IF(Donnees[[#This Row],[Abonnés]]="","",Donnees[[#This Row],[Vues]]/Donnees[[#This Row],[Abonnés]])</f>
        <v/>
      </c>
      <c r="AD59" s="40" t="s">
        <v>44</v>
      </c>
      <c r="AE59" s="43">
        <f>SUMPRODUCT((Donnees[Échantillon]=Donnees[[#This Row],[Échantillon]])*(Donnees[Engagement]&lt;Donnees[[#This Row],[Engagement]]))+(SUMPRODUCT((Donnees[Échantillon]=Donnees[[#This Row],[Échantillon]])*(Donnees[Engagement]=Donnees[[#This Row],[Engagement]]))+1)/2</f>
        <v>6</v>
      </c>
      <c r="AF59" s="43">
        <f>SUMPRODUCT((Donnees[Échantillon]=Donnees[[#This Row],[Échantillon]])*(Donnees[Vues]&lt;Donnees[[#This Row],[Vues]]))+(SUMPRODUCT((Donnees[Échantillon]=Donnees[[#This Row],[Échantillon]])*(Donnees[Vues]=Donnees[[#This Row],[Vues]]))+1)/2</f>
        <v>43</v>
      </c>
      <c r="AG59" s="43">
        <f>SUMPRODUCT((Donnees[Échantillon]=Donnees[[#This Row],[Échantillon]])*(Donnees[Durée (s)]&lt;Donnees[[#This Row],[Durée (s)]]))+(SUMPRODUCT((Donnees[Échantillon]=Donnees[[#This Row],[Échantillon]])*(Donnees[Durée (s)]=Donnees[[#This Row],[Durée (s)]]))+1)/2</f>
        <v>84</v>
      </c>
      <c r="AH59" s="43">
        <f>SUMPRODUCT((Donnees[Échantillon]=Donnees[[#This Row],[Échantillon]])*(Donnees[Nb hashtags]&lt;Donnees[[#This Row],[Nb hashtags]]))+(SUMPRODUCT((Donnees[Échantillon]=Donnees[[#This Row],[Échantillon]])*(Donnees[Nb hashtags]=Donnees[[#This Row],[Nb hashtags]]))+1)/2</f>
        <v>99</v>
      </c>
      <c r="AI59" s="43">
        <f>SUMPRODUCT((Donnees[Échantillon]=Donnees[[#This Row],[Échantillon]])*(Donnees[Longueur du texte]&lt;Donnees[[#This Row],[Longueur du texte]]))+(SUMPRODUCT((Donnees[Échantillon]=Donnees[[#This Row],[Échantillon]])*(Donnees[Longueur du texte]=Donnees[[#This Row],[Longueur du texte]]))+1)/2</f>
        <v>59</v>
      </c>
      <c r="AJ59" s="43" t="str">
        <f>IF(Donnees[[#This Row],[Abonnés]]="","",SUMPRODUCT((Donnees[Échantillon]=Donnees[[#This Row],[Échantillon]])*(Donnees[Abonnés]&lt;Donnees[[#This Row],[Abonnés]]))+(SUMPRODUCT((Donnees[Échantillon]=Donnees[[#This Row],[Échantillon]])*(Donnees[Abonnés]=Donnees[[#This Row],[Abonnés]]))+1)/2)</f>
        <v/>
      </c>
      <c r="AK5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60" spans="1:37" x14ac:dyDescent="0.2">
      <c r="A60" s="40" t="s">
        <v>37</v>
      </c>
      <c r="B60" s="40" t="s">
        <v>110</v>
      </c>
      <c r="C60" s="40" t="s">
        <v>62</v>
      </c>
      <c r="D60" s="40">
        <v>32</v>
      </c>
      <c r="E60" s="40" t="s">
        <v>68</v>
      </c>
      <c r="F60" s="40" t="str">
        <f>IF(OR(Donnees[[#This Row],[Jour]]="samedi",Donnees[[#This Row],[Jour]]="dimanche"),"Oui","Non")</f>
        <v>Non</v>
      </c>
      <c r="G60" s="40">
        <v>1</v>
      </c>
      <c r="H60" s="40" t="str">
        <f>IF(Donnees[[#This Row],[Heure UTC]]&lt;6,"0-5 h",IF(Donnees[[#This Row],[Heure UTC]]&lt;12,"6-11 h",IF(Donnees[[#This Row],[Heure UTC]]&lt;18,"12-17 h","18-23 h")))</f>
        <v>0-5 h</v>
      </c>
      <c r="I60" s="40">
        <v>66</v>
      </c>
      <c r="J60" s="40" t="str">
        <f>IF(Donnees[[#This Row],[Durée (s)]]&lt;=10,"1. ≤ 10 s",IF(Donnees[[#This Row],[Durée (s)]]&lt;=15,"2. 11-15 s",IF(Donnees[[#This Row],[Durée (s)]]&lt;=30,"3. 16-30 s",IF(Donnees[[#This Row],[Durée (s)]]&lt;=60,"4. 31-60 s","5. &gt; 60 s"))))</f>
        <v>5. &gt; 60 s</v>
      </c>
      <c r="K60" s="40" t="str">
        <f>IF(Donnees[[#This Row],[Durée (s)]]&gt;15,"Oui","Non")</f>
        <v>Oui</v>
      </c>
      <c r="L60" s="40">
        <v>12</v>
      </c>
      <c r="M60" s="40" t="s">
        <v>44</v>
      </c>
      <c r="N60" s="40">
        <v>35</v>
      </c>
      <c r="O60" s="40" t="s">
        <v>41</v>
      </c>
      <c r="P60" s="40" t="s">
        <v>41</v>
      </c>
      <c r="Q60" s="40" t="s">
        <v>44</v>
      </c>
      <c r="R60" s="40"/>
      <c r="S60" s="40"/>
      <c r="T60" s="41"/>
      <c r="U60" s="40" t="str">
        <f>IF(Donnees[[#This Row],[Abonnés]]="","",IF(Donnees[[#This Row],[Abonnés]]&lt;1000000,"1. &lt; 1 M",IF(Donnees[[#This Row],[Abonnés]]&lt;3000000,"2. 1-3 M",IF(Donnees[[#This Row],[Abonnés]]&lt;8000000,"3. 3-8 M","4. ≥ 8 M"))))</f>
        <v/>
      </c>
      <c r="V60" s="41"/>
      <c r="W60" s="41">
        <v>6200000</v>
      </c>
      <c r="X60" s="41">
        <v>1000000</v>
      </c>
      <c r="Y60" s="41">
        <v>15300</v>
      </c>
      <c r="Z60" s="41">
        <v>36400</v>
      </c>
      <c r="AA60" s="42">
        <f>(Donnees[[#This Row],[Likes]]+Donnees[[#This Row],[Commentaires]]+Donnees[[#This Row],[Partages]])/Donnees[[#This Row],[Vues]]</f>
        <v>0.16962903225806453</v>
      </c>
      <c r="AB60" s="40">
        <f>IF(Donnees[[#This Row],[Engagement]]&gt;=VLOOKUP(Donnees[[#This Row],[Échantillon]],'Méthode &amp; limites'!$B$9:$D$11,2,FALSE),1,0)</f>
        <v>1</v>
      </c>
      <c r="AC60" s="43" t="str">
        <f>IF(Donnees[[#This Row],[Abonnés]]="","",Donnees[[#This Row],[Vues]]/Donnees[[#This Row],[Abonnés]])</f>
        <v/>
      </c>
      <c r="AD60" s="40" t="s">
        <v>44</v>
      </c>
      <c r="AE60" s="43">
        <f>SUMPRODUCT((Donnees[Échantillon]=Donnees[[#This Row],[Échantillon]])*(Donnees[Engagement]&lt;Donnees[[#This Row],[Engagement]]))+(SUMPRODUCT((Donnees[Échantillon]=Donnees[[#This Row],[Échantillon]])*(Donnees[Engagement]=Donnees[[#This Row],[Engagement]]))+1)/2</f>
        <v>82</v>
      </c>
      <c r="AF60" s="43">
        <f>SUMPRODUCT((Donnees[Échantillon]=Donnees[[#This Row],[Échantillon]])*(Donnees[Vues]&lt;Donnees[[#This Row],[Vues]]))+(SUMPRODUCT((Donnees[Échantillon]=Donnees[[#This Row],[Échantillon]])*(Donnees[Vues]=Donnees[[#This Row],[Vues]]))+1)/2</f>
        <v>42</v>
      </c>
      <c r="AG60" s="43">
        <f>SUMPRODUCT((Donnees[Échantillon]=Donnees[[#This Row],[Échantillon]])*(Donnees[Durée (s)]&lt;Donnees[[#This Row],[Durée (s)]]))+(SUMPRODUCT((Donnees[Échantillon]=Donnees[[#This Row],[Échantillon]])*(Donnees[Durée (s)]=Donnees[[#This Row],[Durée (s)]]))+1)/2</f>
        <v>99</v>
      </c>
      <c r="AH60" s="43">
        <f>SUMPRODUCT((Donnees[Échantillon]=Donnees[[#This Row],[Échantillon]])*(Donnees[Nb hashtags]&lt;Donnees[[#This Row],[Nb hashtags]]))+(SUMPRODUCT((Donnees[Échantillon]=Donnees[[#This Row],[Échantillon]])*(Donnees[Nb hashtags]=Donnees[[#This Row],[Nb hashtags]]))+1)/2</f>
        <v>98</v>
      </c>
      <c r="AI60" s="43">
        <f>SUMPRODUCT((Donnees[Échantillon]=Donnees[[#This Row],[Échantillon]])*(Donnees[Longueur du texte]&lt;Donnees[[#This Row],[Longueur du texte]]))+(SUMPRODUCT((Donnees[Échantillon]=Donnees[[#This Row],[Échantillon]])*(Donnees[Longueur du texte]=Donnees[[#This Row],[Longueur du texte]]))+1)/2</f>
        <v>78</v>
      </c>
      <c r="AJ60" s="43" t="str">
        <f>IF(Donnees[[#This Row],[Abonnés]]="","",SUMPRODUCT((Donnees[Échantillon]=Donnees[[#This Row],[Échantillon]])*(Donnees[Abonnés]&lt;Donnees[[#This Row],[Abonnés]]))+(SUMPRODUCT((Donnees[Échantillon]=Donnees[[#This Row],[Échantillon]])*(Donnees[Abonnés]=Donnees[[#This Row],[Abonnés]]))+1)/2)</f>
        <v/>
      </c>
      <c r="AK6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61" spans="1:37" x14ac:dyDescent="0.2">
      <c r="A61" s="40" t="s">
        <v>37</v>
      </c>
      <c r="B61" s="40" t="s">
        <v>112</v>
      </c>
      <c r="C61" s="40" t="s">
        <v>50</v>
      </c>
      <c r="D61" s="40">
        <v>53</v>
      </c>
      <c r="E61" s="40" t="s">
        <v>68</v>
      </c>
      <c r="F61" s="40" t="str">
        <f>IF(OR(Donnees[[#This Row],[Jour]]="samedi",Donnees[[#This Row],[Jour]]="dimanche"),"Oui","Non")</f>
        <v>Non</v>
      </c>
      <c r="G61" s="40">
        <v>1</v>
      </c>
      <c r="H61" s="40" t="str">
        <f>IF(Donnees[[#This Row],[Heure UTC]]&lt;6,"0-5 h",IF(Donnees[[#This Row],[Heure UTC]]&lt;12,"6-11 h",IF(Donnees[[#This Row],[Heure UTC]]&lt;18,"12-17 h","18-23 h")))</f>
        <v>0-5 h</v>
      </c>
      <c r="I61" s="40">
        <v>8</v>
      </c>
      <c r="J61" s="40" t="str">
        <f>IF(Donnees[[#This Row],[Durée (s)]]&lt;=10,"1. ≤ 10 s",IF(Donnees[[#This Row],[Durée (s)]]&lt;=15,"2. 11-15 s",IF(Donnees[[#This Row],[Durée (s)]]&lt;=30,"3. 16-30 s",IF(Donnees[[#This Row],[Durée (s)]]&lt;=60,"4. 31-60 s","5. &gt; 60 s"))))</f>
        <v>1. ≤ 10 s</v>
      </c>
      <c r="K61" s="40" t="str">
        <f>IF(Donnees[[#This Row],[Durée (s)]]&gt;15,"Oui","Non")</f>
        <v>Non</v>
      </c>
      <c r="L61" s="40">
        <v>4</v>
      </c>
      <c r="M61" s="40" t="s">
        <v>44</v>
      </c>
      <c r="N61" s="40">
        <v>0</v>
      </c>
      <c r="O61" s="40" t="s">
        <v>41</v>
      </c>
      <c r="P61" s="40" t="s">
        <v>41</v>
      </c>
      <c r="Q61" s="40" t="s">
        <v>41</v>
      </c>
      <c r="R61" s="40"/>
      <c r="S61" s="40"/>
      <c r="T61" s="41"/>
      <c r="U61" s="40" t="str">
        <f>IF(Donnees[[#This Row],[Abonnés]]="","",IF(Donnees[[#This Row],[Abonnés]]&lt;1000000,"1. &lt; 1 M",IF(Donnees[[#This Row],[Abonnés]]&lt;3000000,"2. 1-3 M",IF(Donnees[[#This Row],[Abonnés]]&lt;8000000,"3. 3-8 M","4. ≥ 8 M"))))</f>
        <v/>
      </c>
      <c r="V61" s="41"/>
      <c r="W61" s="41">
        <v>6100000</v>
      </c>
      <c r="X61" s="41">
        <v>247500</v>
      </c>
      <c r="Y61" s="41">
        <v>1524</v>
      </c>
      <c r="Z61" s="41">
        <v>80600</v>
      </c>
      <c r="AA61" s="42">
        <f>(Donnees[[#This Row],[Likes]]+Donnees[[#This Row],[Commentaires]]+Donnees[[#This Row],[Partages]])/Donnees[[#This Row],[Vues]]</f>
        <v>5.4036721311475411E-2</v>
      </c>
      <c r="AB61" s="40">
        <f>IF(Donnees[[#This Row],[Engagement]]&gt;=VLOOKUP(Donnees[[#This Row],[Échantillon]],'Méthode &amp; limites'!$B$9:$D$11,2,FALSE),1,0)</f>
        <v>0</v>
      </c>
      <c r="AC61" s="43" t="str">
        <f>IF(Donnees[[#This Row],[Abonnés]]="","",Donnees[[#This Row],[Vues]]/Donnees[[#This Row],[Abonnés]])</f>
        <v/>
      </c>
      <c r="AD61" s="40" t="s">
        <v>44</v>
      </c>
      <c r="AE61" s="43">
        <f>SUMPRODUCT((Donnees[Échantillon]=Donnees[[#This Row],[Échantillon]])*(Donnees[Engagement]&lt;Donnees[[#This Row],[Engagement]]))+(SUMPRODUCT((Donnees[Échantillon]=Donnees[[#This Row],[Échantillon]])*(Donnees[Engagement]=Donnees[[#This Row],[Engagement]]))+1)/2</f>
        <v>14</v>
      </c>
      <c r="AF61" s="43">
        <f>SUMPRODUCT((Donnees[Échantillon]=Donnees[[#This Row],[Échantillon]])*(Donnees[Vues]&lt;Donnees[[#This Row],[Vues]]))+(SUMPRODUCT((Donnees[Échantillon]=Donnees[[#This Row],[Échantillon]])*(Donnees[Vues]=Donnees[[#This Row],[Vues]]))+1)/2</f>
        <v>41</v>
      </c>
      <c r="AG61" s="43">
        <f>SUMPRODUCT((Donnees[Échantillon]=Donnees[[#This Row],[Échantillon]])*(Donnees[Durée (s)]&lt;Donnees[[#This Row],[Durée (s)]]))+(SUMPRODUCT((Donnees[Échantillon]=Donnees[[#This Row],[Échantillon]])*(Donnees[Durée (s)]=Donnees[[#This Row],[Durée (s)]]))+1)/2</f>
        <v>14</v>
      </c>
      <c r="AH61" s="43">
        <f>SUMPRODUCT((Donnees[Échantillon]=Donnees[[#This Row],[Échantillon]])*(Donnees[Nb hashtags]&lt;Donnees[[#This Row],[Nb hashtags]]))+(SUMPRODUCT((Donnees[Échantillon]=Donnees[[#This Row],[Échantillon]])*(Donnees[Nb hashtags]=Donnees[[#This Row],[Nb hashtags]]))+1)/2</f>
        <v>62</v>
      </c>
      <c r="AI61" s="43">
        <f>SUMPRODUCT((Donnees[Échantillon]=Donnees[[#This Row],[Échantillon]])*(Donnees[Longueur du texte]&lt;Donnees[[#This Row],[Longueur du texte]]))+(SUMPRODUCT((Donnees[Échantillon]=Donnees[[#This Row],[Échantillon]])*(Donnees[Longueur du texte]=Donnees[[#This Row],[Longueur du texte]]))+1)/2</f>
        <v>16</v>
      </c>
      <c r="AJ61" s="43" t="str">
        <f>IF(Donnees[[#This Row],[Abonnés]]="","",SUMPRODUCT((Donnees[Échantillon]=Donnees[[#This Row],[Échantillon]])*(Donnees[Abonnés]&lt;Donnees[[#This Row],[Abonnés]]))+(SUMPRODUCT((Donnees[Échantillon]=Donnees[[#This Row],[Échantillon]])*(Donnees[Abonnés]=Donnees[[#This Row],[Abonnés]]))+1)/2)</f>
        <v/>
      </c>
      <c r="AK6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62" spans="1:37" x14ac:dyDescent="0.2">
      <c r="A62" s="40" t="s">
        <v>37</v>
      </c>
      <c r="B62" s="40" t="s">
        <v>113</v>
      </c>
      <c r="C62" s="40" t="s">
        <v>67</v>
      </c>
      <c r="D62" s="40">
        <v>25</v>
      </c>
      <c r="E62" s="40" t="s">
        <v>68</v>
      </c>
      <c r="F62" s="40" t="str">
        <f>IF(OR(Donnees[[#This Row],[Jour]]="samedi",Donnees[[#This Row],[Jour]]="dimanche"),"Oui","Non")</f>
        <v>Non</v>
      </c>
      <c r="G62" s="40">
        <v>16</v>
      </c>
      <c r="H62" s="40" t="str">
        <f>IF(Donnees[[#This Row],[Heure UTC]]&lt;6,"0-5 h",IF(Donnees[[#This Row],[Heure UTC]]&lt;12,"6-11 h",IF(Donnees[[#This Row],[Heure UTC]]&lt;18,"12-17 h","18-23 h")))</f>
        <v>12-17 h</v>
      </c>
      <c r="I62" s="40">
        <v>8</v>
      </c>
      <c r="J62" s="40" t="str">
        <f>IF(Donnees[[#This Row],[Durée (s)]]&lt;=10,"1. ≤ 10 s",IF(Donnees[[#This Row],[Durée (s)]]&lt;=15,"2. 11-15 s",IF(Donnees[[#This Row],[Durée (s)]]&lt;=30,"3. 16-30 s",IF(Donnees[[#This Row],[Durée (s)]]&lt;=60,"4. 31-60 s","5. &gt; 60 s"))))</f>
        <v>1. ≤ 10 s</v>
      </c>
      <c r="K62" s="40" t="str">
        <f>IF(Donnees[[#This Row],[Durée (s)]]&gt;15,"Oui","Non")</f>
        <v>Non</v>
      </c>
      <c r="L62" s="40">
        <v>5</v>
      </c>
      <c r="M62" s="40" t="s">
        <v>41</v>
      </c>
      <c r="N62" s="40">
        <v>0</v>
      </c>
      <c r="O62" s="40" t="s">
        <v>41</v>
      </c>
      <c r="P62" s="40" t="s">
        <v>41</v>
      </c>
      <c r="Q62" s="40" t="s">
        <v>41</v>
      </c>
      <c r="R62" s="40"/>
      <c r="S62" s="40"/>
      <c r="T62" s="41"/>
      <c r="U62" s="40" t="str">
        <f>IF(Donnees[[#This Row],[Abonnés]]="","",IF(Donnees[[#This Row],[Abonnés]]&lt;1000000,"1. &lt; 1 M",IF(Donnees[[#This Row],[Abonnés]]&lt;3000000,"2. 1-3 M",IF(Donnees[[#This Row],[Abonnés]]&lt;8000000,"3. 3-8 M","4. ≥ 8 M"))))</f>
        <v/>
      </c>
      <c r="V62" s="41"/>
      <c r="W62" s="41">
        <v>5700000</v>
      </c>
      <c r="X62" s="41">
        <v>310300</v>
      </c>
      <c r="Y62" s="41">
        <v>3955</v>
      </c>
      <c r="Z62" s="41">
        <v>112500</v>
      </c>
      <c r="AA62" s="42">
        <f>(Donnees[[#This Row],[Likes]]+Donnees[[#This Row],[Commentaires]]+Donnees[[#This Row],[Partages]])/Donnees[[#This Row],[Vues]]</f>
        <v>7.486929824561403E-2</v>
      </c>
      <c r="AB62" s="40">
        <f>IF(Donnees[[#This Row],[Engagement]]&gt;=VLOOKUP(Donnees[[#This Row],[Échantillon]],'Méthode &amp; limites'!$B$9:$D$11,2,FALSE),1,0)</f>
        <v>0</v>
      </c>
      <c r="AC62" s="43" t="str">
        <f>IF(Donnees[[#This Row],[Abonnés]]="","",Donnees[[#This Row],[Vues]]/Donnees[[#This Row],[Abonnés]])</f>
        <v/>
      </c>
      <c r="AD62" s="40" t="s">
        <v>44</v>
      </c>
      <c r="AE62" s="43">
        <f>SUMPRODUCT((Donnees[Échantillon]=Donnees[[#This Row],[Échantillon]])*(Donnees[Engagement]&lt;Donnees[[#This Row],[Engagement]]))+(SUMPRODUCT((Donnees[Échantillon]=Donnees[[#This Row],[Échantillon]])*(Donnees[Engagement]=Donnees[[#This Row],[Engagement]]))+1)/2</f>
        <v>24</v>
      </c>
      <c r="AF62" s="43">
        <f>SUMPRODUCT((Donnees[Échantillon]=Donnees[[#This Row],[Échantillon]])*(Donnees[Vues]&lt;Donnees[[#This Row],[Vues]]))+(SUMPRODUCT((Donnees[Échantillon]=Donnees[[#This Row],[Échantillon]])*(Donnees[Vues]=Donnees[[#This Row],[Vues]]))+1)/2</f>
        <v>40</v>
      </c>
      <c r="AG62" s="43">
        <f>SUMPRODUCT((Donnees[Échantillon]=Donnees[[#This Row],[Échantillon]])*(Donnees[Durée (s)]&lt;Donnees[[#This Row],[Durée (s)]]))+(SUMPRODUCT((Donnees[Échantillon]=Donnees[[#This Row],[Échantillon]])*(Donnees[Durée (s)]=Donnees[[#This Row],[Durée (s)]]))+1)/2</f>
        <v>14</v>
      </c>
      <c r="AH62" s="43">
        <f>SUMPRODUCT((Donnees[Échantillon]=Donnees[[#This Row],[Échantillon]])*(Donnees[Nb hashtags]&lt;Donnees[[#This Row],[Nb hashtags]]))+(SUMPRODUCT((Donnees[Échantillon]=Donnees[[#This Row],[Échantillon]])*(Donnees[Nb hashtags]=Donnees[[#This Row],[Nb hashtags]]))+1)/2</f>
        <v>70</v>
      </c>
      <c r="AI62" s="43">
        <f>SUMPRODUCT((Donnees[Échantillon]=Donnees[[#This Row],[Échantillon]])*(Donnees[Longueur du texte]&lt;Donnees[[#This Row],[Longueur du texte]]))+(SUMPRODUCT((Donnees[Échantillon]=Donnees[[#This Row],[Échantillon]])*(Donnees[Longueur du texte]=Donnees[[#This Row],[Longueur du texte]]))+1)/2</f>
        <v>16</v>
      </c>
      <c r="AJ62" s="43" t="str">
        <f>IF(Donnees[[#This Row],[Abonnés]]="","",SUMPRODUCT((Donnees[Échantillon]=Donnees[[#This Row],[Échantillon]])*(Donnees[Abonnés]&lt;Donnees[[#This Row],[Abonnés]]))+(SUMPRODUCT((Donnees[Échantillon]=Donnees[[#This Row],[Échantillon]])*(Donnees[Abonnés]=Donnees[[#This Row],[Abonnés]]))+1)/2)</f>
        <v/>
      </c>
      <c r="AK6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63" spans="1:37" x14ac:dyDescent="0.2">
      <c r="A63" s="40" t="s">
        <v>37</v>
      </c>
      <c r="B63" s="40" t="s">
        <v>114</v>
      </c>
      <c r="C63" s="40" t="s">
        <v>39</v>
      </c>
      <c r="D63" s="40">
        <v>11</v>
      </c>
      <c r="E63" s="40" t="s">
        <v>68</v>
      </c>
      <c r="F63" s="40" t="str">
        <f>IF(OR(Donnees[[#This Row],[Jour]]="samedi",Donnees[[#This Row],[Jour]]="dimanche"),"Oui","Non")</f>
        <v>Non</v>
      </c>
      <c r="G63" s="40">
        <v>23</v>
      </c>
      <c r="H63" s="40" t="str">
        <f>IF(Donnees[[#This Row],[Heure UTC]]&lt;6,"0-5 h",IF(Donnees[[#This Row],[Heure UTC]]&lt;12,"6-11 h",IF(Donnees[[#This Row],[Heure UTC]]&lt;18,"12-17 h","18-23 h")))</f>
        <v>18-23 h</v>
      </c>
      <c r="I63" s="40">
        <v>14</v>
      </c>
      <c r="J63" s="40" t="str">
        <f>IF(Donnees[[#This Row],[Durée (s)]]&lt;=10,"1. ≤ 10 s",IF(Donnees[[#This Row],[Durée (s)]]&lt;=15,"2. 11-15 s",IF(Donnees[[#This Row],[Durée (s)]]&lt;=30,"3. 16-30 s",IF(Donnees[[#This Row],[Durée (s)]]&lt;=60,"4. 31-60 s","5. &gt; 60 s"))))</f>
        <v>2. 11-15 s</v>
      </c>
      <c r="K63" s="40" t="str">
        <f>IF(Donnees[[#This Row],[Durée (s)]]&gt;15,"Oui","Non")</f>
        <v>Non</v>
      </c>
      <c r="L63" s="40">
        <v>1</v>
      </c>
      <c r="M63" s="40" t="s">
        <v>41</v>
      </c>
      <c r="N63" s="40">
        <v>0</v>
      </c>
      <c r="O63" s="40" t="s">
        <v>41</v>
      </c>
      <c r="P63" s="40" t="s">
        <v>41</v>
      </c>
      <c r="Q63" s="40" t="s">
        <v>41</v>
      </c>
      <c r="R63" s="40"/>
      <c r="S63" s="40"/>
      <c r="T63" s="41"/>
      <c r="U63" s="40" t="str">
        <f>IF(Donnees[[#This Row],[Abonnés]]="","",IF(Donnees[[#This Row],[Abonnés]]&lt;1000000,"1. &lt; 1 M",IF(Donnees[[#This Row],[Abonnés]]&lt;3000000,"2. 1-3 M",IF(Donnees[[#This Row],[Abonnés]]&lt;8000000,"3. 3-8 M","4. ≥ 8 M"))))</f>
        <v/>
      </c>
      <c r="V63" s="41"/>
      <c r="W63" s="41">
        <v>5600000</v>
      </c>
      <c r="X63" s="41">
        <v>228000</v>
      </c>
      <c r="Y63" s="41">
        <v>0</v>
      </c>
      <c r="Z63" s="41">
        <v>9693</v>
      </c>
      <c r="AA63" s="42">
        <f>(Donnees[[#This Row],[Likes]]+Donnees[[#This Row],[Commentaires]]+Donnees[[#This Row],[Partages]])/Donnees[[#This Row],[Vues]]</f>
        <v>4.2445178571428571E-2</v>
      </c>
      <c r="AB63" s="40">
        <f>IF(Donnees[[#This Row],[Engagement]]&gt;=VLOOKUP(Donnees[[#This Row],[Échantillon]],'Méthode &amp; limites'!$B$9:$D$11,2,FALSE),1,0)</f>
        <v>0</v>
      </c>
      <c r="AC63" s="43" t="str">
        <f>IF(Donnees[[#This Row],[Abonnés]]="","",Donnees[[#This Row],[Vues]]/Donnees[[#This Row],[Abonnés]])</f>
        <v/>
      </c>
      <c r="AD63" s="40" t="s">
        <v>44</v>
      </c>
      <c r="AE63" s="43">
        <f>SUMPRODUCT((Donnees[Échantillon]=Donnees[[#This Row],[Échantillon]])*(Donnees[Engagement]&lt;Donnees[[#This Row],[Engagement]]))+(SUMPRODUCT((Donnees[Échantillon]=Donnees[[#This Row],[Échantillon]])*(Donnees[Engagement]=Donnees[[#This Row],[Engagement]]))+1)/2</f>
        <v>8</v>
      </c>
      <c r="AF63" s="43">
        <f>SUMPRODUCT((Donnees[Échantillon]=Donnees[[#This Row],[Échantillon]])*(Donnees[Vues]&lt;Donnees[[#This Row],[Vues]]))+(SUMPRODUCT((Donnees[Échantillon]=Donnees[[#This Row],[Échantillon]])*(Donnees[Vues]=Donnees[[#This Row],[Vues]]))+1)/2</f>
        <v>39</v>
      </c>
      <c r="AG63" s="43">
        <f>SUMPRODUCT((Donnees[Échantillon]=Donnees[[#This Row],[Échantillon]])*(Donnees[Durée (s)]&lt;Donnees[[#This Row],[Durée (s)]]))+(SUMPRODUCT((Donnees[Échantillon]=Donnees[[#This Row],[Échantillon]])*(Donnees[Durée (s)]=Donnees[[#This Row],[Durée (s)]]))+1)/2</f>
        <v>70.5</v>
      </c>
      <c r="AH63" s="43">
        <f>SUMPRODUCT((Donnees[Échantillon]=Donnees[[#This Row],[Échantillon]])*(Donnees[Nb hashtags]&lt;Donnees[[#This Row],[Nb hashtags]]))+(SUMPRODUCT((Donnees[Échantillon]=Donnees[[#This Row],[Échantillon]])*(Donnees[Nb hashtags]=Donnees[[#This Row],[Nb hashtags]]))+1)/2</f>
        <v>39</v>
      </c>
      <c r="AI63" s="43">
        <f>SUMPRODUCT((Donnees[Échantillon]=Donnees[[#This Row],[Échantillon]])*(Donnees[Longueur du texte]&lt;Donnees[[#This Row],[Longueur du texte]]))+(SUMPRODUCT((Donnees[Échantillon]=Donnees[[#This Row],[Échantillon]])*(Donnees[Longueur du texte]=Donnees[[#This Row],[Longueur du texte]]))+1)/2</f>
        <v>16</v>
      </c>
      <c r="AJ63" s="43" t="str">
        <f>IF(Donnees[[#This Row],[Abonnés]]="","",SUMPRODUCT((Donnees[Échantillon]=Donnees[[#This Row],[Échantillon]])*(Donnees[Abonnés]&lt;Donnees[[#This Row],[Abonnés]]))+(SUMPRODUCT((Donnees[Échantillon]=Donnees[[#This Row],[Échantillon]])*(Donnees[Abonnés]=Donnees[[#This Row],[Abonnés]]))+1)/2)</f>
        <v/>
      </c>
      <c r="AK6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64" spans="1:37" x14ac:dyDescent="0.2">
      <c r="A64" s="40" t="s">
        <v>37</v>
      </c>
      <c r="B64" s="40" t="s">
        <v>115</v>
      </c>
      <c r="C64" s="40" t="s">
        <v>39</v>
      </c>
      <c r="D64" s="40">
        <v>19</v>
      </c>
      <c r="E64" s="40" t="s">
        <v>47</v>
      </c>
      <c r="F64" s="40" t="str">
        <f>IF(OR(Donnees[[#This Row],[Jour]]="samedi",Donnees[[#This Row],[Jour]]="dimanche"),"Oui","Non")</f>
        <v>Non</v>
      </c>
      <c r="G64" s="40">
        <v>17</v>
      </c>
      <c r="H64" s="40" t="str">
        <f>IF(Donnees[[#This Row],[Heure UTC]]&lt;6,"0-5 h",IF(Donnees[[#This Row],[Heure UTC]]&lt;12,"6-11 h",IF(Donnees[[#This Row],[Heure UTC]]&lt;18,"12-17 h","18-23 h")))</f>
        <v>12-17 h</v>
      </c>
      <c r="I64" s="40">
        <v>15</v>
      </c>
      <c r="J64" s="40" t="str">
        <f>IF(Donnees[[#This Row],[Durée (s)]]&lt;=10,"1. ≤ 10 s",IF(Donnees[[#This Row],[Durée (s)]]&lt;=15,"2. 11-15 s",IF(Donnees[[#This Row],[Durée (s)]]&lt;=30,"3. 16-30 s",IF(Donnees[[#This Row],[Durée (s)]]&lt;=60,"4. 31-60 s","5. &gt; 60 s"))))</f>
        <v>2. 11-15 s</v>
      </c>
      <c r="K64" s="40" t="str">
        <f>IF(Donnees[[#This Row],[Durée (s)]]&gt;15,"Oui","Non")</f>
        <v>Non</v>
      </c>
      <c r="L64" s="40">
        <v>0</v>
      </c>
      <c r="M64" s="40" t="s">
        <v>41</v>
      </c>
      <c r="N64" s="40">
        <v>63</v>
      </c>
      <c r="O64" s="40" t="s">
        <v>41</v>
      </c>
      <c r="P64" s="40" t="s">
        <v>41</v>
      </c>
      <c r="Q64" s="40" t="s">
        <v>41</v>
      </c>
      <c r="R64" s="40"/>
      <c r="S64" s="40"/>
      <c r="T64" s="41"/>
      <c r="U64" s="40" t="str">
        <f>IF(Donnees[[#This Row],[Abonnés]]="","",IF(Donnees[[#This Row],[Abonnés]]&lt;1000000,"1. &lt; 1 M",IF(Donnees[[#This Row],[Abonnés]]&lt;3000000,"2. 1-3 M",IF(Donnees[[#This Row],[Abonnés]]&lt;8000000,"3. 3-8 M","4. ≥ 8 M"))))</f>
        <v/>
      </c>
      <c r="V64" s="41"/>
      <c r="W64" s="41">
        <v>5500000</v>
      </c>
      <c r="X64" s="41">
        <v>55900</v>
      </c>
      <c r="Y64" s="41">
        <v>8431</v>
      </c>
      <c r="Z64" s="41">
        <v>15800</v>
      </c>
      <c r="AA64" s="42">
        <f>(Donnees[[#This Row],[Likes]]+Donnees[[#This Row],[Commentaires]]+Donnees[[#This Row],[Partages]])/Donnees[[#This Row],[Vues]]</f>
        <v>1.4569272727272728E-2</v>
      </c>
      <c r="AB64" s="40">
        <f>IF(Donnees[[#This Row],[Engagement]]&gt;=VLOOKUP(Donnees[[#This Row],[Échantillon]],'Méthode &amp; limites'!$B$9:$D$11,2,FALSE),1,0)</f>
        <v>0</v>
      </c>
      <c r="AC64" s="43" t="str">
        <f>IF(Donnees[[#This Row],[Abonnés]]="","",Donnees[[#This Row],[Vues]]/Donnees[[#This Row],[Abonnés]])</f>
        <v/>
      </c>
      <c r="AD64" s="40" t="s">
        <v>44</v>
      </c>
      <c r="AE64" s="43">
        <f>SUMPRODUCT((Donnees[Échantillon]=Donnees[[#This Row],[Échantillon]])*(Donnees[Engagement]&lt;Donnees[[#This Row],[Engagement]]))+(SUMPRODUCT((Donnees[Échantillon]=Donnees[[#This Row],[Échantillon]])*(Donnees[Engagement]=Donnees[[#This Row],[Engagement]]))+1)/2</f>
        <v>2</v>
      </c>
      <c r="AF64" s="43">
        <f>SUMPRODUCT((Donnees[Échantillon]=Donnees[[#This Row],[Échantillon]])*(Donnees[Vues]&lt;Donnees[[#This Row],[Vues]]))+(SUMPRODUCT((Donnees[Échantillon]=Donnees[[#This Row],[Échantillon]])*(Donnees[Vues]=Donnees[[#This Row],[Vues]]))+1)/2</f>
        <v>37.5</v>
      </c>
      <c r="AG64" s="43">
        <f>SUMPRODUCT((Donnees[Échantillon]=Donnees[[#This Row],[Échantillon]])*(Donnees[Durée (s)]&lt;Donnees[[#This Row],[Durée (s)]]))+(SUMPRODUCT((Donnees[Échantillon]=Donnees[[#This Row],[Échantillon]])*(Donnees[Durée (s)]=Donnees[[#This Row],[Durée (s)]]))+1)/2</f>
        <v>78</v>
      </c>
      <c r="AH64" s="43">
        <f>SUMPRODUCT((Donnees[Échantillon]=Donnees[[#This Row],[Échantillon]])*(Donnees[Nb hashtags]&lt;Donnees[[#This Row],[Nb hashtags]]))+(SUMPRODUCT((Donnees[Échantillon]=Donnees[[#This Row],[Échantillon]])*(Donnees[Nb hashtags]=Donnees[[#This Row],[Nb hashtags]]))+1)/2</f>
        <v>19</v>
      </c>
      <c r="AI64" s="43">
        <f>SUMPRODUCT((Donnees[Échantillon]=Donnees[[#This Row],[Échantillon]])*(Donnees[Longueur du texte]&lt;Donnees[[#This Row],[Longueur du texte]]))+(SUMPRODUCT((Donnees[Échantillon]=Donnees[[#This Row],[Échantillon]])*(Donnees[Longueur du texte]=Donnees[[#This Row],[Longueur du texte]]))+1)/2</f>
        <v>96.5</v>
      </c>
      <c r="AJ64" s="43" t="str">
        <f>IF(Donnees[[#This Row],[Abonnés]]="","",SUMPRODUCT((Donnees[Échantillon]=Donnees[[#This Row],[Échantillon]])*(Donnees[Abonnés]&lt;Donnees[[#This Row],[Abonnés]]))+(SUMPRODUCT((Donnees[Échantillon]=Donnees[[#This Row],[Échantillon]])*(Donnees[Abonnés]=Donnees[[#This Row],[Abonnés]]))+1)/2)</f>
        <v/>
      </c>
      <c r="AK6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65" spans="1:37" x14ac:dyDescent="0.2">
      <c r="A65" s="40" t="s">
        <v>37</v>
      </c>
      <c r="B65" s="40" t="s">
        <v>116</v>
      </c>
      <c r="C65" s="40" t="s">
        <v>39</v>
      </c>
      <c r="D65" s="40">
        <v>24</v>
      </c>
      <c r="E65" s="40" t="s">
        <v>75</v>
      </c>
      <c r="F65" s="40" t="str">
        <f>IF(OR(Donnees[[#This Row],[Jour]]="samedi",Donnees[[#This Row],[Jour]]="dimanche"),"Oui","Non")</f>
        <v>Oui</v>
      </c>
      <c r="G65" s="40">
        <v>4</v>
      </c>
      <c r="H65" s="40" t="str">
        <f>IF(Donnees[[#This Row],[Heure UTC]]&lt;6,"0-5 h",IF(Donnees[[#This Row],[Heure UTC]]&lt;12,"6-11 h",IF(Donnees[[#This Row],[Heure UTC]]&lt;18,"12-17 h","18-23 h")))</f>
        <v>0-5 h</v>
      </c>
      <c r="I65" s="40">
        <v>13</v>
      </c>
      <c r="J65" s="40" t="str">
        <f>IF(Donnees[[#This Row],[Durée (s)]]&lt;=10,"1. ≤ 10 s",IF(Donnees[[#This Row],[Durée (s)]]&lt;=15,"2. 11-15 s",IF(Donnees[[#This Row],[Durée (s)]]&lt;=30,"3. 16-30 s",IF(Donnees[[#This Row],[Durée (s)]]&lt;=60,"4. 31-60 s","5. &gt; 60 s"))))</f>
        <v>2. 11-15 s</v>
      </c>
      <c r="K65" s="40" t="str">
        <f>IF(Donnees[[#This Row],[Durée (s)]]&gt;15,"Oui","Non")</f>
        <v>Non</v>
      </c>
      <c r="L65" s="40">
        <v>8</v>
      </c>
      <c r="M65" s="40" t="s">
        <v>44</v>
      </c>
      <c r="N65" s="40">
        <v>57</v>
      </c>
      <c r="O65" s="40" t="s">
        <v>41</v>
      </c>
      <c r="P65" s="40" t="s">
        <v>41</v>
      </c>
      <c r="Q65" s="40" t="s">
        <v>41</v>
      </c>
      <c r="R65" s="40"/>
      <c r="S65" s="40"/>
      <c r="T65" s="41"/>
      <c r="U65" s="40" t="str">
        <f>IF(Donnees[[#This Row],[Abonnés]]="","",IF(Donnees[[#This Row],[Abonnés]]&lt;1000000,"1. &lt; 1 M",IF(Donnees[[#This Row],[Abonnés]]&lt;3000000,"2. 1-3 M",IF(Donnees[[#This Row],[Abonnés]]&lt;8000000,"3. 3-8 M","4. ≥ 8 M"))))</f>
        <v/>
      </c>
      <c r="V65" s="41"/>
      <c r="W65" s="41">
        <v>5500000</v>
      </c>
      <c r="X65" s="41">
        <v>283100</v>
      </c>
      <c r="Y65" s="41">
        <v>6966</v>
      </c>
      <c r="Z65" s="41">
        <v>7464</v>
      </c>
      <c r="AA65" s="42">
        <f>(Donnees[[#This Row],[Likes]]+Donnees[[#This Row],[Commentaires]]+Donnees[[#This Row],[Partages]])/Donnees[[#This Row],[Vues]]</f>
        <v>5.4096363636363637E-2</v>
      </c>
      <c r="AB65" s="40">
        <f>IF(Donnees[[#This Row],[Engagement]]&gt;=VLOOKUP(Donnees[[#This Row],[Échantillon]],'Méthode &amp; limites'!$B$9:$D$11,2,FALSE),1,0)</f>
        <v>0</v>
      </c>
      <c r="AC65" s="43" t="str">
        <f>IF(Donnees[[#This Row],[Abonnés]]="","",Donnees[[#This Row],[Vues]]/Donnees[[#This Row],[Abonnés]])</f>
        <v/>
      </c>
      <c r="AD65" s="40" t="s">
        <v>44</v>
      </c>
      <c r="AE65" s="43">
        <f>SUMPRODUCT((Donnees[Échantillon]=Donnees[[#This Row],[Échantillon]])*(Donnees[Engagement]&lt;Donnees[[#This Row],[Engagement]]))+(SUMPRODUCT((Donnees[Échantillon]=Donnees[[#This Row],[Échantillon]])*(Donnees[Engagement]=Donnees[[#This Row],[Engagement]]))+1)/2</f>
        <v>15</v>
      </c>
      <c r="AF65" s="43">
        <f>SUMPRODUCT((Donnees[Échantillon]=Donnees[[#This Row],[Échantillon]])*(Donnees[Vues]&lt;Donnees[[#This Row],[Vues]]))+(SUMPRODUCT((Donnees[Échantillon]=Donnees[[#This Row],[Échantillon]])*(Donnees[Vues]=Donnees[[#This Row],[Vues]]))+1)/2</f>
        <v>37.5</v>
      </c>
      <c r="AG65" s="43">
        <f>SUMPRODUCT((Donnees[Échantillon]=Donnees[[#This Row],[Échantillon]])*(Donnees[Durée (s)]&lt;Donnees[[#This Row],[Durée (s)]]))+(SUMPRODUCT((Donnees[Échantillon]=Donnees[[#This Row],[Échantillon]])*(Donnees[Durée (s)]=Donnees[[#This Row],[Durée (s)]]))+1)/2</f>
        <v>64.5</v>
      </c>
      <c r="AH65" s="43">
        <f>SUMPRODUCT((Donnees[Échantillon]=Donnees[[#This Row],[Échantillon]])*(Donnees[Nb hashtags]&lt;Donnees[[#This Row],[Nb hashtags]]))+(SUMPRODUCT((Donnees[Échantillon]=Donnees[[#This Row],[Échantillon]])*(Donnees[Nb hashtags]=Donnees[[#This Row],[Nb hashtags]]))+1)/2</f>
        <v>86</v>
      </c>
      <c r="AI65" s="43">
        <f>SUMPRODUCT((Donnees[Échantillon]=Donnees[[#This Row],[Échantillon]])*(Donnees[Longueur du texte]&lt;Donnees[[#This Row],[Longueur du texte]]))+(SUMPRODUCT((Donnees[Échantillon]=Donnees[[#This Row],[Échantillon]])*(Donnees[Longueur du texte]=Donnees[[#This Row],[Longueur du texte]]))+1)/2</f>
        <v>93</v>
      </c>
      <c r="AJ65" s="43" t="str">
        <f>IF(Donnees[[#This Row],[Abonnés]]="","",SUMPRODUCT((Donnees[Échantillon]=Donnees[[#This Row],[Échantillon]])*(Donnees[Abonnés]&lt;Donnees[[#This Row],[Abonnés]]))+(SUMPRODUCT((Donnees[Échantillon]=Donnees[[#This Row],[Échantillon]])*(Donnees[Abonnés]=Donnees[[#This Row],[Abonnés]]))+1)/2)</f>
        <v/>
      </c>
      <c r="AK6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66" spans="1:37" x14ac:dyDescent="0.2">
      <c r="A66" s="40" t="s">
        <v>37</v>
      </c>
      <c r="B66" s="40" t="s">
        <v>70</v>
      </c>
      <c r="C66" s="40" t="s">
        <v>39</v>
      </c>
      <c r="D66" s="40">
        <v>7</v>
      </c>
      <c r="E66" s="40" t="s">
        <v>40</v>
      </c>
      <c r="F66" s="40" t="str">
        <f>IF(OR(Donnees[[#This Row],[Jour]]="samedi",Donnees[[#This Row],[Jour]]="dimanche"),"Oui","Non")</f>
        <v>Non</v>
      </c>
      <c r="G66" s="40">
        <v>16</v>
      </c>
      <c r="H66" s="40" t="str">
        <f>IF(Donnees[[#This Row],[Heure UTC]]&lt;6,"0-5 h",IF(Donnees[[#This Row],[Heure UTC]]&lt;12,"6-11 h",IF(Donnees[[#This Row],[Heure UTC]]&lt;18,"12-17 h","18-23 h")))</f>
        <v>12-17 h</v>
      </c>
      <c r="I66" s="40">
        <v>10</v>
      </c>
      <c r="J66" s="40" t="str">
        <f>IF(Donnees[[#This Row],[Durée (s)]]&lt;=10,"1. ≤ 10 s",IF(Donnees[[#This Row],[Durée (s)]]&lt;=15,"2. 11-15 s",IF(Donnees[[#This Row],[Durée (s)]]&lt;=30,"3. 16-30 s",IF(Donnees[[#This Row],[Durée (s)]]&lt;=60,"4. 31-60 s","5. &gt; 60 s"))))</f>
        <v>1. ≤ 10 s</v>
      </c>
      <c r="K66" s="40" t="str">
        <f>IF(Donnees[[#This Row],[Durée (s)]]&gt;15,"Oui","Non")</f>
        <v>Non</v>
      </c>
      <c r="L66" s="40">
        <v>0</v>
      </c>
      <c r="M66" s="40" t="s">
        <v>41</v>
      </c>
      <c r="N66" s="40">
        <v>0</v>
      </c>
      <c r="O66" s="40" t="s">
        <v>41</v>
      </c>
      <c r="P66" s="40" t="s">
        <v>44</v>
      </c>
      <c r="Q66" s="40" t="s">
        <v>41</v>
      </c>
      <c r="R66" s="40"/>
      <c r="S66" s="40"/>
      <c r="T66" s="41"/>
      <c r="U66" s="40" t="str">
        <f>IF(Donnees[[#This Row],[Abonnés]]="","",IF(Donnees[[#This Row],[Abonnés]]&lt;1000000,"1. &lt; 1 M",IF(Donnees[[#This Row],[Abonnés]]&lt;3000000,"2. 1-3 M",IF(Donnees[[#This Row],[Abonnés]]&lt;8000000,"3. 3-8 M","4. ≥ 8 M"))))</f>
        <v/>
      </c>
      <c r="V66" s="41"/>
      <c r="W66" s="41">
        <v>5300000</v>
      </c>
      <c r="X66" s="41">
        <v>926100</v>
      </c>
      <c r="Y66" s="41">
        <v>9661</v>
      </c>
      <c r="Z66" s="41">
        <v>5052</v>
      </c>
      <c r="AA66" s="42">
        <f>(Donnees[[#This Row],[Likes]]+Donnees[[#This Row],[Commentaires]]+Donnees[[#This Row],[Partages]])/Donnees[[#This Row],[Vues]]</f>
        <v>0.17751188679245283</v>
      </c>
      <c r="AB66" s="40">
        <f>IF(Donnees[[#This Row],[Engagement]]&gt;=VLOOKUP(Donnees[[#This Row],[Échantillon]],'Méthode &amp; limites'!$B$9:$D$11,2,FALSE),1,0)</f>
        <v>1</v>
      </c>
      <c r="AC66" s="43" t="str">
        <f>IF(Donnees[[#This Row],[Abonnés]]="","",Donnees[[#This Row],[Vues]]/Donnees[[#This Row],[Abonnés]])</f>
        <v/>
      </c>
      <c r="AD66" s="40" t="s">
        <v>44</v>
      </c>
      <c r="AE66" s="43">
        <f>SUMPRODUCT((Donnees[Échantillon]=Donnees[[#This Row],[Échantillon]])*(Donnees[Engagement]&lt;Donnees[[#This Row],[Engagement]]))+(SUMPRODUCT((Donnees[Échantillon]=Donnees[[#This Row],[Échantillon]])*(Donnees[Engagement]=Donnees[[#This Row],[Engagement]]))+1)/2</f>
        <v>85</v>
      </c>
      <c r="AF66" s="43">
        <f>SUMPRODUCT((Donnees[Échantillon]=Donnees[[#This Row],[Échantillon]])*(Donnees[Vues]&lt;Donnees[[#This Row],[Vues]]))+(SUMPRODUCT((Donnees[Échantillon]=Donnees[[#This Row],[Échantillon]])*(Donnees[Vues]=Donnees[[#This Row],[Vues]]))+1)/2</f>
        <v>36</v>
      </c>
      <c r="AG66" s="43">
        <f>SUMPRODUCT((Donnees[Échantillon]=Donnees[[#This Row],[Échantillon]])*(Donnees[Durée (s)]&lt;Donnees[[#This Row],[Durée (s)]]))+(SUMPRODUCT((Donnees[Échantillon]=Donnees[[#This Row],[Échantillon]])*(Donnees[Durée (s)]=Donnees[[#This Row],[Durée (s)]]))+1)/2</f>
        <v>38</v>
      </c>
      <c r="AH66" s="43">
        <f>SUMPRODUCT((Donnees[Échantillon]=Donnees[[#This Row],[Échantillon]])*(Donnees[Nb hashtags]&lt;Donnees[[#This Row],[Nb hashtags]]))+(SUMPRODUCT((Donnees[Échantillon]=Donnees[[#This Row],[Échantillon]])*(Donnees[Nb hashtags]=Donnees[[#This Row],[Nb hashtags]]))+1)/2</f>
        <v>19</v>
      </c>
      <c r="AI66" s="43">
        <f>SUMPRODUCT((Donnees[Échantillon]=Donnees[[#This Row],[Échantillon]])*(Donnees[Longueur du texte]&lt;Donnees[[#This Row],[Longueur du texte]]))+(SUMPRODUCT((Donnees[Échantillon]=Donnees[[#This Row],[Échantillon]])*(Donnees[Longueur du texte]=Donnees[[#This Row],[Longueur du texte]]))+1)/2</f>
        <v>16</v>
      </c>
      <c r="AJ66" s="43" t="str">
        <f>IF(Donnees[[#This Row],[Abonnés]]="","",SUMPRODUCT((Donnees[Échantillon]=Donnees[[#This Row],[Échantillon]])*(Donnees[Abonnés]&lt;Donnees[[#This Row],[Abonnés]]))+(SUMPRODUCT((Donnees[Échantillon]=Donnees[[#This Row],[Échantillon]])*(Donnees[Abonnés]=Donnees[[#This Row],[Abonnés]]))+1)/2)</f>
        <v/>
      </c>
      <c r="AK6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67" spans="1:37" x14ac:dyDescent="0.2">
      <c r="A67" s="40" t="s">
        <v>37</v>
      </c>
      <c r="B67" s="40" t="s">
        <v>117</v>
      </c>
      <c r="C67" s="40" t="s">
        <v>46</v>
      </c>
      <c r="D67" s="40">
        <v>14</v>
      </c>
      <c r="E67" s="40" t="s">
        <v>40</v>
      </c>
      <c r="F67" s="40" t="str">
        <f>IF(OR(Donnees[[#This Row],[Jour]]="samedi",Donnees[[#This Row],[Jour]]="dimanche"),"Oui","Non")</f>
        <v>Non</v>
      </c>
      <c r="G67" s="40">
        <v>1</v>
      </c>
      <c r="H67" s="40" t="str">
        <f>IF(Donnees[[#This Row],[Heure UTC]]&lt;6,"0-5 h",IF(Donnees[[#This Row],[Heure UTC]]&lt;12,"6-11 h",IF(Donnees[[#This Row],[Heure UTC]]&lt;18,"12-17 h","18-23 h")))</f>
        <v>0-5 h</v>
      </c>
      <c r="I67" s="40">
        <v>58</v>
      </c>
      <c r="J67" s="40" t="str">
        <f>IF(Donnees[[#This Row],[Durée (s)]]&lt;=10,"1. ≤ 10 s",IF(Donnees[[#This Row],[Durée (s)]]&lt;=15,"2. 11-15 s",IF(Donnees[[#This Row],[Durée (s)]]&lt;=30,"3. 16-30 s",IF(Donnees[[#This Row],[Durée (s)]]&lt;=60,"4. 31-60 s","5. &gt; 60 s"))))</f>
        <v>4. 31-60 s</v>
      </c>
      <c r="K67" s="40" t="str">
        <f>IF(Donnees[[#This Row],[Durée (s)]]&gt;15,"Oui","Non")</f>
        <v>Oui</v>
      </c>
      <c r="L67" s="40">
        <v>9</v>
      </c>
      <c r="M67" s="40" t="s">
        <v>44</v>
      </c>
      <c r="N67" s="40">
        <v>54</v>
      </c>
      <c r="O67" s="40" t="s">
        <v>41</v>
      </c>
      <c r="P67" s="40" t="s">
        <v>41</v>
      </c>
      <c r="Q67" s="40" t="s">
        <v>41</v>
      </c>
      <c r="R67" s="40"/>
      <c r="S67" s="40"/>
      <c r="T67" s="41"/>
      <c r="U67" s="40" t="str">
        <f>IF(Donnees[[#This Row],[Abonnés]]="","",IF(Donnees[[#This Row],[Abonnés]]&lt;1000000,"1. &lt; 1 M",IF(Donnees[[#This Row],[Abonnés]]&lt;3000000,"2. 1-3 M",IF(Donnees[[#This Row],[Abonnés]]&lt;8000000,"3. 3-8 M","4. ≥ 8 M"))))</f>
        <v/>
      </c>
      <c r="V67" s="41"/>
      <c r="W67" s="41">
        <v>4800000</v>
      </c>
      <c r="X67" s="41">
        <v>270600</v>
      </c>
      <c r="Y67" s="41">
        <v>1114</v>
      </c>
      <c r="Z67" s="41">
        <v>79000</v>
      </c>
      <c r="AA67" s="42">
        <f>(Donnees[[#This Row],[Likes]]+Donnees[[#This Row],[Commentaires]]+Donnees[[#This Row],[Partages]])/Donnees[[#This Row],[Vues]]</f>
        <v>7.306541666666666E-2</v>
      </c>
      <c r="AB67" s="40">
        <f>IF(Donnees[[#This Row],[Engagement]]&gt;=VLOOKUP(Donnees[[#This Row],[Échantillon]],'Méthode &amp; limites'!$B$9:$D$11,2,FALSE),1,0)</f>
        <v>0</v>
      </c>
      <c r="AC67" s="43" t="str">
        <f>IF(Donnees[[#This Row],[Abonnés]]="","",Donnees[[#This Row],[Vues]]/Donnees[[#This Row],[Abonnés]])</f>
        <v/>
      </c>
      <c r="AD67" s="40" t="s">
        <v>44</v>
      </c>
      <c r="AE67" s="43">
        <f>SUMPRODUCT((Donnees[Échantillon]=Donnees[[#This Row],[Échantillon]])*(Donnees[Engagement]&lt;Donnees[[#This Row],[Engagement]]))+(SUMPRODUCT((Donnees[Échantillon]=Donnees[[#This Row],[Échantillon]])*(Donnees[Engagement]=Donnees[[#This Row],[Engagement]]))+1)/2</f>
        <v>23</v>
      </c>
      <c r="AF67" s="43">
        <f>SUMPRODUCT((Donnees[Échantillon]=Donnees[[#This Row],[Échantillon]])*(Donnees[Vues]&lt;Donnees[[#This Row],[Vues]]))+(SUMPRODUCT((Donnees[Échantillon]=Donnees[[#This Row],[Échantillon]])*(Donnees[Vues]=Donnees[[#This Row],[Vues]]))+1)/2</f>
        <v>34</v>
      </c>
      <c r="AG67" s="43">
        <f>SUMPRODUCT((Donnees[Échantillon]=Donnees[[#This Row],[Échantillon]])*(Donnees[Durée (s)]&lt;Donnees[[#This Row],[Durée (s)]]))+(SUMPRODUCT((Donnees[Échantillon]=Donnees[[#This Row],[Échantillon]])*(Donnees[Durée (s)]=Donnees[[#This Row],[Durée (s)]]))+1)/2</f>
        <v>97.5</v>
      </c>
      <c r="AH67" s="43">
        <f>SUMPRODUCT((Donnees[Échantillon]=Donnees[[#This Row],[Échantillon]])*(Donnees[Nb hashtags]&lt;Donnees[[#This Row],[Nb hashtags]]))+(SUMPRODUCT((Donnees[Échantillon]=Donnees[[#This Row],[Échantillon]])*(Donnees[Nb hashtags]=Donnees[[#This Row],[Nb hashtags]]))+1)/2</f>
        <v>90.5</v>
      </c>
      <c r="AI67" s="43">
        <f>SUMPRODUCT((Donnees[Échantillon]=Donnees[[#This Row],[Échantillon]])*(Donnees[Longueur du texte]&lt;Donnees[[#This Row],[Longueur du texte]]))+(SUMPRODUCT((Donnees[Échantillon]=Donnees[[#This Row],[Échantillon]])*(Donnees[Longueur du texte]=Donnees[[#This Row],[Longueur du texte]]))+1)/2</f>
        <v>91</v>
      </c>
      <c r="AJ67" s="43" t="str">
        <f>IF(Donnees[[#This Row],[Abonnés]]="","",SUMPRODUCT((Donnees[Échantillon]=Donnees[[#This Row],[Échantillon]])*(Donnees[Abonnés]&lt;Donnees[[#This Row],[Abonnés]]))+(SUMPRODUCT((Donnees[Échantillon]=Donnees[[#This Row],[Échantillon]])*(Donnees[Abonnés]=Donnees[[#This Row],[Abonnés]]))+1)/2)</f>
        <v/>
      </c>
      <c r="AK6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68" spans="1:37" x14ac:dyDescent="0.2">
      <c r="A68" s="40" t="s">
        <v>37</v>
      </c>
      <c r="B68" s="40" t="s">
        <v>118</v>
      </c>
      <c r="C68" s="40" t="s">
        <v>46</v>
      </c>
      <c r="D68" s="40">
        <v>15</v>
      </c>
      <c r="E68" s="40" t="s">
        <v>71</v>
      </c>
      <c r="F68" s="40" t="str">
        <f>IF(OR(Donnees[[#This Row],[Jour]]="samedi",Donnees[[#This Row],[Jour]]="dimanche"),"Oui","Non")</f>
        <v>Non</v>
      </c>
      <c r="G68" s="40">
        <v>22</v>
      </c>
      <c r="H68" s="40" t="str">
        <f>IF(Donnees[[#This Row],[Heure UTC]]&lt;6,"0-5 h",IF(Donnees[[#This Row],[Heure UTC]]&lt;12,"6-11 h",IF(Donnees[[#This Row],[Heure UTC]]&lt;18,"12-17 h","18-23 h")))</f>
        <v>18-23 h</v>
      </c>
      <c r="I68" s="40">
        <v>43</v>
      </c>
      <c r="J68" s="40" t="str">
        <f>IF(Donnees[[#This Row],[Durée (s)]]&lt;=10,"1. ≤ 10 s",IF(Donnees[[#This Row],[Durée (s)]]&lt;=15,"2. 11-15 s",IF(Donnees[[#This Row],[Durée (s)]]&lt;=30,"3. 16-30 s",IF(Donnees[[#This Row],[Durée (s)]]&lt;=60,"4. 31-60 s","5. &gt; 60 s"))))</f>
        <v>4. 31-60 s</v>
      </c>
      <c r="K68" s="40" t="str">
        <f>IF(Donnees[[#This Row],[Durée (s)]]&gt;15,"Oui","Non")</f>
        <v>Oui</v>
      </c>
      <c r="L68" s="40">
        <v>3</v>
      </c>
      <c r="M68" s="40" t="s">
        <v>44</v>
      </c>
      <c r="N68" s="40">
        <v>23</v>
      </c>
      <c r="O68" s="40" t="s">
        <v>41</v>
      </c>
      <c r="P68" s="40" t="s">
        <v>41</v>
      </c>
      <c r="Q68" s="40" t="s">
        <v>41</v>
      </c>
      <c r="R68" s="40"/>
      <c r="S68" s="40"/>
      <c r="T68" s="41"/>
      <c r="U68" s="40" t="str">
        <f>IF(Donnees[[#This Row],[Abonnés]]="","",IF(Donnees[[#This Row],[Abonnés]]&lt;1000000,"1. &lt; 1 M",IF(Donnees[[#This Row],[Abonnés]]&lt;3000000,"2. 1-3 M",IF(Donnees[[#This Row],[Abonnés]]&lt;8000000,"3. 3-8 M","4. ≥ 8 M"))))</f>
        <v/>
      </c>
      <c r="V68" s="41"/>
      <c r="W68" s="41">
        <v>4800000</v>
      </c>
      <c r="X68" s="41">
        <v>769700</v>
      </c>
      <c r="Y68" s="41">
        <v>1809</v>
      </c>
      <c r="Z68" s="41">
        <v>3881</v>
      </c>
      <c r="AA68" s="42">
        <f>(Donnees[[#This Row],[Likes]]+Donnees[[#This Row],[Commentaires]]+Donnees[[#This Row],[Partages]])/Donnees[[#This Row],[Vues]]</f>
        <v>0.16153958333333332</v>
      </c>
      <c r="AB68" s="40">
        <f>IF(Donnees[[#This Row],[Engagement]]&gt;=VLOOKUP(Donnees[[#This Row],[Échantillon]],'Méthode &amp; limites'!$B$9:$D$11,2,FALSE),1,0)</f>
        <v>1</v>
      </c>
      <c r="AC68" s="43" t="str">
        <f>IF(Donnees[[#This Row],[Abonnés]]="","",Donnees[[#This Row],[Vues]]/Donnees[[#This Row],[Abonnés]])</f>
        <v/>
      </c>
      <c r="AD68" s="40" t="s">
        <v>44</v>
      </c>
      <c r="AE68" s="43">
        <f>SUMPRODUCT((Donnees[Échantillon]=Donnees[[#This Row],[Échantillon]])*(Donnees[Engagement]&lt;Donnees[[#This Row],[Engagement]]))+(SUMPRODUCT((Donnees[Échantillon]=Donnees[[#This Row],[Échantillon]])*(Donnees[Engagement]=Donnees[[#This Row],[Engagement]]))+1)/2</f>
        <v>77</v>
      </c>
      <c r="AF68" s="43">
        <f>SUMPRODUCT((Donnees[Échantillon]=Donnees[[#This Row],[Échantillon]])*(Donnees[Vues]&lt;Donnees[[#This Row],[Vues]]))+(SUMPRODUCT((Donnees[Échantillon]=Donnees[[#This Row],[Échantillon]])*(Donnees[Vues]=Donnees[[#This Row],[Vues]]))+1)/2</f>
        <v>34</v>
      </c>
      <c r="AG68" s="43">
        <f>SUMPRODUCT((Donnees[Échantillon]=Donnees[[#This Row],[Échantillon]])*(Donnees[Durée (s)]&lt;Donnees[[#This Row],[Durée (s)]]))+(SUMPRODUCT((Donnees[Échantillon]=Donnees[[#This Row],[Échantillon]])*(Donnees[Durée (s)]=Donnees[[#This Row],[Durée (s)]]))+1)/2</f>
        <v>94</v>
      </c>
      <c r="AH68" s="43">
        <f>SUMPRODUCT((Donnees[Échantillon]=Donnees[[#This Row],[Échantillon]])*(Donnees[Nb hashtags]&lt;Donnees[[#This Row],[Nb hashtags]]))+(SUMPRODUCT((Donnees[Échantillon]=Donnees[[#This Row],[Échantillon]])*(Donnees[Nb hashtags]=Donnees[[#This Row],[Nb hashtags]]))+1)/2</f>
        <v>52</v>
      </c>
      <c r="AI68" s="43">
        <f>SUMPRODUCT((Donnees[Échantillon]=Donnees[[#This Row],[Échantillon]])*(Donnees[Longueur du texte]&lt;Donnees[[#This Row],[Longueur du texte]]))+(SUMPRODUCT((Donnees[Échantillon]=Donnees[[#This Row],[Échantillon]])*(Donnees[Longueur du texte]=Donnees[[#This Row],[Longueur du texte]]))+1)/2</f>
        <v>64</v>
      </c>
      <c r="AJ68" s="43" t="str">
        <f>IF(Donnees[[#This Row],[Abonnés]]="","",SUMPRODUCT((Donnees[Échantillon]=Donnees[[#This Row],[Échantillon]])*(Donnees[Abonnés]&lt;Donnees[[#This Row],[Abonnés]]))+(SUMPRODUCT((Donnees[Échantillon]=Donnees[[#This Row],[Échantillon]])*(Donnees[Abonnés]=Donnees[[#This Row],[Abonnés]]))+1)/2)</f>
        <v/>
      </c>
      <c r="AK6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69" spans="1:37" x14ac:dyDescent="0.2">
      <c r="A69" s="40" t="s">
        <v>37</v>
      </c>
      <c r="B69" s="40" t="s">
        <v>119</v>
      </c>
      <c r="C69" s="40" t="s">
        <v>39</v>
      </c>
      <c r="D69" s="40">
        <v>38</v>
      </c>
      <c r="E69" s="40" t="s">
        <v>75</v>
      </c>
      <c r="F69" s="40" t="str">
        <f>IF(OR(Donnees[[#This Row],[Jour]]="samedi",Donnees[[#This Row],[Jour]]="dimanche"),"Oui","Non")</f>
        <v>Oui</v>
      </c>
      <c r="G69" s="40">
        <v>10</v>
      </c>
      <c r="H69" s="40" t="str">
        <f>IF(Donnees[[#This Row],[Heure UTC]]&lt;6,"0-5 h",IF(Donnees[[#This Row],[Heure UTC]]&lt;12,"6-11 h",IF(Donnees[[#This Row],[Heure UTC]]&lt;18,"12-17 h","18-23 h")))</f>
        <v>6-11 h</v>
      </c>
      <c r="I69" s="40">
        <v>10</v>
      </c>
      <c r="J69" s="40" t="str">
        <f>IF(Donnees[[#This Row],[Durée (s)]]&lt;=10,"1. ≤ 10 s",IF(Donnees[[#This Row],[Durée (s)]]&lt;=15,"2. 11-15 s",IF(Donnees[[#This Row],[Durée (s)]]&lt;=30,"3. 16-30 s",IF(Donnees[[#This Row],[Durée (s)]]&lt;=60,"4. 31-60 s","5. &gt; 60 s"))))</f>
        <v>1. ≤ 10 s</v>
      </c>
      <c r="K69" s="40" t="str">
        <f>IF(Donnees[[#This Row],[Durée (s)]]&gt;15,"Oui","Non")</f>
        <v>Non</v>
      </c>
      <c r="L69" s="40">
        <v>0</v>
      </c>
      <c r="M69" s="40" t="s">
        <v>41</v>
      </c>
      <c r="N69" s="40">
        <v>38</v>
      </c>
      <c r="O69" s="40" t="s">
        <v>41</v>
      </c>
      <c r="P69" s="40" t="s">
        <v>41</v>
      </c>
      <c r="Q69" s="40" t="s">
        <v>41</v>
      </c>
      <c r="R69" s="40"/>
      <c r="S69" s="40"/>
      <c r="T69" s="41"/>
      <c r="U69" s="40" t="str">
        <f>IF(Donnees[[#This Row],[Abonnés]]="","",IF(Donnees[[#This Row],[Abonnés]]&lt;1000000,"1. &lt; 1 M",IF(Donnees[[#This Row],[Abonnés]]&lt;3000000,"2. 1-3 M",IF(Donnees[[#This Row],[Abonnés]]&lt;8000000,"3. 3-8 M","4. ≥ 8 M"))))</f>
        <v/>
      </c>
      <c r="V69" s="41"/>
      <c r="W69" s="41">
        <v>4800000</v>
      </c>
      <c r="X69" s="41">
        <v>502900</v>
      </c>
      <c r="Y69" s="41">
        <v>2617</v>
      </c>
      <c r="Z69" s="41">
        <v>1480</v>
      </c>
      <c r="AA69" s="42">
        <f>(Donnees[[#This Row],[Likes]]+Donnees[[#This Row],[Commentaires]]+Donnees[[#This Row],[Partages]])/Donnees[[#This Row],[Vues]]</f>
        <v>0.10562437500000001</v>
      </c>
      <c r="AB69" s="40">
        <f>IF(Donnees[[#This Row],[Engagement]]&gt;=VLOOKUP(Donnees[[#This Row],[Échantillon]],'Méthode &amp; limites'!$B$9:$D$11,2,FALSE),1,0)</f>
        <v>0</v>
      </c>
      <c r="AC69" s="43" t="str">
        <f>IF(Donnees[[#This Row],[Abonnés]]="","",Donnees[[#This Row],[Vues]]/Donnees[[#This Row],[Abonnés]])</f>
        <v/>
      </c>
      <c r="AD69" s="40" t="s">
        <v>44</v>
      </c>
      <c r="AE69" s="43">
        <f>SUMPRODUCT((Donnees[Échantillon]=Donnees[[#This Row],[Échantillon]])*(Donnees[Engagement]&lt;Donnees[[#This Row],[Engagement]]))+(SUMPRODUCT((Donnees[Échantillon]=Donnees[[#This Row],[Échantillon]])*(Donnees[Engagement]=Donnees[[#This Row],[Engagement]]))+1)/2</f>
        <v>50</v>
      </c>
      <c r="AF69" s="43">
        <f>SUMPRODUCT((Donnees[Échantillon]=Donnees[[#This Row],[Échantillon]])*(Donnees[Vues]&lt;Donnees[[#This Row],[Vues]]))+(SUMPRODUCT((Donnees[Échantillon]=Donnees[[#This Row],[Échantillon]])*(Donnees[Vues]=Donnees[[#This Row],[Vues]]))+1)/2</f>
        <v>34</v>
      </c>
      <c r="AG69" s="43">
        <f>SUMPRODUCT((Donnees[Échantillon]=Donnees[[#This Row],[Échantillon]])*(Donnees[Durée (s)]&lt;Donnees[[#This Row],[Durée (s)]]))+(SUMPRODUCT((Donnees[Échantillon]=Donnees[[#This Row],[Échantillon]])*(Donnees[Durée (s)]=Donnees[[#This Row],[Durée (s)]]))+1)/2</f>
        <v>38</v>
      </c>
      <c r="AH69" s="43">
        <f>SUMPRODUCT((Donnees[Échantillon]=Donnees[[#This Row],[Échantillon]])*(Donnees[Nb hashtags]&lt;Donnees[[#This Row],[Nb hashtags]]))+(SUMPRODUCT((Donnees[Échantillon]=Donnees[[#This Row],[Échantillon]])*(Donnees[Nb hashtags]=Donnees[[#This Row],[Nb hashtags]]))+1)/2</f>
        <v>19</v>
      </c>
      <c r="AI69" s="43">
        <f>SUMPRODUCT((Donnees[Échantillon]=Donnees[[#This Row],[Échantillon]])*(Donnees[Longueur du texte]&lt;Donnees[[#This Row],[Longueur du texte]]))+(SUMPRODUCT((Donnees[Échantillon]=Donnees[[#This Row],[Échantillon]])*(Donnees[Longueur du texte]=Donnees[[#This Row],[Longueur du texte]]))+1)/2</f>
        <v>81.5</v>
      </c>
      <c r="AJ69" s="43" t="str">
        <f>IF(Donnees[[#This Row],[Abonnés]]="","",SUMPRODUCT((Donnees[Échantillon]=Donnees[[#This Row],[Échantillon]])*(Donnees[Abonnés]&lt;Donnees[[#This Row],[Abonnés]]))+(SUMPRODUCT((Donnees[Échantillon]=Donnees[[#This Row],[Échantillon]])*(Donnees[Abonnés]=Donnees[[#This Row],[Abonnés]]))+1)/2)</f>
        <v/>
      </c>
      <c r="AK6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70" spans="1:37" x14ac:dyDescent="0.2">
      <c r="A70" s="40" t="s">
        <v>37</v>
      </c>
      <c r="B70" s="40" t="s">
        <v>120</v>
      </c>
      <c r="C70" s="40" t="s">
        <v>62</v>
      </c>
      <c r="D70" s="40">
        <v>40</v>
      </c>
      <c r="E70" s="40" t="s">
        <v>47</v>
      </c>
      <c r="F70" s="40" t="str">
        <f>IF(OR(Donnees[[#This Row],[Jour]]="samedi",Donnees[[#This Row],[Jour]]="dimanche"),"Oui","Non")</f>
        <v>Non</v>
      </c>
      <c r="G70" s="40">
        <v>12</v>
      </c>
      <c r="H70" s="40" t="str">
        <f>IF(Donnees[[#This Row],[Heure UTC]]&lt;6,"0-5 h",IF(Donnees[[#This Row],[Heure UTC]]&lt;12,"6-11 h",IF(Donnees[[#This Row],[Heure UTC]]&lt;18,"12-17 h","18-23 h")))</f>
        <v>12-17 h</v>
      </c>
      <c r="I70" s="40">
        <v>56</v>
      </c>
      <c r="J70" s="40" t="str">
        <f>IF(Donnees[[#This Row],[Durée (s)]]&lt;=10,"1. ≤ 10 s",IF(Donnees[[#This Row],[Durée (s)]]&lt;=15,"2. 11-15 s",IF(Donnees[[#This Row],[Durée (s)]]&lt;=30,"3. 16-30 s",IF(Donnees[[#This Row],[Durée (s)]]&lt;=60,"4. 31-60 s","5. &gt; 60 s"))))</f>
        <v>4. 31-60 s</v>
      </c>
      <c r="K70" s="40" t="str">
        <f>IF(Donnees[[#This Row],[Durée (s)]]&gt;15,"Oui","Non")</f>
        <v>Oui</v>
      </c>
      <c r="L70" s="40">
        <v>10</v>
      </c>
      <c r="M70" s="40" t="s">
        <v>44</v>
      </c>
      <c r="N70" s="40">
        <v>17</v>
      </c>
      <c r="O70" s="40" t="s">
        <v>41</v>
      </c>
      <c r="P70" s="40" t="s">
        <v>41</v>
      </c>
      <c r="Q70" s="40" t="s">
        <v>44</v>
      </c>
      <c r="R70" s="40"/>
      <c r="S70" s="40"/>
      <c r="T70" s="41"/>
      <c r="U70" s="40" t="str">
        <f>IF(Donnees[[#This Row],[Abonnés]]="","",IF(Donnees[[#This Row],[Abonnés]]&lt;1000000,"1. &lt; 1 M",IF(Donnees[[#This Row],[Abonnés]]&lt;3000000,"2. 1-3 M",IF(Donnees[[#This Row],[Abonnés]]&lt;8000000,"3. 3-8 M","4. ≥ 8 M"))))</f>
        <v/>
      </c>
      <c r="V70" s="41"/>
      <c r="W70" s="41">
        <v>4200000</v>
      </c>
      <c r="X70" s="41">
        <v>265100</v>
      </c>
      <c r="Y70" s="41">
        <v>3599</v>
      </c>
      <c r="Z70" s="41">
        <v>72400</v>
      </c>
      <c r="AA70" s="42">
        <f>(Donnees[[#This Row],[Likes]]+Donnees[[#This Row],[Commentaires]]+Donnees[[#This Row],[Partages]])/Donnees[[#This Row],[Vues]]</f>
        <v>8.1214047619047616E-2</v>
      </c>
      <c r="AB70" s="40">
        <f>IF(Donnees[[#This Row],[Engagement]]&gt;=VLOOKUP(Donnees[[#This Row],[Échantillon]],'Méthode &amp; limites'!$B$9:$D$11,2,FALSE),1,0)</f>
        <v>0</v>
      </c>
      <c r="AC70" s="43" t="str">
        <f>IF(Donnees[[#This Row],[Abonnés]]="","",Donnees[[#This Row],[Vues]]/Donnees[[#This Row],[Abonnés]])</f>
        <v/>
      </c>
      <c r="AD70" s="40" t="s">
        <v>44</v>
      </c>
      <c r="AE70" s="43">
        <f>SUMPRODUCT((Donnees[Échantillon]=Donnees[[#This Row],[Échantillon]])*(Donnees[Engagement]&lt;Donnees[[#This Row],[Engagement]]))+(SUMPRODUCT((Donnees[Échantillon]=Donnees[[#This Row],[Échantillon]])*(Donnees[Engagement]=Donnees[[#This Row],[Engagement]]))+1)/2</f>
        <v>35</v>
      </c>
      <c r="AF70" s="43">
        <f>SUMPRODUCT((Donnees[Échantillon]=Donnees[[#This Row],[Échantillon]])*(Donnees[Vues]&lt;Donnees[[#This Row],[Vues]]))+(SUMPRODUCT((Donnees[Échantillon]=Donnees[[#This Row],[Échantillon]])*(Donnees[Vues]=Donnees[[#This Row],[Vues]]))+1)/2</f>
        <v>32</v>
      </c>
      <c r="AG70" s="43">
        <f>SUMPRODUCT((Donnees[Échantillon]=Donnees[[#This Row],[Échantillon]])*(Donnees[Durée (s)]&lt;Donnees[[#This Row],[Durée (s)]]))+(SUMPRODUCT((Donnees[Échantillon]=Donnees[[#This Row],[Échantillon]])*(Donnees[Durée (s)]=Donnees[[#This Row],[Durée (s)]]))+1)/2</f>
        <v>96</v>
      </c>
      <c r="AH70" s="43">
        <f>SUMPRODUCT((Donnees[Échantillon]=Donnees[[#This Row],[Échantillon]])*(Donnees[Nb hashtags]&lt;Donnees[[#This Row],[Nb hashtags]]))+(SUMPRODUCT((Donnees[Échantillon]=Donnees[[#This Row],[Échantillon]])*(Donnees[Nb hashtags]=Donnees[[#This Row],[Nb hashtags]]))+1)/2</f>
        <v>93.5</v>
      </c>
      <c r="AI70" s="43">
        <f>SUMPRODUCT((Donnees[Échantillon]=Donnees[[#This Row],[Échantillon]])*(Donnees[Longueur du texte]&lt;Donnees[[#This Row],[Longueur du texte]]))+(SUMPRODUCT((Donnees[Échantillon]=Donnees[[#This Row],[Échantillon]])*(Donnees[Longueur du texte]=Donnees[[#This Row],[Longueur du texte]]))+1)/2</f>
        <v>54</v>
      </c>
      <c r="AJ70" s="43" t="str">
        <f>IF(Donnees[[#This Row],[Abonnés]]="","",SUMPRODUCT((Donnees[Échantillon]=Donnees[[#This Row],[Échantillon]])*(Donnees[Abonnés]&lt;Donnees[[#This Row],[Abonnés]]))+(SUMPRODUCT((Donnees[Échantillon]=Donnees[[#This Row],[Échantillon]])*(Donnees[Abonnés]=Donnees[[#This Row],[Abonnés]]))+1)/2)</f>
        <v/>
      </c>
      <c r="AK7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71" spans="1:37" x14ac:dyDescent="0.2">
      <c r="A71" s="40" t="s">
        <v>37</v>
      </c>
      <c r="B71" s="40" t="s">
        <v>121</v>
      </c>
      <c r="C71" s="40" t="s">
        <v>67</v>
      </c>
      <c r="D71" s="40">
        <v>64</v>
      </c>
      <c r="E71" s="40" t="s">
        <v>71</v>
      </c>
      <c r="F71" s="40" t="str">
        <f>IF(OR(Donnees[[#This Row],[Jour]]="samedi",Donnees[[#This Row],[Jour]]="dimanche"),"Oui","Non")</f>
        <v>Non</v>
      </c>
      <c r="G71" s="40">
        <v>22</v>
      </c>
      <c r="H71" s="40" t="str">
        <f>IF(Donnees[[#This Row],[Heure UTC]]&lt;6,"0-5 h",IF(Donnees[[#This Row],[Heure UTC]]&lt;12,"6-11 h",IF(Donnees[[#This Row],[Heure UTC]]&lt;18,"12-17 h","18-23 h")))</f>
        <v>18-23 h</v>
      </c>
      <c r="I71" s="40">
        <v>83</v>
      </c>
      <c r="J71" s="40" t="str">
        <f>IF(Donnees[[#This Row],[Durée (s)]]&lt;=10,"1. ≤ 10 s",IF(Donnees[[#This Row],[Durée (s)]]&lt;=15,"2. 11-15 s",IF(Donnees[[#This Row],[Durée (s)]]&lt;=30,"3. 16-30 s",IF(Donnees[[#This Row],[Durée (s)]]&lt;=60,"4. 31-60 s","5. &gt; 60 s"))))</f>
        <v>5. &gt; 60 s</v>
      </c>
      <c r="K71" s="40" t="str">
        <f>IF(Donnees[[#This Row],[Durée (s)]]&gt;15,"Oui","Non")</f>
        <v>Oui</v>
      </c>
      <c r="L71" s="40">
        <v>7</v>
      </c>
      <c r="M71" s="40" t="s">
        <v>44</v>
      </c>
      <c r="N71" s="40">
        <v>28</v>
      </c>
      <c r="O71" s="40" t="s">
        <v>41</v>
      </c>
      <c r="P71" s="40" t="s">
        <v>41</v>
      </c>
      <c r="Q71" s="40" t="s">
        <v>44</v>
      </c>
      <c r="R71" s="40"/>
      <c r="S71" s="40"/>
      <c r="T71" s="41"/>
      <c r="U71" s="40" t="str">
        <f>IF(Donnees[[#This Row],[Abonnés]]="","",IF(Donnees[[#This Row],[Abonnés]]&lt;1000000,"1. &lt; 1 M",IF(Donnees[[#This Row],[Abonnés]]&lt;3000000,"2. 1-3 M",IF(Donnees[[#This Row],[Abonnés]]&lt;8000000,"3. 3-8 M","4. ≥ 8 M"))))</f>
        <v/>
      </c>
      <c r="V71" s="41"/>
      <c r="W71" s="41">
        <v>4100000</v>
      </c>
      <c r="X71" s="41">
        <v>364100</v>
      </c>
      <c r="Y71" s="41">
        <v>12300</v>
      </c>
      <c r="Z71" s="41">
        <v>96600</v>
      </c>
      <c r="AA71" s="42">
        <f>(Donnees[[#This Row],[Likes]]+Donnees[[#This Row],[Commentaires]]+Donnees[[#This Row],[Partages]])/Donnees[[#This Row],[Vues]]</f>
        <v>0.11536585365853659</v>
      </c>
      <c r="AB71" s="40">
        <f>IF(Donnees[[#This Row],[Engagement]]&gt;=VLOOKUP(Donnees[[#This Row],[Échantillon]],'Méthode &amp; limites'!$B$9:$D$11,2,FALSE),1,0)</f>
        <v>0</v>
      </c>
      <c r="AC71" s="43" t="str">
        <f>IF(Donnees[[#This Row],[Abonnés]]="","",Donnees[[#This Row],[Vues]]/Donnees[[#This Row],[Abonnés]])</f>
        <v/>
      </c>
      <c r="AD71" s="40" t="s">
        <v>44</v>
      </c>
      <c r="AE71" s="43">
        <f>SUMPRODUCT((Donnees[Échantillon]=Donnees[[#This Row],[Échantillon]])*(Donnees[Engagement]&lt;Donnees[[#This Row],[Engagement]]))+(SUMPRODUCT((Donnees[Échantillon]=Donnees[[#This Row],[Échantillon]])*(Donnees[Engagement]=Donnees[[#This Row],[Engagement]]))+1)/2</f>
        <v>57</v>
      </c>
      <c r="AF71" s="43">
        <f>SUMPRODUCT((Donnees[Échantillon]=Donnees[[#This Row],[Échantillon]])*(Donnees[Vues]&lt;Donnees[[#This Row],[Vues]]))+(SUMPRODUCT((Donnees[Échantillon]=Donnees[[#This Row],[Échantillon]])*(Donnees[Vues]=Donnees[[#This Row],[Vues]]))+1)/2</f>
        <v>31</v>
      </c>
      <c r="AG71" s="43">
        <f>SUMPRODUCT((Donnees[Échantillon]=Donnees[[#This Row],[Échantillon]])*(Donnees[Durée (s)]&lt;Donnees[[#This Row],[Durée (s)]]))+(SUMPRODUCT((Donnees[Échantillon]=Donnees[[#This Row],[Échantillon]])*(Donnees[Durée (s)]=Donnees[[#This Row],[Durée (s)]]))+1)/2</f>
        <v>100</v>
      </c>
      <c r="AH71" s="43">
        <f>SUMPRODUCT((Donnees[Échantillon]=Donnees[[#This Row],[Échantillon]])*(Donnees[Nb hashtags]&lt;Donnees[[#This Row],[Nb hashtags]]))+(SUMPRODUCT((Donnees[Échantillon]=Donnees[[#This Row],[Échantillon]])*(Donnees[Nb hashtags]=Donnees[[#This Row],[Nb hashtags]]))+1)/2</f>
        <v>80</v>
      </c>
      <c r="AI71" s="43">
        <f>SUMPRODUCT((Donnees[Échantillon]=Donnees[[#This Row],[Échantillon]])*(Donnees[Longueur du texte]&lt;Donnees[[#This Row],[Longueur du texte]]))+(SUMPRODUCT((Donnees[Échantillon]=Donnees[[#This Row],[Échantillon]])*(Donnees[Longueur du texte]=Donnees[[#This Row],[Longueur du texte]]))+1)/2</f>
        <v>70</v>
      </c>
      <c r="AJ71" s="43" t="str">
        <f>IF(Donnees[[#This Row],[Abonnés]]="","",SUMPRODUCT((Donnees[Échantillon]=Donnees[[#This Row],[Échantillon]])*(Donnees[Abonnés]&lt;Donnees[[#This Row],[Abonnés]]))+(SUMPRODUCT((Donnees[Échantillon]=Donnees[[#This Row],[Échantillon]])*(Donnees[Abonnés]=Donnees[[#This Row],[Abonnés]]))+1)/2)</f>
        <v/>
      </c>
      <c r="AK7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72" spans="1:37" x14ac:dyDescent="0.2">
      <c r="A72" s="40" t="s">
        <v>37</v>
      </c>
      <c r="B72" s="40" t="s">
        <v>122</v>
      </c>
      <c r="C72" s="40" t="s">
        <v>67</v>
      </c>
      <c r="D72" s="40">
        <v>49</v>
      </c>
      <c r="E72" s="40" t="s">
        <v>40</v>
      </c>
      <c r="F72" s="40" t="str">
        <f>IF(OR(Donnees[[#This Row],[Jour]]="samedi",Donnees[[#This Row],[Jour]]="dimanche"),"Oui","Non")</f>
        <v>Non</v>
      </c>
      <c r="G72" s="40">
        <v>8</v>
      </c>
      <c r="H72" s="40" t="str">
        <f>IF(Donnees[[#This Row],[Heure UTC]]&lt;6,"0-5 h",IF(Donnees[[#This Row],[Heure UTC]]&lt;12,"6-11 h",IF(Donnees[[#This Row],[Heure UTC]]&lt;18,"12-17 h","18-23 h")))</f>
        <v>6-11 h</v>
      </c>
      <c r="I72" s="40">
        <v>11</v>
      </c>
      <c r="J72" s="40" t="str">
        <f>IF(Donnees[[#This Row],[Durée (s)]]&lt;=10,"1. ≤ 10 s",IF(Donnees[[#This Row],[Durée (s)]]&lt;=15,"2. 11-15 s",IF(Donnees[[#This Row],[Durée (s)]]&lt;=30,"3. 16-30 s",IF(Donnees[[#This Row],[Durée (s)]]&lt;=60,"4. 31-60 s","5. &gt; 60 s"))))</f>
        <v>2. 11-15 s</v>
      </c>
      <c r="K72" s="40" t="str">
        <f>IF(Donnees[[#This Row],[Durée (s)]]&gt;15,"Oui","Non")</f>
        <v>Non</v>
      </c>
      <c r="L72" s="40">
        <v>5</v>
      </c>
      <c r="M72" s="40" t="s">
        <v>44</v>
      </c>
      <c r="N72" s="40">
        <v>52</v>
      </c>
      <c r="O72" s="40" t="s">
        <v>41</v>
      </c>
      <c r="P72" s="40" t="s">
        <v>41</v>
      </c>
      <c r="Q72" s="40" t="s">
        <v>44</v>
      </c>
      <c r="R72" s="40"/>
      <c r="S72" s="40"/>
      <c r="T72" s="41"/>
      <c r="U72" s="40" t="str">
        <f>IF(Donnees[[#This Row],[Abonnés]]="","",IF(Donnees[[#This Row],[Abonnés]]&lt;1000000,"1. &lt; 1 M",IF(Donnees[[#This Row],[Abonnés]]&lt;3000000,"2. 1-3 M",IF(Donnees[[#This Row],[Abonnés]]&lt;8000000,"3. 3-8 M","4. ≥ 8 M"))))</f>
        <v/>
      </c>
      <c r="V72" s="41"/>
      <c r="W72" s="41">
        <v>4000000</v>
      </c>
      <c r="X72" s="41">
        <v>399100</v>
      </c>
      <c r="Y72" s="41">
        <v>4824</v>
      </c>
      <c r="Z72" s="41">
        <v>45200</v>
      </c>
      <c r="AA72" s="42">
        <f>(Donnees[[#This Row],[Likes]]+Donnees[[#This Row],[Commentaires]]+Donnees[[#This Row],[Partages]])/Donnees[[#This Row],[Vues]]</f>
        <v>0.11228100000000001</v>
      </c>
      <c r="AB72" s="40">
        <f>IF(Donnees[[#This Row],[Engagement]]&gt;=VLOOKUP(Donnees[[#This Row],[Échantillon]],'Méthode &amp; limites'!$B$9:$D$11,2,FALSE),1,0)</f>
        <v>0</v>
      </c>
      <c r="AC72" s="43" t="str">
        <f>IF(Donnees[[#This Row],[Abonnés]]="","",Donnees[[#This Row],[Vues]]/Donnees[[#This Row],[Abonnés]])</f>
        <v/>
      </c>
      <c r="AD72" s="40" t="s">
        <v>44</v>
      </c>
      <c r="AE72" s="43">
        <f>SUMPRODUCT((Donnees[Échantillon]=Donnees[[#This Row],[Échantillon]])*(Donnees[Engagement]&lt;Donnees[[#This Row],[Engagement]]))+(SUMPRODUCT((Donnees[Échantillon]=Donnees[[#This Row],[Échantillon]])*(Donnees[Engagement]=Donnees[[#This Row],[Engagement]]))+1)/2</f>
        <v>55</v>
      </c>
      <c r="AF72" s="43">
        <f>SUMPRODUCT((Donnees[Échantillon]=Donnees[[#This Row],[Échantillon]])*(Donnees[Vues]&lt;Donnees[[#This Row],[Vues]]))+(SUMPRODUCT((Donnees[Échantillon]=Donnees[[#This Row],[Échantillon]])*(Donnees[Vues]=Donnees[[#This Row],[Vues]]))+1)/2</f>
        <v>30</v>
      </c>
      <c r="AG72" s="43">
        <f>SUMPRODUCT((Donnees[Échantillon]=Donnees[[#This Row],[Échantillon]])*(Donnees[Durée (s)]&lt;Donnees[[#This Row],[Durée (s)]]))+(SUMPRODUCT((Donnees[Échantillon]=Donnees[[#This Row],[Échantillon]])*(Donnees[Durée (s)]=Donnees[[#This Row],[Durée (s)]]))+1)/2</f>
        <v>47</v>
      </c>
      <c r="AH72" s="43">
        <f>SUMPRODUCT((Donnees[Échantillon]=Donnees[[#This Row],[Échantillon]])*(Donnees[Nb hashtags]&lt;Donnees[[#This Row],[Nb hashtags]]))+(SUMPRODUCT((Donnees[Échantillon]=Donnees[[#This Row],[Échantillon]])*(Donnees[Nb hashtags]=Donnees[[#This Row],[Nb hashtags]]))+1)/2</f>
        <v>70</v>
      </c>
      <c r="AI72" s="43">
        <f>SUMPRODUCT((Donnees[Échantillon]=Donnees[[#This Row],[Échantillon]])*(Donnees[Longueur du texte]&lt;Donnees[[#This Row],[Longueur du texte]]))+(SUMPRODUCT((Donnees[Échantillon]=Donnees[[#This Row],[Échantillon]])*(Donnees[Longueur du texte]=Donnees[[#This Row],[Longueur du texte]]))+1)/2</f>
        <v>90</v>
      </c>
      <c r="AJ72" s="43" t="str">
        <f>IF(Donnees[[#This Row],[Abonnés]]="","",SUMPRODUCT((Donnees[Échantillon]=Donnees[[#This Row],[Échantillon]])*(Donnees[Abonnés]&lt;Donnees[[#This Row],[Abonnés]]))+(SUMPRODUCT((Donnees[Échantillon]=Donnees[[#This Row],[Échantillon]])*(Donnees[Abonnés]=Donnees[[#This Row],[Abonnés]]))+1)/2)</f>
        <v/>
      </c>
      <c r="AK7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73" spans="1:37" x14ac:dyDescent="0.2">
      <c r="A73" s="40" t="s">
        <v>37</v>
      </c>
      <c r="B73" s="40" t="s">
        <v>123</v>
      </c>
      <c r="C73" s="40" t="s">
        <v>67</v>
      </c>
      <c r="D73" s="40">
        <v>8</v>
      </c>
      <c r="E73" s="40" t="s">
        <v>71</v>
      </c>
      <c r="F73" s="40" t="str">
        <f>IF(OR(Donnees[[#This Row],[Jour]]="samedi",Donnees[[#This Row],[Jour]]="dimanche"),"Oui","Non")</f>
        <v>Non</v>
      </c>
      <c r="G73" s="40">
        <v>17</v>
      </c>
      <c r="H73" s="40" t="str">
        <f>IF(Donnees[[#This Row],[Heure UTC]]&lt;6,"0-5 h",IF(Donnees[[#This Row],[Heure UTC]]&lt;12,"6-11 h",IF(Donnees[[#This Row],[Heure UTC]]&lt;18,"12-17 h","18-23 h")))</f>
        <v>12-17 h</v>
      </c>
      <c r="I73" s="40">
        <v>29</v>
      </c>
      <c r="J73" s="40" t="str">
        <f>IF(Donnees[[#This Row],[Durée (s)]]&lt;=10,"1. ≤ 10 s",IF(Donnees[[#This Row],[Durée (s)]]&lt;=15,"2. 11-15 s",IF(Donnees[[#This Row],[Durée (s)]]&lt;=30,"3. 16-30 s",IF(Donnees[[#This Row],[Durée (s)]]&lt;=60,"4. 31-60 s","5. &gt; 60 s"))))</f>
        <v>3. 16-30 s</v>
      </c>
      <c r="K73" s="40" t="str">
        <f>IF(Donnees[[#This Row],[Durée (s)]]&gt;15,"Oui","Non")</f>
        <v>Oui</v>
      </c>
      <c r="L73" s="40">
        <v>8</v>
      </c>
      <c r="M73" s="40" t="s">
        <v>44</v>
      </c>
      <c r="N73" s="40">
        <v>46</v>
      </c>
      <c r="O73" s="40" t="s">
        <v>41</v>
      </c>
      <c r="P73" s="40" t="s">
        <v>44</v>
      </c>
      <c r="Q73" s="40" t="s">
        <v>44</v>
      </c>
      <c r="R73" s="40"/>
      <c r="S73" s="40"/>
      <c r="T73" s="41"/>
      <c r="U73" s="40" t="str">
        <f>IF(Donnees[[#This Row],[Abonnés]]="","",IF(Donnees[[#This Row],[Abonnés]]&lt;1000000,"1. &lt; 1 M",IF(Donnees[[#This Row],[Abonnés]]&lt;3000000,"2. 1-3 M",IF(Donnees[[#This Row],[Abonnés]]&lt;8000000,"3. 3-8 M","4. ≥ 8 M"))))</f>
        <v/>
      </c>
      <c r="V73" s="41"/>
      <c r="W73" s="41">
        <v>3700000</v>
      </c>
      <c r="X73" s="41">
        <v>531700</v>
      </c>
      <c r="Y73" s="41">
        <v>8147</v>
      </c>
      <c r="Z73" s="41">
        <v>73800</v>
      </c>
      <c r="AA73" s="42">
        <f>(Donnees[[#This Row],[Likes]]+Donnees[[#This Row],[Commentaires]]+Donnees[[#This Row],[Partages]])/Donnees[[#This Row],[Vues]]</f>
        <v>0.16585054054054055</v>
      </c>
      <c r="AB73" s="40">
        <f>IF(Donnees[[#This Row],[Engagement]]&gt;=VLOOKUP(Donnees[[#This Row],[Échantillon]],'Méthode &amp; limites'!$B$9:$D$11,2,FALSE),1,0)</f>
        <v>1</v>
      </c>
      <c r="AC73" s="43" t="str">
        <f>IF(Donnees[[#This Row],[Abonnés]]="","",Donnees[[#This Row],[Vues]]/Donnees[[#This Row],[Abonnés]])</f>
        <v/>
      </c>
      <c r="AD73" s="40" t="s">
        <v>44</v>
      </c>
      <c r="AE73" s="43">
        <f>SUMPRODUCT((Donnees[Échantillon]=Donnees[[#This Row],[Échantillon]])*(Donnees[Engagement]&lt;Donnees[[#This Row],[Engagement]]))+(SUMPRODUCT((Donnees[Échantillon]=Donnees[[#This Row],[Échantillon]])*(Donnees[Engagement]=Donnees[[#This Row],[Engagement]]))+1)/2</f>
        <v>80</v>
      </c>
      <c r="AF73" s="43">
        <f>SUMPRODUCT((Donnees[Échantillon]=Donnees[[#This Row],[Échantillon]])*(Donnees[Vues]&lt;Donnees[[#This Row],[Vues]]))+(SUMPRODUCT((Donnees[Échantillon]=Donnees[[#This Row],[Échantillon]])*(Donnees[Vues]=Donnees[[#This Row],[Vues]]))+1)/2</f>
        <v>29</v>
      </c>
      <c r="AG73" s="43">
        <f>SUMPRODUCT((Donnees[Échantillon]=Donnees[[#This Row],[Échantillon]])*(Donnees[Durée (s)]&lt;Donnees[[#This Row],[Durée (s)]]))+(SUMPRODUCT((Donnees[Échantillon]=Donnees[[#This Row],[Échantillon]])*(Donnees[Durée (s)]=Donnees[[#This Row],[Durée (s)]]))+1)/2</f>
        <v>92</v>
      </c>
      <c r="AH73" s="43">
        <f>SUMPRODUCT((Donnees[Échantillon]=Donnees[[#This Row],[Échantillon]])*(Donnees[Nb hashtags]&lt;Donnees[[#This Row],[Nb hashtags]]))+(SUMPRODUCT((Donnees[Échantillon]=Donnees[[#This Row],[Échantillon]])*(Donnees[Nb hashtags]=Donnees[[#This Row],[Nb hashtags]]))+1)/2</f>
        <v>86</v>
      </c>
      <c r="AI73" s="43">
        <f>SUMPRODUCT((Donnees[Échantillon]=Donnees[[#This Row],[Échantillon]])*(Donnees[Longueur du texte]&lt;Donnees[[#This Row],[Longueur du texte]]))+(SUMPRODUCT((Donnees[Échantillon]=Donnees[[#This Row],[Échantillon]])*(Donnees[Longueur du texte]=Donnees[[#This Row],[Longueur du texte]]))+1)/2</f>
        <v>88</v>
      </c>
      <c r="AJ73" s="43" t="str">
        <f>IF(Donnees[[#This Row],[Abonnés]]="","",SUMPRODUCT((Donnees[Échantillon]=Donnees[[#This Row],[Échantillon]])*(Donnees[Abonnés]&lt;Donnees[[#This Row],[Abonnés]]))+(SUMPRODUCT((Donnees[Échantillon]=Donnees[[#This Row],[Échantillon]])*(Donnees[Abonnés]=Donnees[[#This Row],[Abonnés]]))+1)/2)</f>
        <v/>
      </c>
      <c r="AK7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74" spans="1:37" x14ac:dyDescent="0.2">
      <c r="A74" s="40" t="s">
        <v>37</v>
      </c>
      <c r="B74" s="40" t="s">
        <v>124</v>
      </c>
      <c r="C74" s="40" t="s">
        <v>67</v>
      </c>
      <c r="D74" s="40">
        <v>25</v>
      </c>
      <c r="E74" s="40" t="s">
        <v>68</v>
      </c>
      <c r="F74" s="40" t="str">
        <f>IF(OR(Donnees[[#This Row],[Jour]]="samedi",Donnees[[#This Row],[Jour]]="dimanche"),"Oui","Non")</f>
        <v>Non</v>
      </c>
      <c r="G74" s="40">
        <v>18</v>
      </c>
      <c r="H74" s="40" t="str">
        <f>IF(Donnees[[#This Row],[Heure UTC]]&lt;6,"0-5 h",IF(Donnees[[#This Row],[Heure UTC]]&lt;12,"6-11 h",IF(Donnees[[#This Row],[Heure UTC]]&lt;18,"12-17 h","18-23 h")))</f>
        <v>18-23 h</v>
      </c>
      <c r="I74" s="40">
        <v>10</v>
      </c>
      <c r="J74" s="40" t="str">
        <f>IF(Donnees[[#This Row],[Durée (s)]]&lt;=10,"1. ≤ 10 s",IF(Donnees[[#This Row],[Durée (s)]]&lt;=15,"2. 11-15 s",IF(Donnees[[#This Row],[Durée (s)]]&lt;=30,"3. 16-30 s",IF(Donnees[[#This Row],[Durée (s)]]&lt;=60,"4. 31-60 s","5. &gt; 60 s"))))</f>
        <v>1. ≤ 10 s</v>
      </c>
      <c r="K74" s="40" t="str">
        <f>IF(Donnees[[#This Row],[Durée (s)]]&gt;15,"Oui","Non")</f>
        <v>Non</v>
      </c>
      <c r="L74" s="40">
        <v>7</v>
      </c>
      <c r="M74" s="40" t="s">
        <v>44</v>
      </c>
      <c r="N74" s="40">
        <v>24</v>
      </c>
      <c r="O74" s="40" t="s">
        <v>41</v>
      </c>
      <c r="P74" s="40" t="s">
        <v>41</v>
      </c>
      <c r="Q74" s="40" t="s">
        <v>41</v>
      </c>
      <c r="R74" s="40"/>
      <c r="S74" s="40"/>
      <c r="T74" s="41"/>
      <c r="U74" s="40" t="str">
        <f>IF(Donnees[[#This Row],[Abonnés]]="","",IF(Donnees[[#This Row],[Abonnés]]&lt;1000000,"1. &lt; 1 M",IF(Donnees[[#This Row],[Abonnés]]&lt;3000000,"2. 1-3 M",IF(Donnees[[#This Row],[Abonnés]]&lt;8000000,"3. 3-8 M","4. ≥ 8 M"))))</f>
        <v/>
      </c>
      <c r="V74" s="41"/>
      <c r="W74" s="41">
        <v>3500000</v>
      </c>
      <c r="X74" s="41">
        <v>314600</v>
      </c>
      <c r="Y74" s="41">
        <v>4375</v>
      </c>
      <c r="Z74" s="41">
        <v>19400</v>
      </c>
      <c r="AA74" s="42">
        <f>(Donnees[[#This Row],[Likes]]+Donnees[[#This Row],[Commentaires]]+Donnees[[#This Row],[Partages]])/Donnees[[#This Row],[Vues]]</f>
        <v>9.6678571428571433E-2</v>
      </c>
      <c r="AB74" s="40">
        <f>IF(Donnees[[#This Row],[Engagement]]&gt;=VLOOKUP(Donnees[[#This Row],[Échantillon]],'Méthode &amp; limites'!$B$9:$D$11,2,FALSE),1,0)</f>
        <v>0</v>
      </c>
      <c r="AC74" s="43" t="str">
        <f>IF(Donnees[[#This Row],[Abonnés]]="","",Donnees[[#This Row],[Vues]]/Donnees[[#This Row],[Abonnés]])</f>
        <v/>
      </c>
      <c r="AD74" s="40" t="s">
        <v>44</v>
      </c>
      <c r="AE74" s="43">
        <f>SUMPRODUCT((Donnees[Échantillon]=Donnees[[#This Row],[Échantillon]])*(Donnees[Engagement]&lt;Donnees[[#This Row],[Engagement]]))+(SUMPRODUCT((Donnees[Échantillon]=Donnees[[#This Row],[Échantillon]])*(Donnees[Engagement]=Donnees[[#This Row],[Engagement]]))+1)/2</f>
        <v>41</v>
      </c>
      <c r="AF74" s="43">
        <f>SUMPRODUCT((Donnees[Échantillon]=Donnees[[#This Row],[Échantillon]])*(Donnees[Vues]&lt;Donnees[[#This Row],[Vues]]))+(SUMPRODUCT((Donnees[Échantillon]=Donnees[[#This Row],[Échantillon]])*(Donnees[Vues]=Donnees[[#This Row],[Vues]]))+1)/2</f>
        <v>28</v>
      </c>
      <c r="AG74" s="43">
        <f>SUMPRODUCT((Donnees[Échantillon]=Donnees[[#This Row],[Échantillon]])*(Donnees[Durée (s)]&lt;Donnees[[#This Row],[Durée (s)]]))+(SUMPRODUCT((Donnees[Échantillon]=Donnees[[#This Row],[Échantillon]])*(Donnees[Durée (s)]=Donnees[[#This Row],[Durée (s)]]))+1)/2</f>
        <v>38</v>
      </c>
      <c r="AH74" s="43">
        <f>SUMPRODUCT((Donnees[Échantillon]=Donnees[[#This Row],[Échantillon]])*(Donnees[Nb hashtags]&lt;Donnees[[#This Row],[Nb hashtags]]))+(SUMPRODUCT((Donnees[Échantillon]=Donnees[[#This Row],[Échantillon]])*(Donnees[Nb hashtags]=Donnees[[#This Row],[Nb hashtags]]))+1)/2</f>
        <v>80</v>
      </c>
      <c r="AI74" s="43">
        <f>SUMPRODUCT((Donnees[Échantillon]=Donnees[[#This Row],[Échantillon]])*(Donnees[Longueur du texte]&lt;Donnees[[#This Row],[Longueur du texte]]))+(SUMPRODUCT((Donnees[Échantillon]=Donnees[[#This Row],[Échantillon]])*(Donnees[Longueur du texte]=Donnees[[#This Row],[Longueur du texte]]))+1)/2</f>
        <v>66.5</v>
      </c>
      <c r="AJ74" s="43" t="str">
        <f>IF(Donnees[[#This Row],[Abonnés]]="","",SUMPRODUCT((Donnees[Échantillon]=Donnees[[#This Row],[Échantillon]])*(Donnees[Abonnés]&lt;Donnees[[#This Row],[Abonnés]]))+(SUMPRODUCT((Donnees[Échantillon]=Donnees[[#This Row],[Échantillon]])*(Donnees[Abonnés]=Donnees[[#This Row],[Abonnés]]))+1)/2)</f>
        <v/>
      </c>
      <c r="AK7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75" spans="1:37" x14ac:dyDescent="0.2">
      <c r="A75" s="40" t="s">
        <v>37</v>
      </c>
      <c r="B75" s="40" t="s">
        <v>125</v>
      </c>
      <c r="C75" s="40" t="s">
        <v>62</v>
      </c>
      <c r="D75" s="40">
        <v>19</v>
      </c>
      <c r="E75" s="40" t="s">
        <v>47</v>
      </c>
      <c r="F75" s="40" t="str">
        <f>IF(OR(Donnees[[#This Row],[Jour]]="samedi",Donnees[[#This Row],[Jour]]="dimanche"),"Oui","Non")</f>
        <v>Non</v>
      </c>
      <c r="G75" s="40">
        <v>0</v>
      </c>
      <c r="H75" s="40" t="str">
        <f>IF(Donnees[[#This Row],[Heure UTC]]&lt;6,"0-5 h",IF(Donnees[[#This Row],[Heure UTC]]&lt;12,"6-11 h",IF(Donnees[[#This Row],[Heure UTC]]&lt;18,"12-17 h","18-23 h")))</f>
        <v>0-5 h</v>
      </c>
      <c r="I75" s="40">
        <v>15</v>
      </c>
      <c r="J75" s="40" t="str">
        <f>IF(Donnees[[#This Row],[Durée (s)]]&lt;=10,"1. ≤ 10 s",IF(Donnees[[#This Row],[Durée (s)]]&lt;=15,"2. 11-15 s",IF(Donnees[[#This Row],[Durée (s)]]&lt;=30,"3. 16-30 s",IF(Donnees[[#This Row],[Durée (s)]]&lt;=60,"4. 31-60 s","5. &gt; 60 s"))))</f>
        <v>2. 11-15 s</v>
      </c>
      <c r="K75" s="40" t="str">
        <f>IF(Donnees[[#This Row],[Durée (s)]]&gt;15,"Oui","Non")</f>
        <v>Non</v>
      </c>
      <c r="L75" s="40">
        <v>0</v>
      </c>
      <c r="M75" s="40" t="s">
        <v>41</v>
      </c>
      <c r="N75" s="40">
        <v>44</v>
      </c>
      <c r="O75" s="40" t="s">
        <v>41</v>
      </c>
      <c r="P75" s="40" t="s">
        <v>41</v>
      </c>
      <c r="Q75" s="40" t="s">
        <v>41</v>
      </c>
      <c r="R75" s="40"/>
      <c r="S75" s="40"/>
      <c r="T75" s="41"/>
      <c r="U75" s="40" t="str">
        <f>IF(Donnees[[#This Row],[Abonnés]]="","",IF(Donnees[[#This Row],[Abonnés]]&lt;1000000,"1. &lt; 1 M",IF(Donnees[[#This Row],[Abonnés]]&lt;3000000,"2. 1-3 M",IF(Donnees[[#This Row],[Abonnés]]&lt;8000000,"3. 3-8 M","4. ≥ 8 M"))))</f>
        <v/>
      </c>
      <c r="V75" s="41"/>
      <c r="W75" s="41">
        <v>3400000</v>
      </c>
      <c r="X75" s="41">
        <v>320400</v>
      </c>
      <c r="Y75" s="41">
        <v>2289</v>
      </c>
      <c r="Z75" s="41">
        <v>870</v>
      </c>
      <c r="AA75" s="42">
        <f>(Donnees[[#This Row],[Likes]]+Donnees[[#This Row],[Commentaires]]+Donnees[[#This Row],[Partages]])/Donnees[[#This Row],[Vues]]</f>
        <v>9.5164411764705886E-2</v>
      </c>
      <c r="AB75" s="40">
        <f>IF(Donnees[[#This Row],[Engagement]]&gt;=VLOOKUP(Donnees[[#This Row],[Échantillon]],'Méthode &amp; limites'!$B$9:$D$11,2,FALSE),1,0)</f>
        <v>0</v>
      </c>
      <c r="AC75" s="43" t="str">
        <f>IF(Donnees[[#This Row],[Abonnés]]="","",Donnees[[#This Row],[Vues]]/Donnees[[#This Row],[Abonnés]])</f>
        <v/>
      </c>
      <c r="AD75" s="40" t="s">
        <v>44</v>
      </c>
      <c r="AE75" s="43">
        <f>SUMPRODUCT((Donnees[Échantillon]=Donnees[[#This Row],[Échantillon]])*(Donnees[Engagement]&lt;Donnees[[#This Row],[Engagement]]))+(SUMPRODUCT((Donnees[Échantillon]=Donnees[[#This Row],[Échantillon]])*(Donnees[Engagement]=Donnees[[#This Row],[Engagement]]))+1)/2</f>
        <v>40</v>
      </c>
      <c r="AF75" s="43">
        <f>SUMPRODUCT((Donnees[Échantillon]=Donnees[[#This Row],[Échantillon]])*(Donnees[Vues]&lt;Donnees[[#This Row],[Vues]]))+(SUMPRODUCT((Donnees[Échantillon]=Donnees[[#This Row],[Échantillon]])*(Donnees[Vues]=Donnees[[#This Row],[Vues]]))+1)/2</f>
        <v>26.5</v>
      </c>
      <c r="AG75" s="43">
        <f>SUMPRODUCT((Donnees[Échantillon]=Donnees[[#This Row],[Échantillon]])*(Donnees[Durée (s)]&lt;Donnees[[#This Row],[Durée (s)]]))+(SUMPRODUCT((Donnees[Échantillon]=Donnees[[#This Row],[Échantillon]])*(Donnees[Durée (s)]=Donnees[[#This Row],[Durée (s)]]))+1)/2</f>
        <v>78</v>
      </c>
      <c r="AH75" s="43">
        <f>SUMPRODUCT((Donnees[Échantillon]=Donnees[[#This Row],[Échantillon]])*(Donnees[Nb hashtags]&lt;Donnees[[#This Row],[Nb hashtags]]))+(SUMPRODUCT((Donnees[Échantillon]=Donnees[[#This Row],[Échantillon]])*(Donnees[Nb hashtags]=Donnees[[#This Row],[Nb hashtags]]))+1)/2</f>
        <v>19</v>
      </c>
      <c r="AI75" s="43">
        <f>SUMPRODUCT((Donnees[Échantillon]=Donnees[[#This Row],[Échantillon]])*(Donnees[Longueur du texte]&lt;Donnees[[#This Row],[Longueur du texte]]))+(SUMPRODUCT((Donnees[Échantillon]=Donnees[[#This Row],[Échantillon]])*(Donnees[Longueur du texte]=Donnees[[#This Row],[Longueur du texte]]))+1)/2</f>
        <v>87</v>
      </c>
      <c r="AJ75" s="43" t="str">
        <f>IF(Donnees[[#This Row],[Abonnés]]="","",SUMPRODUCT((Donnees[Échantillon]=Donnees[[#This Row],[Échantillon]])*(Donnees[Abonnés]&lt;Donnees[[#This Row],[Abonnés]]))+(SUMPRODUCT((Donnees[Échantillon]=Donnees[[#This Row],[Échantillon]])*(Donnees[Abonnés]=Donnees[[#This Row],[Abonnés]]))+1)/2)</f>
        <v/>
      </c>
      <c r="AK7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76" spans="1:37" x14ac:dyDescent="0.2">
      <c r="A76" s="40" t="s">
        <v>37</v>
      </c>
      <c r="B76" s="40" t="s">
        <v>126</v>
      </c>
      <c r="C76" s="40" t="s">
        <v>39</v>
      </c>
      <c r="D76" s="40">
        <v>41</v>
      </c>
      <c r="E76" s="40" t="s">
        <v>59</v>
      </c>
      <c r="F76" s="40" t="str">
        <f>IF(OR(Donnees[[#This Row],[Jour]]="samedi",Donnees[[#This Row],[Jour]]="dimanche"),"Oui","Non")</f>
        <v>Non</v>
      </c>
      <c r="G76" s="40">
        <v>21</v>
      </c>
      <c r="H76" s="40" t="str">
        <f>IF(Donnees[[#This Row],[Heure UTC]]&lt;6,"0-5 h",IF(Donnees[[#This Row],[Heure UTC]]&lt;12,"6-11 h",IF(Donnees[[#This Row],[Heure UTC]]&lt;18,"12-17 h","18-23 h")))</f>
        <v>18-23 h</v>
      </c>
      <c r="I76" s="40">
        <v>15</v>
      </c>
      <c r="J76" s="40" t="str">
        <f>IF(Donnees[[#This Row],[Durée (s)]]&lt;=10,"1. ≤ 10 s",IF(Donnees[[#This Row],[Durée (s)]]&lt;=15,"2. 11-15 s",IF(Donnees[[#This Row],[Durée (s)]]&lt;=30,"3. 16-30 s",IF(Donnees[[#This Row],[Durée (s)]]&lt;=60,"4. 31-60 s","5. &gt; 60 s"))))</f>
        <v>2. 11-15 s</v>
      </c>
      <c r="K76" s="40" t="str">
        <f>IF(Donnees[[#This Row],[Durée (s)]]&gt;15,"Oui","Non")</f>
        <v>Non</v>
      </c>
      <c r="L76" s="40">
        <v>4</v>
      </c>
      <c r="M76" s="40" t="s">
        <v>44</v>
      </c>
      <c r="N76" s="40">
        <v>25</v>
      </c>
      <c r="O76" s="40" t="s">
        <v>41</v>
      </c>
      <c r="P76" s="40" t="s">
        <v>41</v>
      </c>
      <c r="Q76" s="40" t="s">
        <v>41</v>
      </c>
      <c r="R76" s="40"/>
      <c r="S76" s="40"/>
      <c r="T76" s="41"/>
      <c r="U76" s="40" t="str">
        <f>IF(Donnees[[#This Row],[Abonnés]]="","",IF(Donnees[[#This Row],[Abonnés]]&lt;1000000,"1. &lt; 1 M",IF(Donnees[[#This Row],[Abonnés]]&lt;3000000,"2. 1-3 M",IF(Donnees[[#This Row],[Abonnés]]&lt;8000000,"3. 3-8 M","4. ≥ 8 M"))))</f>
        <v/>
      </c>
      <c r="V76" s="41"/>
      <c r="W76" s="41">
        <v>3400000</v>
      </c>
      <c r="X76" s="41">
        <v>66300</v>
      </c>
      <c r="Y76" s="41">
        <v>2219</v>
      </c>
      <c r="Z76" s="41">
        <v>24900</v>
      </c>
      <c r="AA76" s="42">
        <f>(Donnees[[#This Row],[Likes]]+Donnees[[#This Row],[Commentaires]]+Donnees[[#This Row],[Partages]])/Donnees[[#This Row],[Vues]]</f>
        <v>2.7476176470588237E-2</v>
      </c>
      <c r="AB76" s="40">
        <f>IF(Donnees[[#This Row],[Engagement]]&gt;=VLOOKUP(Donnees[[#This Row],[Échantillon]],'Méthode &amp; limites'!$B$9:$D$11,2,FALSE),1,0)</f>
        <v>0</v>
      </c>
      <c r="AC76" s="43" t="str">
        <f>IF(Donnees[[#This Row],[Abonnés]]="","",Donnees[[#This Row],[Vues]]/Donnees[[#This Row],[Abonnés]])</f>
        <v/>
      </c>
      <c r="AD76" s="40" t="s">
        <v>44</v>
      </c>
      <c r="AE76" s="43">
        <f>SUMPRODUCT((Donnees[Échantillon]=Donnees[[#This Row],[Échantillon]])*(Donnees[Engagement]&lt;Donnees[[#This Row],[Engagement]]))+(SUMPRODUCT((Donnees[Échantillon]=Donnees[[#This Row],[Échantillon]])*(Donnees[Engagement]=Donnees[[#This Row],[Engagement]]))+1)/2</f>
        <v>3</v>
      </c>
      <c r="AF76" s="43">
        <f>SUMPRODUCT((Donnees[Échantillon]=Donnees[[#This Row],[Échantillon]])*(Donnees[Vues]&lt;Donnees[[#This Row],[Vues]]))+(SUMPRODUCT((Donnees[Échantillon]=Donnees[[#This Row],[Échantillon]])*(Donnees[Vues]=Donnees[[#This Row],[Vues]]))+1)/2</f>
        <v>26.5</v>
      </c>
      <c r="AG76" s="43">
        <f>SUMPRODUCT((Donnees[Échantillon]=Donnees[[#This Row],[Échantillon]])*(Donnees[Durée (s)]&lt;Donnees[[#This Row],[Durée (s)]]))+(SUMPRODUCT((Donnees[Échantillon]=Donnees[[#This Row],[Échantillon]])*(Donnees[Durée (s)]=Donnees[[#This Row],[Durée (s)]]))+1)/2</f>
        <v>78</v>
      </c>
      <c r="AH76" s="43">
        <f>SUMPRODUCT((Donnees[Échantillon]=Donnees[[#This Row],[Échantillon]])*(Donnees[Nb hashtags]&lt;Donnees[[#This Row],[Nb hashtags]]))+(SUMPRODUCT((Donnees[Échantillon]=Donnees[[#This Row],[Échantillon]])*(Donnees[Nb hashtags]=Donnees[[#This Row],[Nb hashtags]]))+1)/2</f>
        <v>62</v>
      </c>
      <c r="AI76" s="43">
        <f>SUMPRODUCT((Donnees[Échantillon]=Donnees[[#This Row],[Échantillon]])*(Donnees[Longueur du texte]&lt;Donnees[[#This Row],[Longueur du texte]]))+(SUMPRODUCT((Donnees[Échantillon]=Donnees[[#This Row],[Échantillon]])*(Donnees[Longueur du texte]=Donnees[[#This Row],[Longueur du texte]]))+1)/2</f>
        <v>68</v>
      </c>
      <c r="AJ76" s="43" t="str">
        <f>IF(Donnees[[#This Row],[Abonnés]]="","",SUMPRODUCT((Donnees[Échantillon]=Donnees[[#This Row],[Échantillon]])*(Donnees[Abonnés]&lt;Donnees[[#This Row],[Abonnés]]))+(SUMPRODUCT((Donnees[Échantillon]=Donnees[[#This Row],[Échantillon]])*(Donnees[Abonnés]=Donnees[[#This Row],[Abonnés]]))+1)/2)</f>
        <v/>
      </c>
      <c r="AK7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77" spans="1:37" x14ac:dyDescent="0.2">
      <c r="A77" s="40" t="s">
        <v>37</v>
      </c>
      <c r="B77" s="40" t="s">
        <v>127</v>
      </c>
      <c r="C77" s="40" t="s">
        <v>46</v>
      </c>
      <c r="D77" s="40">
        <v>4</v>
      </c>
      <c r="E77" s="40" t="s">
        <v>68</v>
      </c>
      <c r="F77" s="40" t="str">
        <f>IF(OR(Donnees[[#This Row],[Jour]]="samedi",Donnees[[#This Row],[Jour]]="dimanche"),"Oui","Non")</f>
        <v>Non</v>
      </c>
      <c r="G77" s="40">
        <v>23</v>
      </c>
      <c r="H77" s="40" t="str">
        <f>IF(Donnees[[#This Row],[Heure UTC]]&lt;6,"0-5 h",IF(Donnees[[#This Row],[Heure UTC]]&lt;12,"6-11 h",IF(Donnees[[#This Row],[Heure UTC]]&lt;18,"12-17 h","18-23 h")))</f>
        <v>18-23 h</v>
      </c>
      <c r="I77" s="40">
        <v>9</v>
      </c>
      <c r="J77" s="40" t="str">
        <f>IF(Donnees[[#This Row],[Durée (s)]]&lt;=10,"1. ≤ 10 s",IF(Donnees[[#This Row],[Durée (s)]]&lt;=15,"2. 11-15 s",IF(Donnees[[#This Row],[Durée (s)]]&lt;=30,"3. 16-30 s",IF(Donnees[[#This Row],[Durée (s)]]&lt;=60,"4. 31-60 s","5. &gt; 60 s"))))</f>
        <v>1. ≤ 10 s</v>
      </c>
      <c r="K77" s="40" t="str">
        <f>IF(Donnees[[#This Row],[Durée (s)]]&gt;15,"Oui","Non")</f>
        <v>Non</v>
      </c>
      <c r="L77" s="40">
        <v>8</v>
      </c>
      <c r="M77" s="40" t="s">
        <v>44</v>
      </c>
      <c r="N77" s="40">
        <v>34</v>
      </c>
      <c r="O77" s="40" t="s">
        <v>41</v>
      </c>
      <c r="P77" s="40" t="s">
        <v>41</v>
      </c>
      <c r="Q77" s="40" t="s">
        <v>41</v>
      </c>
      <c r="R77" s="40"/>
      <c r="S77" s="40"/>
      <c r="T77" s="41"/>
      <c r="U77" s="40" t="str">
        <f>IF(Donnees[[#This Row],[Abonnés]]="","",IF(Donnees[[#This Row],[Abonnés]]&lt;1000000,"1. &lt; 1 M",IF(Donnees[[#This Row],[Abonnés]]&lt;3000000,"2. 1-3 M",IF(Donnees[[#This Row],[Abonnés]]&lt;8000000,"3. 3-8 M","4. ≥ 8 M"))))</f>
        <v/>
      </c>
      <c r="V77" s="41"/>
      <c r="W77" s="41">
        <v>3300000</v>
      </c>
      <c r="X77" s="41">
        <v>492600</v>
      </c>
      <c r="Y77" s="41">
        <v>5326</v>
      </c>
      <c r="Z77" s="41">
        <v>10000</v>
      </c>
      <c r="AA77" s="42">
        <f>(Donnees[[#This Row],[Likes]]+Donnees[[#This Row],[Commentaires]]+Donnees[[#This Row],[Partages]])/Donnees[[#This Row],[Vues]]</f>
        <v>0.15391696969696969</v>
      </c>
      <c r="AB77" s="40">
        <f>IF(Donnees[[#This Row],[Engagement]]&gt;=VLOOKUP(Donnees[[#This Row],[Échantillon]],'Méthode &amp; limites'!$B$9:$D$11,2,FALSE),1,0)</f>
        <v>0</v>
      </c>
      <c r="AC77" s="43" t="str">
        <f>IF(Donnees[[#This Row],[Abonnés]]="","",Donnees[[#This Row],[Vues]]/Donnees[[#This Row],[Abonnés]])</f>
        <v/>
      </c>
      <c r="AD77" s="40" t="s">
        <v>44</v>
      </c>
      <c r="AE77" s="43">
        <f>SUMPRODUCT((Donnees[Échantillon]=Donnees[[#This Row],[Échantillon]])*(Donnees[Engagement]&lt;Donnees[[#This Row],[Engagement]]))+(SUMPRODUCT((Donnees[Échantillon]=Donnees[[#This Row],[Échantillon]])*(Donnees[Engagement]=Donnees[[#This Row],[Engagement]]))+1)/2</f>
        <v>74</v>
      </c>
      <c r="AF77" s="43">
        <f>SUMPRODUCT((Donnees[Échantillon]=Donnees[[#This Row],[Échantillon]])*(Donnees[Vues]&lt;Donnees[[#This Row],[Vues]]))+(SUMPRODUCT((Donnees[Échantillon]=Donnees[[#This Row],[Échantillon]])*(Donnees[Vues]=Donnees[[#This Row],[Vues]]))+1)/2</f>
        <v>25</v>
      </c>
      <c r="AG77" s="43">
        <f>SUMPRODUCT((Donnees[Échantillon]=Donnees[[#This Row],[Échantillon]])*(Donnees[Durée (s)]&lt;Donnees[[#This Row],[Durée (s)]]))+(SUMPRODUCT((Donnees[Échantillon]=Donnees[[#This Row],[Échantillon]])*(Donnees[Durée (s)]=Donnees[[#This Row],[Durée (s)]]))+1)/2</f>
        <v>28</v>
      </c>
      <c r="AH77" s="43">
        <f>SUMPRODUCT((Donnees[Échantillon]=Donnees[[#This Row],[Échantillon]])*(Donnees[Nb hashtags]&lt;Donnees[[#This Row],[Nb hashtags]]))+(SUMPRODUCT((Donnees[Échantillon]=Donnees[[#This Row],[Échantillon]])*(Donnees[Nb hashtags]=Donnees[[#This Row],[Nb hashtags]]))+1)/2</f>
        <v>86</v>
      </c>
      <c r="AI77" s="43">
        <f>SUMPRODUCT((Donnees[Échantillon]=Donnees[[#This Row],[Échantillon]])*(Donnees[Longueur du texte]&lt;Donnees[[#This Row],[Longueur du texte]]))+(SUMPRODUCT((Donnees[Échantillon]=Donnees[[#This Row],[Échantillon]])*(Donnees[Longueur du texte]=Donnees[[#This Row],[Longueur du texte]]))+1)/2</f>
        <v>75.5</v>
      </c>
      <c r="AJ77" s="43" t="str">
        <f>IF(Donnees[[#This Row],[Abonnés]]="","",SUMPRODUCT((Donnees[Échantillon]=Donnees[[#This Row],[Échantillon]])*(Donnees[Abonnés]&lt;Donnees[[#This Row],[Abonnés]]))+(SUMPRODUCT((Donnees[Échantillon]=Donnees[[#This Row],[Échantillon]])*(Donnees[Abonnés]=Donnees[[#This Row],[Abonnés]]))+1)/2)</f>
        <v/>
      </c>
      <c r="AK7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78" spans="1:37" x14ac:dyDescent="0.2">
      <c r="A78" s="40" t="s">
        <v>37</v>
      </c>
      <c r="B78" s="40" t="s">
        <v>128</v>
      </c>
      <c r="C78" s="40" t="s">
        <v>67</v>
      </c>
      <c r="D78" s="40">
        <v>8</v>
      </c>
      <c r="E78" s="40" t="s">
        <v>71</v>
      </c>
      <c r="F78" s="40" t="str">
        <f>IF(OR(Donnees[[#This Row],[Jour]]="samedi",Donnees[[#This Row],[Jour]]="dimanche"),"Oui","Non")</f>
        <v>Non</v>
      </c>
      <c r="G78" s="40">
        <v>20</v>
      </c>
      <c r="H78" s="40" t="str">
        <f>IF(Donnees[[#This Row],[Heure UTC]]&lt;6,"0-5 h",IF(Donnees[[#This Row],[Heure UTC]]&lt;12,"6-11 h",IF(Donnees[[#This Row],[Heure UTC]]&lt;18,"12-17 h","18-23 h")))</f>
        <v>18-23 h</v>
      </c>
      <c r="I78" s="40">
        <v>9</v>
      </c>
      <c r="J78" s="40" t="str">
        <f>IF(Donnees[[#This Row],[Durée (s)]]&lt;=10,"1. ≤ 10 s",IF(Donnees[[#This Row],[Durée (s)]]&lt;=15,"2. 11-15 s",IF(Donnees[[#This Row],[Durée (s)]]&lt;=30,"3. 16-30 s",IF(Donnees[[#This Row],[Durée (s)]]&lt;=60,"4. 31-60 s","5. &gt; 60 s"))))</f>
        <v>1. ≤ 10 s</v>
      </c>
      <c r="K78" s="40" t="str">
        <f>IF(Donnees[[#This Row],[Durée (s)]]&gt;15,"Oui","Non")</f>
        <v>Non</v>
      </c>
      <c r="L78" s="40">
        <v>4</v>
      </c>
      <c r="M78" s="40" t="s">
        <v>41</v>
      </c>
      <c r="N78" s="40">
        <v>8</v>
      </c>
      <c r="O78" s="40" t="s">
        <v>41</v>
      </c>
      <c r="P78" s="40" t="s">
        <v>44</v>
      </c>
      <c r="Q78" s="40" t="s">
        <v>44</v>
      </c>
      <c r="R78" s="40"/>
      <c r="S78" s="40"/>
      <c r="T78" s="41"/>
      <c r="U78" s="40" t="str">
        <f>IF(Donnees[[#This Row],[Abonnés]]="","",IF(Donnees[[#This Row],[Abonnés]]&lt;1000000,"1. &lt; 1 M",IF(Donnees[[#This Row],[Abonnés]]&lt;3000000,"2. 1-3 M",IF(Donnees[[#This Row],[Abonnés]]&lt;8000000,"3. 3-8 M","4. ≥ 8 M"))))</f>
        <v/>
      </c>
      <c r="V78" s="41"/>
      <c r="W78" s="41">
        <v>3200000</v>
      </c>
      <c r="X78" s="41">
        <v>288400</v>
      </c>
      <c r="Y78" s="41">
        <v>5609</v>
      </c>
      <c r="Z78" s="41">
        <v>31600</v>
      </c>
      <c r="AA78" s="42">
        <f>(Donnees[[#This Row],[Likes]]+Donnees[[#This Row],[Commentaires]]+Donnees[[#This Row],[Partages]])/Donnees[[#This Row],[Vues]]</f>
        <v>0.1017528125</v>
      </c>
      <c r="AB78" s="40">
        <f>IF(Donnees[[#This Row],[Engagement]]&gt;=VLOOKUP(Donnees[[#This Row],[Échantillon]],'Méthode &amp; limites'!$B$9:$D$11,2,FALSE),1,0)</f>
        <v>0</v>
      </c>
      <c r="AC78" s="43" t="str">
        <f>IF(Donnees[[#This Row],[Abonnés]]="","",Donnees[[#This Row],[Vues]]/Donnees[[#This Row],[Abonnés]])</f>
        <v/>
      </c>
      <c r="AD78" s="40" t="s">
        <v>44</v>
      </c>
      <c r="AE78" s="43">
        <f>SUMPRODUCT((Donnees[Échantillon]=Donnees[[#This Row],[Échantillon]])*(Donnees[Engagement]&lt;Donnees[[#This Row],[Engagement]]))+(SUMPRODUCT((Donnees[Échantillon]=Donnees[[#This Row],[Échantillon]])*(Donnees[Engagement]=Donnees[[#This Row],[Engagement]]))+1)/2</f>
        <v>47</v>
      </c>
      <c r="AF78" s="43">
        <f>SUMPRODUCT((Donnees[Échantillon]=Donnees[[#This Row],[Échantillon]])*(Donnees[Vues]&lt;Donnees[[#This Row],[Vues]]))+(SUMPRODUCT((Donnees[Échantillon]=Donnees[[#This Row],[Échantillon]])*(Donnees[Vues]=Donnees[[#This Row],[Vues]]))+1)/2</f>
        <v>24</v>
      </c>
      <c r="AG78" s="43">
        <f>SUMPRODUCT((Donnees[Échantillon]=Donnees[[#This Row],[Échantillon]])*(Donnees[Durée (s)]&lt;Donnees[[#This Row],[Durée (s)]]))+(SUMPRODUCT((Donnees[Échantillon]=Donnees[[#This Row],[Échantillon]])*(Donnees[Durée (s)]=Donnees[[#This Row],[Durée (s)]]))+1)/2</f>
        <v>28</v>
      </c>
      <c r="AH78" s="43">
        <f>SUMPRODUCT((Donnees[Échantillon]=Donnees[[#This Row],[Échantillon]])*(Donnees[Nb hashtags]&lt;Donnees[[#This Row],[Nb hashtags]]))+(SUMPRODUCT((Donnees[Échantillon]=Donnees[[#This Row],[Échantillon]])*(Donnees[Nb hashtags]=Donnees[[#This Row],[Nb hashtags]]))+1)/2</f>
        <v>62</v>
      </c>
      <c r="AI78" s="43">
        <f>SUMPRODUCT((Donnees[Échantillon]=Donnees[[#This Row],[Échantillon]])*(Donnees[Longueur du texte]&lt;Donnees[[#This Row],[Longueur du texte]]))+(SUMPRODUCT((Donnees[Échantillon]=Donnees[[#This Row],[Échantillon]])*(Donnees[Longueur du texte]=Donnees[[#This Row],[Longueur du texte]]))+1)/2</f>
        <v>44</v>
      </c>
      <c r="AJ78" s="43" t="str">
        <f>IF(Donnees[[#This Row],[Abonnés]]="","",SUMPRODUCT((Donnees[Échantillon]=Donnees[[#This Row],[Échantillon]])*(Donnees[Abonnés]&lt;Donnees[[#This Row],[Abonnés]]))+(SUMPRODUCT((Donnees[Échantillon]=Donnees[[#This Row],[Échantillon]])*(Donnees[Abonnés]=Donnees[[#This Row],[Abonnés]]))+1)/2)</f>
        <v/>
      </c>
      <c r="AK7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79" spans="1:37" x14ac:dyDescent="0.2">
      <c r="A79" s="40" t="s">
        <v>37</v>
      </c>
      <c r="B79" s="40" t="s">
        <v>49</v>
      </c>
      <c r="C79" s="40" t="s">
        <v>50</v>
      </c>
      <c r="D79" s="40">
        <v>51</v>
      </c>
      <c r="E79" s="40" t="s">
        <v>56</v>
      </c>
      <c r="F79" s="40" t="str">
        <f>IF(OR(Donnees[[#This Row],[Jour]]="samedi",Donnees[[#This Row],[Jour]]="dimanche"),"Oui","Non")</f>
        <v>Oui</v>
      </c>
      <c r="G79" s="40">
        <v>11</v>
      </c>
      <c r="H79" s="40" t="str">
        <f>IF(Donnees[[#This Row],[Heure UTC]]&lt;6,"0-5 h",IF(Donnees[[#This Row],[Heure UTC]]&lt;12,"6-11 h",IF(Donnees[[#This Row],[Heure UTC]]&lt;18,"12-17 h","18-23 h")))</f>
        <v>6-11 h</v>
      </c>
      <c r="I79" s="40">
        <v>9</v>
      </c>
      <c r="J79" s="40" t="str">
        <f>IF(Donnees[[#This Row],[Durée (s)]]&lt;=10,"1. ≤ 10 s",IF(Donnees[[#This Row],[Durée (s)]]&lt;=15,"2. 11-15 s",IF(Donnees[[#This Row],[Durée (s)]]&lt;=30,"3. 16-30 s",IF(Donnees[[#This Row],[Durée (s)]]&lt;=60,"4. 31-60 s","5. &gt; 60 s"))))</f>
        <v>1. ≤ 10 s</v>
      </c>
      <c r="K79" s="40" t="str">
        <f>IF(Donnees[[#This Row],[Durée (s)]]&gt;15,"Oui","Non")</f>
        <v>Non</v>
      </c>
      <c r="L79" s="40">
        <v>0</v>
      </c>
      <c r="M79" s="40" t="s">
        <v>41</v>
      </c>
      <c r="N79" s="40">
        <v>9</v>
      </c>
      <c r="O79" s="40" t="s">
        <v>41</v>
      </c>
      <c r="P79" s="40" t="s">
        <v>41</v>
      </c>
      <c r="Q79" s="40" t="s">
        <v>41</v>
      </c>
      <c r="R79" s="40"/>
      <c r="S79" s="40"/>
      <c r="T79" s="41"/>
      <c r="U79" s="40" t="str">
        <f>IF(Donnees[[#This Row],[Abonnés]]="","",IF(Donnees[[#This Row],[Abonnés]]&lt;1000000,"1. &lt; 1 M",IF(Donnees[[#This Row],[Abonnés]]&lt;3000000,"2. 1-3 M",IF(Donnees[[#This Row],[Abonnés]]&lt;8000000,"3. 3-8 M","4. ≥ 8 M"))))</f>
        <v/>
      </c>
      <c r="V79" s="41"/>
      <c r="W79" s="41">
        <v>3100000</v>
      </c>
      <c r="X79" s="41">
        <v>316500</v>
      </c>
      <c r="Y79" s="41">
        <v>5038</v>
      </c>
      <c r="Z79" s="41">
        <v>896</v>
      </c>
      <c r="AA79" s="42">
        <f>(Donnees[[#This Row],[Likes]]+Donnees[[#This Row],[Commentaires]]+Donnees[[#This Row],[Partages]])/Donnees[[#This Row],[Vues]]</f>
        <v>0.10401096774193548</v>
      </c>
      <c r="AB79" s="40">
        <f>IF(Donnees[[#This Row],[Engagement]]&gt;=VLOOKUP(Donnees[[#This Row],[Échantillon]],'Méthode &amp; limites'!$B$9:$D$11,2,FALSE),1,0)</f>
        <v>0</v>
      </c>
      <c r="AC79" s="43" t="str">
        <f>IF(Donnees[[#This Row],[Abonnés]]="","",Donnees[[#This Row],[Vues]]/Donnees[[#This Row],[Abonnés]])</f>
        <v/>
      </c>
      <c r="AD79" s="40" t="s">
        <v>44</v>
      </c>
      <c r="AE79" s="43">
        <f>SUMPRODUCT((Donnees[Échantillon]=Donnees[[#This Row],[Échantillon]])*(Donnees[Engagement]&lt;Donnees[[#This Row],[Engagement]]))+(SUMPRODUCT((Donnees[Échantillon]=Donnees[[#This Row],[Échantillon]])*(Donnees[Engagement]=Donnees[[#This Row],[Engagement]]))+1)/2</f>
        <v>49</v>
      </c>
      <c r="AF79" s="43">
        <f>SUMPRODUCT((Donnees[Échantillon]=Donnees[[#This Row],[Échantillon]])*(Donnees[Vues]&lt;Donnees[[#This Row],[Vues]]))+(SUMPRODUCT((Donnees[Échantillon]=Donnees[[#This Row],[Échantillon]])*(Donnees[Vues]=Donnees[[#This Row],[Vues]]))+1)/2</f>
        <v>22</v>
      </c>
      <c r="AG79" s="43">
        <f>SUMPRODUCT((Donnees[Échantillon]=Donnees[[#This Row],[Échantillon]])*(Donnees[Durée (s)]&lt;Donnees[[#This Row],[Durée (s)]]))+(SUMPRODUCT((Donnees[Échantillon]=Donnees[[#This Row],[Échantillon]])*(Donnees[Durée (s)]=Donnees[[#This Row],[Durée (s)]]))+1)/2</f>
        <v>28</v>
      </c>
      <c r="AH79" s="43">
        <f>SUMPRODUCT((Donnees[Échantillon]=Donnees[[#This Row],[Échantillon]])*(Donnees[Nb hashtags]&lt;Donnees[[#This Row],[Nb hashtags]]))+(SUMPRODUCT((Donnees[Échantillon]=Donnees[[#This Row],[Échantillon]])*(Donnees[Nb hashtags]=Donnees[[#This Row],[Nb hashtags]]))+1)/2</f>
        <v>19</v>
      </c>
      <c r="AI79" s="43">
        <f>SUMPRODUCT((Donnees[Échantillon]=Donnees[[#This Row],[Échantillon]])*(Donnees[Longueur du texte]&lt;Donnees[[#This Row],[Longueur du texte]]))+(SUMPRODUCT((Donnees[Échantillon]=Donnees[[#This Row],[Échantillon]])*(Donnees[Longueur du texte]=Donnees[[#This Row],[Longueur du texte]]))+1)/2</f>
        <v>45.5</v>
      </c>
      <c r="AJ79" s="43" t="str">
        <f>IF(Donnees[[#This Row],[Abonnés]]="","",SUMPRODUCT((Donnees[Échantillon]=Donnees[[#This Row],[Échantillon]])*(Donnees[Abonnés]&lt;Donnees[[#This Row],[Abonnés]]))+(SUMPRODUCT((Donnees[Échantillon]=Donnees[[#This Row],[Échantillon]])*(Donnees[Abonnés]=Donnees[[#This Row],[Abonnés]]))+1)/2)</f>
        <v/>
      </c>
      <c r="AK7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80" spans="1:37" x14ac:dyDescent="0.2">
      <c r="A80" s="40" t="s">
        <v>37</v>
      </c>
      <c r="B80" s="40" t="s">
        <v>129</v>
      </c>
      <c r="C80" s="40" t="s">
        <v>67</v>
      </c>
      <c r="D80" s="40">
        <v>63</v>
      </c>
      <c r="E80" s="40" t="s">
        <v>40</v>
      </c>
      <c r="F80" s="40" t="str">
        <f>IF(OR(Donnees[[#This Row],[Jour]]="samedi",Donnees[[#This Row],[Jour]]="dimanche"),"Oui","Non")</f>
        <v>Non</v>
      </c>
      <c r="G80" s="40">
        <v>13</v>
      </c>
      <c r="H80" s="40" t="str">
        <f>IF(Donnees[[#This Row],[Heure UTC]]&lt;6,"0-5 h",IF(Donnees[[#This Row],[Heure UTC]]&lt;12,"6-11 h",IF(Donnees[[#This Row],[Heure UTC]]&lt;18,"12-17 h","18-23 h")))</f>
        <v>12-17 h</v>
      </c>
      <c r="I80" s="40">
        <v>13</v>
      </c>
      <c r="J80" s="40" t="str">
        <f>IF(Donnees[[#This Row],[Durée (s)]]&lt;=10,"1. ≤ 10 s",IF(Donnees[[#This Row],[Durée (s)]]&lt;=15,"2. 11-15 s",IF(Donnees[[#This Row],[Durée (s)]]&lt;=30,"3. 16-30 s",IF(Donnees[[#This Row],[Durée (s)]]&lt;=60,"4. 31-60 s","5. &gt; 60 s"))))</f>
        <v>2. 11-15 s</v>
      </c>
      <c r="K80" s="40" t="str">
        <f>IF(Donnees[[#This Row],[Durée (s)]]&gt;15,"Oui","Non")</f>
        <v>Non</v>
      </c>
      <c r="L80" s="40">
        <v>5</v>
      </c>
      <c r="M80" s="40" t="s">
        <v>44</v>
      </c>
      <c r="N80" s="40">
        <v>0</v>
      </c>
      <c r="O80" s="40" t="s">
        <v>41</v>
      </c>
      <c r="P80" s="40" t="s">
        <v>41</v>
      </c>
      <c r="Q80" s="40" t="s">
        <v>41</v>
      </c>
      <c r="R80" s="40"/>
      <c r="S80" s="40"/>
      <c r="T80" s="41"/>
      <c r="U80" s="40" t="str">
        <f>IF(Donnees[[#This Row],[Abonnés]]="","",IF(Donnees[[#This Row],[Abonnés]]&lt;1000000,"1. &lt; 1 M",IF(Donnees[[#This Row],[Abonnés]]&lt;3000000,"2. 1-3 M",IF(Donnees[[#This Row],[Abonnés]]&lt;8000000,"3. 3-8 M","4. ≥ 8 M"))))</f>
        <v/>
      </c>
      <c r="V80" s="41"/>
      <c r="W80" s="41">
        <v>3100000</v>
      </c>
      <c r="X80" s="41">
        <v>547100</v>
      </c>
      <c r="Y80" s="41">
        <v>8800</v>
      </c>
      <c r="Z80" s="41">
        <v>22200</v>
      </c>
      <c r="AA80" s="42">
        <f>(Donnees[[#This Row],[Likes]]+Donnees[[#This Row],[Commentaires]]+Donnees[[#This Row],[Partages]])/Donnees[[#This Row],[Vues]]</f>
        <v>0.18648387096774194</v>
      </c>
      <c r="AB80" s="40">
        <f>IF(Donnees[[#This Row],[Engagement]]&gt;=VLOOKUP(Donnees[[#This Row],[Échantillon]],'Méthode &amp; limites'!$B$9:$D$11,2,FALSE),1,0)</f>
        <v>1</v>
      </c>
      <c r="AC80" s="43" t="str">
        <f>IF(Donnees[[#This Row],[Abonnés]]="","",Donnees[[#This Row],[Vues]]/Donnees[[#This Row],[Abonnés]])</f>
        <v/>
      </c>
      <c r="AD80" s="40" t="s">
        <v>44</v>
      </c>
      <c r="AE80" s="43">
        <f>SUMPRODUCT((Donnees[Échantillon]=Donnees[[#This Row],[Échantillon]])*(Donnees[Engagement]&lt;Donnees[[#This Row],[Engagement]]))+(SUMPRODUCT((Donnees[Échantillon]=Donnees[[#This Row],[Échantillon]])*(Donnees[Engagement]=Donnees[[#This Row],[Engagement]]))+1)/2</f>
        <v>88</v>
      </c>
      <c r="AF80" s="43">
        <f>SUMPRODUCT((Donnees[Échantillon]=Donnees[[#This Row],[Échantillon]])*(Donnees[Vues]&lt;Donnees[[#This Row],[Vues]]))+(SUMPRODUCT((Donnees[Échantillon]=Donnees[[#This Row],[Échantillon]])*(Donnees[Vues]=Donnees[[#This Row],[Vues]]))+1)/2</f>
        <v>22</v>
      </c>
      <c r="AG80" s="43">
        <f>SUMPRODUCT((Donnees[Échantillon]=Donnees[[#This Row],[Échantillon]])*(Donnees[Durée (s)]&lt;Donnees[[#This Row],[Durée (s)]]))+(SUMPRODUCT((Donnees[Échantillon]=Donnees[[#This Row],[Échantillon]])*(Donnees[Durée (s)]=Donnees[[#This Row],[Durée (s)]]))+1)/2</f>
        <v>64.5</v>
      </c>
      <c r="AH80" s="43">
        <f>SUMPRODUCT((Donnees[Échantillon]=Donnees[[#This Row],[Échantillon]])*(Donnees[Nb hashtags]&lt;Donnees[[#This Row],[Nb hashtags]]))+(SUMPRODUCT((Donnees[Échantillon]=Donnees[[#This Row],[Échantillon]])*(Donnees[Nb hashtags]=Donnees[[#This Row],[Nb hashtags]]))+1)/2</f>
        <v>70</v>
      </c>
      <c r="AI80" s="43">
        <f>SUMPRODUCT((Donnees[Échantillon]=Donnees[[#This Row],[Échantillon]])*(Donnees[Longueur du texte]&lt;Donnees[[#This Row],[Longueur du texte]]))+(SUMPRODUCT((Donnees[Échantillon]=Donnees[[#This Row],[Échantillon]])*(Donnees[Longueur du texte]=Donnees[[#This Row],[Longueur du texte]]))+1)/2</f>
        <v>16</v>
      </c>
      <c r="AJ80" s="43" t="str">
        <f>IF(Donnees[[#This Row],[Abonnés]]="","",SUMPRODUCT((Donnees[Échantillon]=Donnees[[#This Row],[Échantillon]])*(Donnees[Abonnés]&lt;Donnees[[#This Row],[Abonnés]]))+(SUMPRODUCT((Donnees[Échantillon]=Donnees[[#This Row],[Échantillon]])*(Donnees[Abonnés]=Donnees[[#This Row],[Abonnés]]))+1)/2)</f>
        <v/>
      </c>
      <c r="AK8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81" spans="1:37" x14ac:dyDescent="0.2">
      <c r="A81" s="40" t="s">
        <v>37</v>
      </c>
      <c r="B81" s="40" t="s">
        <v>130</v>
      </c>
      <c r="C81" s="40" t="s">
        <v>46</v>
      </c>
      <c r="D81" s="40">
        <v>59</v>
      </c>
      <c r="E81" s="40" t="s">
        <v>75</v>
      </c>
      <c r="F81" s="40" t="str">
        <f>IF(OR(Donnees[[#This Row],[Jour]]="samedi",Donnees[[#This Row],[Jour]]="dimanche"),"Oui","Non")</f>
        <v>Oui</v>
      </c>
      <c r="G81" s="40">
        <v>17</v>
      </c>
      <c r="H81" s="40" t="str">
        <f>IF(Donnees[[#This Row],[Heure UTC]]&lt;6,"0-5 h",IF(Donnees[[#This Row],[Heure UTC]]&lt;12,"6-11 h",IF(Donnees[[#This Row],[Heure UTC]]&lt;18,"12-17 h","18-23 h")))</f>
        <v>12-17 h</v>
      </c>
      <c r="I81" s="40">
        <v>13</v>
      </c>
      <c r="J81" s="40" t="str">
        <f>IF(Donnees[[#This Row],[Durée (s)]]&lt;=10,"1. ≤ 10 s",IF(Donnees[[#This Row],[Durée (s)]]&lt;=15,"2. 11-15 s",IF(Donnees[[#This Row],[Durée (s)]]&lt;=30,"3. 16-30 s",IF(Donnees[[#This Row],[Durée (s)]]&lt;=60,"4. 31-60 s","5. &gt; 60 s"))))</f>
        <v>2. 11-15 s</v>
      </c>
      <c r="K81" s="40" t="str">
        <f>IF(Donnees[[#This Row],[Durée (s)]]&gt;15,"Oui","Non")</f>
        <v>Non</v>
      </c>
      <c r="L81" s="40">
        <v>2</v>
      </c>
      <c r="M81" s="40" t="s">
        <v>41</v>
      </c>
      <c r="N81" s="40">
        <v>0</v>
      </c>
      <c r="O81" s="40" t="s">
        <v>41</v>
      </c>
      <c r="P81" s="40" t="s">
        <v>41</v>
      </c>
      <c r="Q81" s="40" t="s">
        <v>41</v>
      </c>
      <c r="R81" s="40"/>
      <c r="S81" s="40"/>
      <c r="T81" s="41"/>
      <c r="U81" s="40" t="str">
        <f>IF(Donnees[[#This Row],[Abonnés]]="","",IF(Donnees[[#This Row],[Abonnés]]&lt;1000000,"1. &lt; 1 M",IF(Donnees[[#This Row],[Abonnés]]&lt;3000000,"2. 1-3 M",IF(Donnees[[#This Row],[Abonnés]]&lt;8000000,"3. 3-8 M","4. ≥ 8 M"))))</f>
        <v/>
      </c>
      <c r="V81" s="41"/>
      <c r="W81" s="41">
        <v>3100000</v>
      </c>
      <c r="X81" s="41">
        <v>121800</v>
      </c>
      <c r="Y81" s="41">
        <v>1662</v>
      </c>
      <c r="Z81" s="41">
        <v>42300</v>
      </c>
      <c r="AA81" s="42">
        <f>(Donnees[[#This Row],[Likes]]+Donnees[[#This Row],[Commentaires]]+Donnees[[#This Row],[Partages]])/Donnees[[#This Row],[Vues]]</f>
        <v>5.3471612903225808E-2</v>
      </c>
      <c r="AB81" s="40">
        <f>IF(Donnees[[#This Row],[Engagement]]&gt;=VLOOKUP(Donnees[[#This Row],[Échantillon]],'Méthode &amp; limites'!$B$9:$D$11,2,FALSE),1,0)</f>
        <v>0</v>
      </c>
      <c r="AC81" s="43" t="str">
        <f>IF(Donnees[[#This Row],[Abonnés]]="","",Donnees[[#This Row],[Vues]]/Donnees[[#This Row],[Abonnés]])</f>
        <v/>
      </c>
      <c r="AD81" s="40" t="s">
        <v>44</v>
      </c>
      <c r="AE81" s="43">
        <f>SUMPRODUCT((Donnees[Échantillon]=Donnees[[#This Row],[Échantillon]])*(Donnees[Engagement]&lt;Donnees[[#This Row],[Engagement]]))+(SUMPRODUCT((Donnees[Échantillon]=Donnees[[#This Row],[Échantillon]])*(Donnees[Engagement]=Donnees[[#This Row],[Engagement]]))+1)/2</f>
        <v>13</v>
      </c>
      <c r="AF81" s="43">
        <f>SUMPRODUCT((Donnees[Échantillon]=Donnees[[#This Row],[Échantillon]])*(Donnees[Vues]&lt;Donnees[[#This Row],[Vues]]))+(SUMPRODUCT((Donnees[Échantillon]=Donnees[[#This Row],[Échantillon]])*(Donnees[Vues]=Donnees[[#This Row],[Vues]]))+1)/2</f>
        <v>22</v>
      </c>
      <c r="AG81" s="43">
        <f>SUMPRODUCT((Donnees[Échantillon]=Donnees[[#This Row],[Échantillon]])*(Donnees[Durée (s)]&lt;Donnees[[#This Row],[Durée (s)]]))+(SUMPRODUCT((Donnees[Échantillon]=Donnees[[#This Row],[Échantillon]])*(Donnees[Durée (s)]=Donnees[[#This Row],[Durée (s)]]))+1)/2</f>
        <v>64.5</v>
      </c>
      <c r="AH81" s="43">
        <f>SUMPRODUCT((Donnees[Échantillon]=Donnees[[#This Row],[Échantillon]])*(Donnees[Nb hashtags]&lt;Donnees[[#This Row],[Nb hashtags]]))+(SUMPRODUCT((Donnees[Échantillon]=Donnees[[#This Row],[Échantillon]])*(Donnees[Nb hashtags]=Donnees[[#This Row],[Nb hashtags]]))+1)/2</f>
        <v>43</v>
      </c>
      <c r="AI81" s="43">
        <f>SUMPRODUCT((Donnees[Échantillon]=Donnees[[#This Row],[Échantillon]])*(Donnees[Longueur du texte]&lt;Donnees[[#This Row],[Longueur du texte]]))+(SUMPRODUCT((Donnees[Échantillon]=Donnees[[#This Row],[Échantillon]])*(Donnees[Longueur du texte]=Donnees[[#This Row],[Longueur du texte]]))+1)/2</f>
        <v>16</v>
      </c>
      <c r="AJ81" s="43" t="str">
        <f>IF(Donnees[[#This Row],[Abonnés]]="","",SUMPRODUCT((Donnees[Échantillon]=Donnees[[#This Row],[Échantillon]])*(Donnees[Abonnés]&lt;Donnees[[#This Row],[Abonnés]]))+(SUMPRODUCT((Donnees[Échantillon]=Donnees[[#This Row],[Échantillon]])*(Donnees[Abonnés]=Donnees[[#This Row],[Abonnés]]))+1)/2)</f>
        <v/>
      </c>
      <c r="AK8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82" spans="1:37" x14ac:dyDescent="0.2">
      <c r="A82" s="40" t="s">
        <v>37</v>
      </c>
      <c r="B82" s="40" t="s">
        <v>131</v>
      </c>
      <c r="C82" s="40" t="s">
        <v>62</v>
      </c>
      <c r="D82" s="40">
        <v>4</v>
      </c>
      <c r="E82" s="40" t="s">
        <v>68</v>
      </c>
      <c r="F82" s="40" t="str">
        <f>IF(OR(Donnees[[#This Row],[Jour]]="samedi",Donnees[[#This Row],[Jour]]="dimanche"),"Oui","Non")</f>
        <v>Non</v>
      </c>
      <c r="G82" s="40">
        <v>19</v>
      </c>
      <c r="H82" s="40" t="str">
        <f>IF(Donnees[[#This Row],[Heure UTC]]&lt;6,"0-5 h",IF(Donnees[[#This Row],[Heure UTC]]&lt;12,"6-11 h",IF(Donnees[[#This Row],[Heure UTC]]&lt;18,"12-17 h","18-23 h")))</f>
        <v>18-23 h</v>
      </c>
      <c r="I82" s="40">
        <v>8</v>
      </c>
      <c r="J82" s="40" t="str">
        <f>IF(Donnees[[#This Row],[Durée (s)]]&lt;=10,"1. ≤ 10 s",IF(Donnees[[#This Row],[Durée (s)]]&lt;=15,"2. 11-15 s",IF(Donnees[[#This Row],[Durée (s)]]&lt;=30,"3. 16-30 s",IF(Donnees[[#This Row],[Durée (s)]]&lt;=60,"4. 31-60 s","5. &gt; 60 s"))))</f>
        <v>1. ≤ 10 s</v>
      </c>
      <c r="K82" s="40" t="str">
        <f>IF(Donnees[[#This Row],[Durée (s)]]&gt;15,"Oui","Non")</f>
        <v>Non</v>
      </c>
      <c r="L82" s="40">
        <v>4</v>
      </c>
      <c r="M82" s="40" t="s">
        <v>44</v>
      </c>
      <c r="N82" s="40">
        <v>21</v>
      </c>
      <c r="O82" s="40" t="s">
        <v>41</v>
      </c>
      <c r="P82" s="40" t="s">
        <v>41</v>
      </c>
      <c r="Q82" s="40" t="s">
        <v>41</v>
      </c>
      <c r="R82" s="40"/>
      <c r="S82" s="40"/>
      <c r="T82" s="41"/>
      <c r="U82" s="40" t="str">
        <f>IF(Donnees[[#This Row],[Abonnés]]="","",IF(Donnees[[#This Row],[Abonnés]]&lt;1000000,"1. &lt; 1 M",IF(Donnees[[#This Row],[Abonnés]]&lt;3000000,"2. 1-3 M",IF(Donnees[[#This Row],[Abonnés]]&lt;8000000,"3. 3-8 M","4. ≥ 8 M"))))</f>
        <v/>
      </c>
      <c r="V82" s="41"/>
      <c r="W82" s="41">
        <v>3000000</v>
      </c>
      <c r="X82" s="41">
        <v>217700</v>
      </c>
      <c r="Y82" s="41">
        <v>6076</v>
      </c>
      <c r="Z82" s="41">
        <v>26200</v>
      </c>
      <c r="AA82" s="42">
        <f>(Donnees[[#This Row],[Likes]]+Donnees[[#This Row],[Commentaires]]+Donnees[[#This Row],[Partages]])/Donnees[[#This Row],[Vues]]</f>
        <v>8.3325333333333335E-2</v>
      </c>
      <c r="AB82" s="40">
        <f>IF(Donnees[[#This Row],[Engagement]]&gt;=VLOOKUP(Donnees[[#This Row],[Échantillon]],'Méthode &amp; limites'!$B$9:$D$11,2,FALSE),1,0)</f>
        <v>0</v>
      </c>
      <c r="AC82" s="43" t="str">
        <f>IF(Donnees[[#This Row],[Abonnés]]="","",Donnees[[#This Row],[Vues]]/Donnees[[#This Row],[Abonnés]])</f>
        <v/>
      </c>
      <c r="AD82" s="40" t="s">
        <v>44</v>
      </c>
      <c r="AE82" s="43">
        <f>SUMPRODUCT((Donnees[Échantillon]=Donnees[[#This Row],[Échantillon]])*(Donnees[Engagement]&lt;Donnees[[#This Row],[Engagement]]))+(SUMPRODUCT((Donnees[Échantillon]=Donnees[[#This Row],[Échantillon]])*(Donnees[Engagement]=Donnees[[#This Row],[Engagement]]))+1)/2</f>
        <v>36</v>
      </c>
      <c r="AF82" s="43">
        <f>SUMPRODUCT((Donnees[Échantillon]=Donnees[[#This Row],[Échantillon]])*(Donnees[Vues]&lt;Donnees[[#This Row],[Vues]]))+(SUMPRODUCT((Donnees[Échantillon]=Donnees[[#This Row],[Échantillon]])*(Donnees[Vues]=Donnees[[#This Row],[Vues]]))+1)/2</f>
        <v>20</v>
      </c>
      <c r="AG82" s="43">
        <f>SUMPRODUCT((Donnees[Échantillon]=Donnees[[#This Row],[Échantillon]])*(Donnees[Durée (s)]&lt;Donnees[[#This Row],[Durée (s)]]))+(SUMPRODUCT((Donnees[Échantillon]=Donnees[[#This Row],[Échantillon]])*(Donnees[Durée (s)]=Donnees[[#This Row],[Durée (s)]]))+1)/2</f>
        <v>14</v>
      </c>
      <c r="AH82" s="43">
        <f>SUMPRODUCT((Donnees[Échantillon]=Donnees[[#This Row],[Échantillon]])*(Donnees[Nb hashtags]&lt;Donnees[[#This Row],[Nb hashtags]]))+(SUMPRODUCT((Donnees[Échantillon]=Donnees[[#This Row],[Échantillon]])*(Donnees[Nb hashtags]=Donnees[[#This Row],[Nb hashtags]]))+1)/2</f>
        <v>62</v>
      </c>
      <c r="AI82" s="43">
        <f>SUMPRODUCT((Donnees[Échantillon]=Donnees[[#This Row],[Échantillon]])*(Donnees[Longueur du texte]&lt;Donnees[[#This Row],[Longueur du texte]]))+(SUMPRODUCT((Donnees[Échantillon]=Donnees[[#This Row],[Échantillon]])*(Donnees[Longueur du texte]=Donnees[[#This Row],[Longueur du texte]]))+1)/2</f>
        <v>61.5</v>
      </c>
      <c r="AJ82" s="43" t="str">
        <f>IF(Donnees[[#This Row],[Abonnés]]="","",SUMPRODUCT((Donnees[Échantillon]=Donnees[[#This Row],[Échantillon]])*(Donnees[Abonnés]&lt;Donnees[[#This Row],[Abonnés]]))+(SUMPRODUCT((Donnees[Échantillon]=Donnees[[#This Row],[Échantillon]])*(Donnees[Abonnés]=Donnees[[#This Row],[Abonnés]]))+1)/2)</f>
        <v/>
      </c>
      <c r="AK8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83" spans="1:37" x14ac:dyDescent="0.2">
      <c r="A83" s="40" t="s">
        <v>37</v>
      </c>
      <c r="B83" s="40" t="s">
        <v>119</v>
      </c>
      <c r="C83" s="40" t="s">
        <v>39</v>
      </c>
      <c r="D83" s="40">
        <v>24</v>
      </c>
      <c r="E83" s="40" t="s">
        <v>75</v>
      </c>
      <c r="F83" s="40" t="str">
        <f>IF(OR(Donnees[[#This Row],[Jour]]="samedi",Donnees[[#This Row],[Jour]]="dimanche"),"Oui","Non")</f>
        <v>Oui</v>
      </c>
      <c r="G83" s="40">
        <v>17</v>
      </c>
      <c r="H83" s="40" t="str">
        <f>IF(Donnees[[#This Row],[Heure UTC]]&lt;6,"0-5 h",IF(Donnees[[#This Row],[Heure UTC]]&lt;12,"6-11 h",IF(Donnees[[#This Row],[Heure UTC]]&lt;18,"12-17 h","18-23 h")))</f>
        <v>12-17 h</v>
      </c>
      <c r="I83" s="40">
        <v>8</v>
      </c>
      <c r="J83" s="40" t="str">
        <f>IF(Donnees[[#This Row],[Durée (s)]]&lt;=10,"1. ≤ 10 s",IF(Donnees[[#This Row],[Durée (s)]]&lt;=15,"2. 11-15 s",IF(Donnees[[#This Row],[Durée (s)]]&lt;=30,"3. 16-30 s",IF(Donnees[[#This Row],[Durée (s)]]&lt;=60,"4. 31-60 s","5. &gt; 60 s"))))</f>
        <v>1. ≤ 10 s</v>
      </c>
      <c r="K83" s="40" t="str">
        <f>IF(Donnees[[#This Row],[Durée (s)]]&gt;15,"Oui","Non")</f>
        <v>Non</v>
      </c>
      <c r="L83" s="40">
        <v>0</v>
      </c>
      <c r="M83" s="40" t="s">
        <v>41</v>
      </c>
      <c r="N83" s="40">
        <v>20</v>
      </c>
      <c r="O83" s="40" t="s">
        <v>41</v>
      </c>
      <c r="P83" s="40" t="s">
        <v>41</v>
      </c>
      <c r="Q83" s="40" t="s">
        <v>44</v>
      </c>
      <c r="R83" s="40"/>
      <c r="S83" s="40"/>
      <c r="T83" s="41"/>
      <c r="U83" s="40" t="str">
        <f>IF(Donnees[[#This Row],[Abonnés]]="","",IF(Donnees[[#This Row],[Abonnés]]&lt;1000000,"1. &lt; 1 M",IF(Donnees[[#This Row],[Abonnés]]&lt;3000000,"2. 1-3 M",IF(Donnees[[#This Row],[Abonnés]]&lt;8000000,"3. 3-8 M","4. ≥ 8 M"))))</f>
        <v/>
      </c>
      <c r="V83" s="41"/>
      <c r="W83" s="41">
        <v>2900000</v>
      </c>
      <c r="X83" s="41">
        <v>342000</v>
      </c>
      <c r="Y83" s="41">
        <v>21500</v>
      </c>
      <c r="Z83" s="41">
        <v>1687</v>
      </c>
      <c r="AA83" s="42">
        <f>(Donnees[[#This Row],[Likes]]+Donnees[[#This Row],[Commentaires]]+Donnees[[#This Row],[Partages]])/Donnees[[#This Row],[Vues]]</f>
        <v>0.12592655172413794</v>
      </c>
      <c r="AB83" s="40">
        <f>IF(Donnees[[#This Row],[Engagement]]&gt;=VLOOKUP(Donnees[[#This Row],[Échantillon]],'Méthode &amp; limites'!$B$9:$D$11,2,FALSE),1,0)</f>
        <v>0</v>
      </c>
      <c r="AC83" s="43" t="str">
        <f>IF(Donnees[[#This Row],[Abonnés]]="","",Donnees[[#This Row],[Vues]]/Donnees[[#This Row],[Abonnés]])</f>
        <v/>
      </c>
      <c r="AD83" s="40" t="s">
        <v>44</v>
      </c>
      <c r="AE83" s="43">
        <f>SUMPRODUCT((Donnees[Échantillon]=Donnees[[#This Row],[Échantillon]])*(Donnees[Engagement]&lt;Donnees[[#This Row],[Engagement]]))+(SUMPRODUCT((Donnees[Échantillon]=Donnees[[#This Row],[Échantillon]])*(Donnees[Engagement]=Donnees[[#This Row],[Engagement]]))+1)/2</f>
        <v>63</v>
      </c>
      <c r="AF83" s="43">
        <f>SUMPRODUCT((Donnees[Échantillon]=Donnees[[#This Row],[Échantillon]])*(Donnees[Vues]&lt;Donnees[[#This Row],[Vues]]))+(SUMPRODUCT((Donnees[Échantillon]=Donnees[[#This Row],[Échantillon]])*(Donnees[Vues]=Donnees[[#This Row],[Vues]]))+1)/2</f>
        <v>19</v>
      </c>
      <c r="AG83" s="43">
        <f>SUMPRODUCT((Donnees[Échantillon]=Donnees[[#This Row],[Échantillon]])*(Donnees[Durée (s)]&lt;Donnees[[#This Row],[Durée (s)]]))+(SUMPRODUCT((Donnees[Échantillon]=Donnees[[#This Row],[Échantillon]])*(Donnees[Durée (s)]=Donnees[[#This Row],[Durée (s)]]))+1)/2</f>
        <v>14</v>
      </c>
      <c r="AH83" s="43">
        <f>SUMPRODUCT((Donnees[Échantillon]=Donnees[[#This Row],[Échantillon]])*(Donnees[Nb hashtags]&lt;Donnees[[#This Row],[Nb hashtags]]))+(SUMPRODUCT((Donnees[Échantillon]=Donnees[[#This Row],[Échantillon]])*(Donnees[Nb hashtags]=Donnees[[#This Row],[Nb hashtags]]))+1)/2</f>
        <v>19</v>
      </c>
      <c r="AI83" s="43">
        <f>SUMPRODUCT((Donnees[Échantillon]=Donnees[[#This Row],[Échantillon]])*(Donnees[Longueur du texte]&lt;Donnees[[#This Row],[Longueur du texte]]))+(SUMPRODUCT((Donnees[Échantillon]=Donnees[[#This Row],[Échantillon]])*(Donnees[Longueur du texte]=Donnees[[#This Row],[Longueur du texte]]))+1)/2</f>
        <v>59</v>
      </c>
      <c r="AJ83" s="43" t="str">
        <f>IF(Donnees[[#This Row],[Abonnés]]="","",SUMPRODUCT((Donnees[Échantillon]=Donnees[[#This Row],[Échantillon]])*(Donnees[Abonnés]&lt;Donnees[[#This Row],[Abonnés]]))+(SUMPRODUCT((Donnees[Échantillon]=Donnees[[#This Row],[Échantillon]])*(Donnees[Abonnés]=Donnees[[#This Row],[Abonnés]]))+1)/2)</f>
        <v/>
      </c>
      <c r="AK8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84" spans="1:37" x14ac:dyDescent="0.2">
      <c r="A84" s="40" t="s">
        <v>37</v>
      </c>
      <c r="B84" s="40" t="s">
        <v>132</v>
      </c>
      <c r="C84" s="40" t="s">
        <v>39</v>
      </c>
      <c r="D84" s="40">
        <v>0</v>
      </c>
      <c r="E84" s="40" t="s">
        <v>40</v>
      </c>
      <c r="F84" s="40" t="str">
        <f>IF(OR(Donnees[[#This Row],[Jour]]="samedi",Donnees[[#This Row],[Jour]]="dimanche"),"Oui","Non")</f>
        <v>Non</v>
      </c>
      <c r="G84" s="40">
        <v>1</v>
      </c>
      <c r="H84" s="40" t="str">
        <f>IF(Donnees[[#This Row],[Heure UTC]]&lt;6,"0-5 h",IF(Donnees[[#This Row],[Heure UTC]]&lt;12,"6-11 h",IF(Donnees[[#This Row],[Heure UTC]]&lt;18,"12-17 h","18-23 h")))</f>
        <v>0-5 h</v>
      </c>
      <c r="I84" s="40">
        <v>8</v>
      </c>
      <c r="J84" s="40" t="str">
        <f>IF(Donnees[[#This Row],[Durée (s)]]&lt;=10,"1. ≤ 10 s",IF(Donnees[[#This Row],[Durée (s)]]&lt;=15,"2. 11-15 s",IF(Donnees[[#This Row],[Durée (s)]]&lt;=30,"3. 16-30 s",IF(Donnees[[#This Row],[Durée (s)]]&lt;=60,"4. 31-60 s","5. &gt; 60 s"))))</f>
        <v>1. ≤ 10 s</v>
      </c>
      <c r="K84" s="40" t="str">
        <f>IF(Donnees[[#This Row],[Durée (s)]]&gt;15,"Oui","Non")</f>
        <v>Non</v>
      </c>
      <c r="L84" s="40">
        <v>3</v>
      </c>
      <c r="M84" s="40" t="s">
        <v>44</v>
      </c>
      <c r="N84" s="40">
        <v>29</v>
      </c>
      <c r="O84" s="40" t="s">
        <v>41</v>
      </c>
      <c r="P84" s="40" t="s">
        <v>41</v>
      </c>
      <c r="Q84" s="40" t="s">
        <v>41</v>
      </c>
      <c r="R84" s="40"/>
      <c r="S84" s="40"/>
      <c r="T84" s="41"/>
      <c r="U84" s="40" t="str">
        <f>IF(Donnees[[#This Row],[Abonnés]]="","",IF(Donnees[[#This Row],[Abonnés]]&lt;1000000,"1. &lt; 1 M",IF(Donnees[[#This Row],[Abonnés]]&lt;3000000,"2. 1-3 M",IF(Donnees[[#This Row],[Abonnés]]&lt;8000000,"3. 3-8 M","4. ≥ 8 M"))))</f>
        <v/>
      </c>
      <c r="V84" s="41"/>
      <c r="W84" s="41">
        <v>2800000</v>
      </c>
      <c r="X84" s="41">
        <v>250500</v>
      </c>
      <c r="Y84" s="41">
        <v>1781</v>
      </c>
      <c r="Z84" s="41">
        <v>4295</v>
      </c>
      <c r="AA84" s="42">
        <f>(Donnees[[#This Row],[Likes]]+Donnees[[#This Row],[Commentaires]]+Donnees[[#This Row],[Partages]])/Donnees[[#This Row],[Vues]]</f>
        <v>9.163428571428571E-2</v>
      </c>
      <c r="AB84" s="40">
        <f>IF(Donnees[[#This Row],[Engagement]]&gt;=VLOOKUP(Donnees[[#This Row],[Échantillon]],'Méthode &amp; limites'!$B$9:$D$11,2,FALSE),1,0)</f>
        <v>0</v>
      </c>
      <c r="AC84" s="43" t="str">
        <f>IF(Donnees[[#This Row],[Abonnés]]="","",Donnees[[#This Row],[Vues]]/Donnees[[#This Row],[Abonnés]])</f>
        <v/>
      </c>
      <c r="AD84" s="40" t="s">
        <v>44</v>
      </c>
      <c r="AE84" s="43">
        <f>SUMPRODUCT((Donnees[Échantillon]=Donnees[[#This Row],[Échantillon]])*(Donnees[Engagement]&lt;Donnees[[#This Row],[Engagement]]))+(SUMPRODUCT((Donnees[Échantillon]=Donnees[[#This Row],[Échantillon]])*(Donnees[Engagement]=Donnees[[#This Row],[Engagement]]))+1)/2</f>
        <v>39</v>
      </c>
      <c r="AF84" s="43">
        <f>SUMPRODUCT((Donnees[Échantillon]=Donnees[[#This Row],[Échantillon]])*(Donnees[Vues]&lt;Donnees[[#This Row],[Vues]]))+(SUMPRODUCT((Donnees[Échantillon]=Donnees[[#This Row],[Échantillon]])*(Donnees[Vues]=Donnees[[#This Row],[Vues]]))+1)/2</f>
        <v>18</v>
      </c>
      <c r="AG84" s="43">
        <f>SUMPRODUCT((Donnees[Échantillon]=Donnees[[#This Row],[Échantillon]])*(Donnees[Durée (s)]&lt;Donnees[[#This Row],[Durée (s)]]))+(SUMPRODUCT((Donnees[Échantillon]=Donnees[[#This Row],[Échantillon]])*(Donnees[Durée (s)]=Donnees[[#This Row],[Durée (s)]]))+1)/2</f>
        <v>14</v>
      </c>
      <c r="AH84" s="43">
        <f>SUMPRODUCT((Donnees[Échantillon]=Donnees[[#This Row],[Échantillon]])*(Donnees[Nb hashtags]&lt;Donnees[[#This Row],[Nb hashtags]]))+(SUMPRODUCT((Donnees[Échantillon]=Donnees[[#This Row],[Échantillon]])*(Donnees[Nb hashtags]=Donnees[[#This Row],[Nb hashtags]]))+1)/2</f>
        <v>52</v>
      </c>
      <c r="AI84" s="43">
        <f>SUMPRODUCT((Donnees[Échantillon]=Donnees[[#This Row],[Échantillon]])*(Donnees[Longueur du texte]&lt;Donnees[[#This Row],[Longueur du texte]]))+(SUMPRODUCT((Donnees[Échantillon]=Donnees[[#This Row],[Échantillon]])*(Donnees[Longueur du texte]=Donnees[[#This Row],[Longueur du texte]]))+1)/2</f>
        <v>71</v>
      </c>
      <c r="AJ84" s="43" t="str">
        <f>IF(Donnees[[#This Row],[Abonnés]]="","",SUMPRODUCT((Donnees[Échantillon]=Donnees[[#This Row],[Échantillon]])*(Donnees[Abonnés]&lt;Donnees[[#This Row],[Abonnés]]))+(SUMPRODUCT((Donnees[Échantillon]=Donnees[[#This Row],[Échantillon]])*(Donnees[Abonnés]=Donnees[[#This Row],[Abonnés]]))+1)/2)</f>
        <v/>
      </c>
      <c r="AK8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85" spans="1:37" x14ac:dyDescent="0.2">
      <c r="A85" s="40" t="s">
        <v>37</v>
      </c>
      <c r="B85" s="40" t="s">
        <v>133</v>
      </c>
      <c r="C85" s="40" t="s">
        <v>62</v>
      </c>
      <c r="D85" s="40">
        <v>3</v>
      </c>
      <c r="E85" s="40" t="s">
        <v>75</v>
      </c>
      <c r="F85" s="40" t="str">
        <f>IF(OR(Donnees[[#This Row],[Jour]]="samedi",Donnees[[#This Row],[Jour]]="dimanche"),"Oui","Non")</f>
        <v>Oui</v>
      </c>
      <c r="G85" s="40">
        <v>2</v>
      </c>
      <c r="H85" s="40" t="str">
        <f>IF(Donnees[[#This Row],[Heure UTC]]&lt;6,"0-5 h",IF(Donnees[[#This Row],[Heure UTC]]&lt;12,"6-11 h",IF(Donnees[[#This Row],[Heure UTC]]&lt;18,"12-17 h","18-23 h")))</f>
        <v>0-5 h</v>
      </c>
      <c r="I85" s="40">
        <v>11</v>
      </c>
      <c r="J85" s="40" t="str">
        <f>IF(Donnees[[#This Row],[Durée (s)]]&lt;=10,"1. ≤ 10 s",IF(Donnees[[#This Row],[Durée (s)]]&lt;=15,"2. 11-15 s",IF(Donnees[[#This Row],[Durée (s)]]&lt;=30,"3. 16-30 s",IF(Donnees[[#This Row],[Durée (s)]]&lt;=60,"4. 31-60 s","5. &gt; 60 s"))))</f>
        <v>2. 11-15 s</v>
      </c>
      <c r="K85" s="40" t="str">
        <f>IF(Donnees[[#This Row],[Durée (s)]]&gt;15,"Oui","Non")</f>
        <v>Non</v>
      </c>
      <c r="L85" s="40">
        <v>9</v>
      </c>
      <c r="M85" s="40" t="s">
        <v>44</v>
      </c>
      <c r="N85" s="40">
        <v>32</v>
      </c>
      <c r="O85" s="40" t="s">
        <v>41</v>
      </c>
      <c r="P85" s="40" t="s">
        <v>44</v>
      </c>
      <c r="Q85" s="40" t="s">
        <v>41</v>
      </c>
      <c r="R85" s="40"/>
      <c r="S85" s="40"/>
      <c r="T85" s="41"/>
      <c r="U85" s="40" t="str">
        <f>IF(Donnees[[#This Row],[Abonnés]]="","",IF(Donnees[[#This Row],[Abonnés]]&lt;1000000,"1. &lt; 1 M",IF(Donnees[[#This Row],[Abonnés]]&lt;3000000,"2. 1-3 M",IF(Donnees[[#This Row],[Abonnés]]&lt;8000000,"3. 3-8 M","4. ≥ 8 M"))))</f>
        <v/>
      </c>
      <c r="V85" s="41"/>
      <c r="W85" s="41">
        <v>2400000</v>
      </c>
      <c r="X85" s="41">
        <v>488800</v>
      </c>
      <c r="Y85" s="41">
        <v>4119</v>
      </c>
      <c r="Z85" s="41">
        <v>9253</v>
      </c>
      <c r="AA85" s="42">
        <f>(Donnees[[#This Row],[Likes]]+Donnees[[#This Row],[Commentaires]]+Donnees[[#This Row],[Partages]])/Donnees[[#This Row],[Vues]]</f>
        <v>0.20923833333333333</v>
      </c>
      <c r="AB85" s="40">
        <f>IF(Donnees[[#This Row],[Engagement]]&gt;=VLOOKUP(Donnees[[#This Row],[Échantillon]],'Méthode &amp; limites'!$B$9:$D$11,2,FALSE),1,0)</f>
        <v>1</v>
      </c>
      <c r="AC85" s="43" t="str">
        <f>IF(Donnees[[#This Row],[Abonnés]]="","",Donnees[[#This Row],[Vues]]/Donnees[[#This Row],[Abonnés]])</f>
        <v/>
      </c>
      <c r="AD85" s="40" t="s">
        <v>44</v>
      </c>
      <c r="AE85" s="43">
        <f>SUMPRODUCT((Donnees[Échantillon]=Donnees[[#This Row],[Échantillon]])*(Donnees[Engagement]&lt;Donnees[[#This Row],[Engagement]]))+(SUMPRODUCT((Donnees[Échantillon]=Donnees[[#This Row],[Échantillon]])*(Donnees[Engagement]=Donnees[[#This Row],[Engagement]]))+1)/2</f>
        <v>93</v>
      </c>
      <c r="AF85" s="43">
        <f>SUMPRODUCT((Donnees[Échantillon]=Donnees[[#This Row],[Échantillon]])*(Donnees[Vues]&lt;Donnees[[#This Row],[Vues]]))+(SUMPRODUCT((Donnees[Échantillon]=Donnees[[#This Row],[Échantillon]])*(Donnees[Vues]=Donnees[[#This Row],[Vues]]))+1)/2</f>
        <v>16.5</v>
      </c>
      <c r="AG85" s="43">
        <f>SUMPRODUCT((Donnees[Échantillon]=Donnees[[#This Row],[Échantillon]])*(Donnees[Durée (s)]&lt;Donnees[[#This Row],[Durée (s)]]))+(SUMPRODUCT((Donnees[Échantillon]=Donnees[[#This Row],[Échantillon]])*(Donnees[Durée (s)]=Donnees[[#This Row],[Durée (s)]]))+1)/2</f>
        <v>47</v>
      </c>
      <c r="AH85" s="43">
        <f>SUMPRODUCT((Donnees[Échantillon]=Donnees[[#This Row],[Échantillon]])*(Donnees[Nb hashtags]&lt;Donnees[[#This Row],[Nb hashtags]]))+(SUMPRODUCT((Donnees[Échantillon]=Donnees[[#This Row],[Échantillon]])*(Donnees[Nb hashtags]=Donnees[[#This Row],[Nb hashtags]]))+1)/2</f>
        <v>90.5</v>
      </c>
      <c r="AI85" s="43">
        <f>SUMPRODUCT((Donnees[Échantillon]=Donnees[[#This Row],[Échantillon]])*(Donnees[Longueur du texte]&lt;Donnees[[#This Row],[Longueur du texte]]))+(SUMPRODUCT((Donnees[Échantillon]=Donnees[[#This Row],[Échantillon]])*(Donnees[Longueur du texte]=Donnees[[#This Row],[Longueur du texte]]))+1)/2</f>
        <v>73</v>
      </c>
      <c r="AJ85" s="43" t="str">
        <f>IF(Donnees[[#This Row],[Abonnés]]="","",SUMPRODUCT((Donnees[Échantillon]=Donnees[[#This Row],[Échantillon]])*(Donnees[Abonnés]&lt;Donnees[[#This Row],[Abonnés]]))+(SUMPRODUCT((Donnees[Échantillon]=Donnees[[#This Row],[Échantillon]])*(Donnees[Abonnés]=Donnees[[#This Row],[Abonnés]]))+1)/2)</f>
        <v/>
      </c>
      <c r="AK8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86" spans="1:37" x14ac:dyDescent="0.2">
      <c r="A86" s="40" t="s">
        <v>37</v>
      </c>
      <c r="B86" s="40" t="s">
        <v>134</v>
      </c>
      <c r="C86" s="40" t="s">
        <v>50</v>
      </c>
      <c r="D86" s="40">
        <v>60</v>
      </c>
      <c r="E86" s="40" t="s">
        <v>68</v>
      </c>
      <c r="F86" s="40" t="str">
        <f>IF(OR(Donnees[[#This Row],[Jour]]="samedi",Donnees[[#This Row],[Jour]]="dimanche"),"Oui","Non")</f>
        <v>Non</v>
      </c>
      <c r="G86" s="40">
        <v>3</v>
      </c>
      <c r="H86" s="40" t="str">
        <f>IF(Donnees[[#This Row],[Heure UTC]]&lt;6,"0-5 h",IF(Donnees[[#This Row],[Heure UTC]]&lt;12,"6-11 h",IF(Donnees[[#This Row],[Heure UTC]]&lt;18,"12-17 h","18-23 h")))</f>
        <v>0-5 h</v>
      </c>
      <c r="I86" s="40">
        <v>11</v>
      </c>
      <c r="J86" s="40" t="str">
        <f>IF(Donnees[[#This Row],[Durée (s)]]&lt;=10,"1. ≤ 10 s",IF(Donnees[[#This Row],[Durée (s)]]&lt;=15,"2. 11-15 s",IF(Donnees[[#This Row],[Durée (s)]]&lt;=30,"3. 16-30 s",IF(Donnees[[#This Row],[Durée (s)]]&lt;=60,"4. 31-60 s","5. &gt; 60 s"))))</f>
        <v>2. 11-15 s</v>
      </c>
      <c r="K86" s="40" t="str">
        <f>IF(Donnees[[#This Row],[Durée (s)]]&gt;15,"Oui","Non")</f>
        <v>Non</v>
      </c>
      <c r="L86" s="40">
        <v>0</v>
      </c>
      <c r="M86" s="40" t="s">
        <v>41</v>
      </c>
      <c r="N86" s="40">
        <v>4</v>
      </c>
      <c r="O86" s="40" t="s">
        <v>41</v>
      </c>
      <c r="P86" s="40" t="s">
        <v>41</v>
      </c>
      <c r="Q86" s="40" t="s">
        <v>41</v>
      </c>
      <c r="R86" s="40"/>
      <c r="S86" s="40"/>
      <c r="T86" s="41"/>
      <c r="U86" s="40" t="str">
        <f>IF(Donnees[[#This Row],[Abonnés]]="","",IF(Donnees[[#This Row],[Abonnés]]&lt;1000000,"1. &lt; 1 M",IF(Donnees[[#This Row],[Abonnés]]&lt;3000000,"2. 1-3 M",IF(Donnees[[#This Row],[Abonnés]]&lt;8000000,"3. 3-8 M","4. ≥ 8 M"))))</f>
        <v/>
      </c>
      <c r="V86" s="41"/>
      <c r="W86" s="41">
        <v>2400000</v>
      </c>
      <c r="X86" s="41">
        <v>475300</v>
      </c>
      <c r="Y86" s="41">
        <v>4790</v>
      </c>
      <c r="Z86" s="41">
        <v>34500</v>
      </c>
      <c r="AA86" s="42">
        <f>(Donnees[[#This Row],[Likes]]+Donnees[[#This Row],[Commentaires]]+Donnees[[#This Row],[Partages]])/Donnees[[#This Row],[Vues]]</f>
        <v>0.21441250000000001</v>
      </c>
      <c r="AB86" s="40">
        <f>IF(Donnees[[#This Row],[Engagement]]&gt;=VLOOKUP(Donnees[[#This Row],[Échantillon]],'Méthode &amp; limites'!$B$9:$D$11,2,FALSE),1,0)</f>
        <v>1</v>
      </c>
      <c r="AC86" s="43" t="str">
        <f>IF(Donnees[[#This Row],[Abonnés]]="","",Donnees[[#This Row],[Vues]]/Donnees[[#This Row],[Abonnés]])</f>
        <v/>
      </c>
      <c r="AD86" s="40" t="s">
        <v>44</v>
      </c>
      <c r="AE86" s="43">
        <f>SUMPRODUCT((Donnees[Échantillon]=Donnees[[#This Row],[Échantillon]])*(Donnees[Engagement]&lt;Donnees[[#This Row],[Engagement]]))+(SUMPRODUCT((Donnees[Échantillon]=Donnees[[#This Row],[Échantillon]])*(Donnees[Engagement]=Donnees[[#This Row],[Engagement]]))+1)/2</f>
        <v>94</v>
      </c>
      <c r="AF86" s="43">
        <f>SUMPRODUCT((Donnees[Échantillon]=Donnees[[#This Row],[Échantillon]])*(Donnees[Vues]&lt;Donnees[[#This Row],[Vues]]))+(SUMPRODUCT((Donnees[Échantillon]=Donnees[[#This Row],[Échantillon]])*(Donnees[Vues]=Donnees[[#This Row],[Vues]]))+1)/2</f>
        <v>16.5</v>
      </c>
      <c r="AG86" s="43">
        <f>SUMPRODUCT((Donnees[Échantillon]=Donnees[[#This Row],[Échantillon]])*(Donnees[Durée (s)]&lt;Donnees[[#This Row],[Durée (s)]]))+(SUMPRODUCT((Donnees[Échantillon]=Donnees[[#This Row],[Échantillon]])*(Donnees[Durée (s)]=Donnees[[#This Row],[Durée (s)]]))+1)/2</f>
        <v>47</v>
      </c>
      <c r="AH86" s="43">
        <f>SUMPRODUCT((Donnees[Échantillon]=Donnees[[#This Row],[Échantillon]])*(Donnees[Nb hashtags]&lt;Donnees[[#This Row],[Nb hashtags]]))+(SUMPRODUCT((Donnees[Échantillon]=Donnees[[#This Row],[Échantillon]])*(Donnees[Nb hashtags]=Donnees[[#This Row],[Nb hashtags]]))+1)/2</f>
        <v>19</v>
      </c>
      <c r="AI86" s="43">
        <f>SUMPRODUCT((Donnees[Échantillon]=Donnees[[#This Row],[Échantillon]])*(Donnees[Longueur du texte]&lt;Donnees[[#This Row],[Longueur du texte]]))+(SUMPRODUCT((Donnees[Échantillon]=Donnees[[#This Row],[Échantillon]])*(Donnees[Longueur du texte]=Donnees[[#This Row],[Longueur du texte]]))+1)/2</f>
        <v>39</v>
      </c>
      <c r="AJ86" s="43" t="str">
        <f>IF(Donnees[[#This Row],[Abonnés]]="","",SUMPRODUCT((Donnees[Échantillon]=Donnees[[#This Row],[Échantillon]])*(Donnees[Abonnés]&lt;Donnees[[#This Row],[Abonnés]]))+(SUMPRODUCT((Donnees[Échantillon]=Donnees[[#This Row],[Échantillon]])*(Donnees[Abonnés]=Donnees[[#This Row],[Abonnés]]))+1)/2)</f>
        <v/>
      </c>
      <c r="AK8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87" spans="1:37" x14ac:dyDescent="0.2">
      <c r="A87" s="40" t="s">
        <v>37</v>
      </c>
      <c r="B87" s="40" t="s">
        <v>135</v>
      </c>
      <c r="C87" s="40" t="s">
        <v>46</v>
      </c>
      <c r="D87" s="40">
        <v>15</v>
      </c>
      <c r="E87" s="40" t="s">
        <v>71</v>
      </c>
      <c r="F87" s="40" t="str">
        <f>IF(OR(Donnees[[#This Row],[Jour]]="samedi",Donnees[[#This Row],[Jour]]="dimanche"),"Oui","Non")</f>
        <v>Non</v>
      </c>
      <c r="G87" s="40">
        <v>0</v>
      </c>
      <c r="H87" s="40" t="str">
        <f>IF(Donnees[[#This Row],[Heure UTC]]&lt;6,"0-5 h",IF(Donnees[[#This Row],[Heure UTC]]&lt;12,"6-11 h",IF(Donnees[[#This Row],[Heure UTC]]&lt;18,"12-17 h","18-23 h")))</f>
        <v>0-5 h</v>
      </c>
      <c r="I87" s="40">
        <v>15</v>
      </c>
      <c r="J87" s="40" t="str">
        <f>IF(Donnees[[#This Row],[Durée (s)]]&lt;=10,"1. ≤ 10 s",IF(Donnees[[#This Row],[Durée (s)]]&lt;=15,"2. 11-15 s",IF(Donnees[[#This Row],[Durée (s)]]&lt;=30,"3. 16-30 s",IF(Donnees[[#This Row],[Durée (s)]]&lt;=60,"4. 31-60 s","5. &gt; 60 s"))))</f>
        <v>2. 11-15 s</v>
      </c>
      <c r="K87" s="40" t="str">
        <f>IF(Donnees[[#This Row],[Durée (s)]]&gt;15,"Oui","Non")</f>
        <v>Non</v>
      </c>
      <c r="L87" s="40">
        <v>7</v>
      </c>
      <c r="M87" s="40" t="s">
        <v>44</v>
      </c>
      <c r="N87" s="40">
        <v>59</v>
      </c>
      <c r="O87" s="40" t="s">
        <v>41</v>
      </c>
      <c r="P87" s="40" t="s">
        <v>41</v>
      </c>
      <c r="Q87" s="40" t="s">
        <v>44</v>
      </c>
      <c r="R87" s="40"/>
      <c r="S87" s="40"/>
      <c r="T87" s="41"/>
      <c r="U87" s="40" t="str">
        <f>IF(Donnees[[#This Row],[Abonnés]]="","",IF(Donnees[[#This Row],[Abonnés]]&lt;1000000,"1. &lt; 1 M",IF(Donnees[[#This Row],[Abonnés]]&lt;3000000,"2. 1-3 M",IF(Donnees[[#This Row],[Abonnés]]&lt;8000000,"3. 3-8 M","4. ≥ 8 M"))))</f>
        <v/>
      </c>
      <c r="V87" s="41"/>
      <c r="W87" s="41">
        <v>2300000</v>
      </c>
      <c r="X87" s="41">
        <v>227100</v>
      </c>
      <c r="Y87" s="41">
        <v>9704</v>
      </c>
      <c r="Z87" s="41">
        <v>23200</v>
      </c>
      <c r="AA87" s="42">
        <f>(Donnees[[#This Row],[Likes]]+Donnees[[#This Row],[Commentaires]]+Donnees[[#This Row],[Partages]])/Donnees[[#This Row],[Vues]]</f>
        <v>0.11304521739130435</v>
      </c>
      <c r="AB87" s="40">
        <f>IF(Donnees[[#This Row],[Engagement]]&gt;=VLOOKUP(Donnees[[#This Row],[Échantillon]],'Méthode &amp; limites'!$B$9:$D$11,2,FALSE),1,0)</f>
        <v>0</v>
      </c>
      <c r="AC87" s="43" t="str">
        <f>IF(Donnees[[#This Row],[Abonnés]]="","",Donnees[[#This Row],[Vues]]/Donnees[[#This Row],[Abonnés]])</f>
        <v/>
      </c>
      <c r="AD87" s="40" t="s">
        <v>44</v>
      </c>
      <c r="AE87" s="43">
        <f>SUMPRODUCT((Donnees[Échantillon]=Donnees[[#This Row],[Échantillon]])*(Donnees[Engagement]&lt;Donnees[[#This Row],[Engagement]]))+(SUMPRODUCT((Donnees[Échantillon]=Donnees[[#This Row],[Échantillon]])*(Donnees[Engagement]=Donnees[[#This Row],[Engagement]]))+1)/2</f>
        <v>56</v>
      </c>
      <c r="AF87" s="43">
        <f>SUMPRODUCT((Donnees[Échantillon]=Donnees[[#This Row],[Échantillon]])*(Donnees[Vues]&lt;Donnees[[#This Row],[Vues]]))+(SUMPRODUCT((Donnees[Échantillon]=Donnees[[#This Row],[Échantillon]])*(Donnees[Vues]=Donnees[[#This Row],[Vues]]))+1)/2</f>
        <v>15</v>
      </c>
      <c r="AG87" s="43">
        <f>SUMPRODUCT((Donnees[Échantillon]=Donnees[[#This Row],[Échantillon]])*(Donnees[Durée (s)]&lt;Donnees[[#This Row],[Durée (s)]]))+(SUMPRODUCT((Donnees[Échantillon]=Donnees[[#This Row],[Échantillon]])*(Donnees[Durée (s)]=Donnees[[#This Row],[Durée (s)]]))+1)/2</f>
        <v>78</v>
      </c>
      <c r="AH87" s="43">
        <f>SUMPRODUCT((Donnees[Échantillon]=Donnees[[#This Row],[Échantillon]])*(Donnees[Nb hashtags]&lt;Donnees[[#This Row],[Nb hashtags]]))+(SUMPRODUCT((Donnees[Échantillon]=Donnees[[#This Row],[Échantillon]])*(Donnees[Nb hashtags]=Donnees[[#This Row],[Nb hashtags]]))+1)/2</f>
        <v>80</v>
      </c>
      <c r="AI87" s="43">
        <f>SUMPRODUCT((Donnees[Échantillon]=Donnees[[#This Row],[Échantillon]])*(Donnees[Longueur du texte]&lt;Donnees[[#This Row],[Longueur du texte]]))+(SUMPRODUCT((Donnees[Échantillon]=Donnees[[#This Row],[Échantillon]])*(Donnees[Longueur du texte]=Donnees[[#This Row],[Longueur du texte]]))+1)/2</f>
        <v>94.5</v>
      </c>
      <c r="AJ87" s="43" t="str">
        <f>IF(Donnees[[#This Row],[Abonnés]]="","",SUMPRODUCT((Donnees[Échantillon]=Donnees[[#This Row],[Échantillon]])*(Donnees[Abonnés]&lt;Donnees[[#This Row],[Abonnés]]))+(SUMPRODUCT((Donnees[Échantillon]=Donnees[[#This Row],[Échantillon]])*(Donnees[Abonnés]=Donnees[[#This Row],[Abonnés]]))+1)/2)</f>
        <v/>
      </c>
      <c r="AK8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88" spans="1:37" x14ac:dyDescent="0.2">
      <c r="A88" s="40" t="s">
        <v>37</v>
      </c>
      <c r="B88" s="40" t="s">
        <v>136</v>
      </c>
      <c r="C88" s="40" t="s">
        <v>39</v>
      </c>
      <c r="D88" s="40">
        <v>50</v>
      </c>
      <c r="E88" s="40" t="s">
        <v>71</v>
      </c>
      <c r="F88" s="40" t="str">
        <f>IF(OR(Donnees[[#This Row],[Jour]]="samedi",Donnees[[#This Row],[Jour]]="dimanche"),"Oui","Non")</f>
        <v>Non</v>
      </c>
      <c r="G88" s="40">
        <v>20</v>
      </c>
      <c r="H88" s="40" t="str">
        <f>IF(Donnees[[#This Row],[Heure UTC]]&lt;6,"0-5 h",IF(Donnees[[#This Row],[Heure UTC]]&lt;12,"6-11 h",IF(Donnees[[#This Row],[Heure UTC]]&lt;18,"12-17 h","18-23 h")))</f>
        <v>18-23 h</v>
      </c>
      <c r="I88" s="40">
        <v>15</v>
      </c>
      <c r="J88" s="40" t="str">
        <f>IF(Donnees[[#This Row],[Durée (s)]]&lt;=10,"1. ≤ 10 s",IF(Donnees[[#This Row],[Durée (s)]]&lt;=15,"2. 11-15 s",IF(Donnees[[#This Row],[Durée (s)]]&lt;=30,"3. 16-30 s",IF(Donnees[[#This Row],[Durée (s)]]&lt;=60,"4. 31-60 s","5. &gt; 60 s"))))</f>
        <v>2. 11-15 s</v>
      </c>
      <c r="K88" s="40" t="str">
        <f>IF(Donnees[[#This Row],[Durée (s)]]&gt;15,"Oui","Non")</f>
        <v>Non</v>
      </c>
      <c r="L88" s="40">
        <v>0</v>
      </c>
      <c r="M88" s="40" t="s">
        <v>41</v>
      </c>
      <c r="N88" s="40">
        <v>0</v>
      </c>
      <c r="O88" s="40" t="s">
        <v>44</v>
      </c>
      <c r="P88" s="40" t="s">
        <v>41</v>
      </c>
      <c r="Q88" s="40" t="s">
        <v>41</v>
      </c>
      <c r="R88" s="40"/>
      <c r="S88" s="40"/>
      <c r="T88" s="41"/>
      <c r="U88" s="40" t="str">
        <f>IF(Donnees[[#This Row],[Abonnés]]="","",IF(Donnees[[#This Row],[Abonnés]]&lt;1000000,"1. &lt; 1 M",IF(Donnees[[#This Row],[Abonnés]]&lt;3000000,"2. 1-3 M",IF(Donnees[[#This Row],[Abonnés]]&lt;8000000,"3. 3-8 M","4. ≥ 8 M"))))</f>
        <v/>
      </c>
      <c r="V88" s="41"/>
      <c r="W88" s="41">
        <v>2200000</v>
      </c>
      <c r="X88" s="41">
        <v>140700</v>
      </c>
      <c r="Y88" s="41">
        <v>3056</v>
      </c>
      <c r="Z88" s="41">
        <v>27600</v>
      </c>
      <c r="AA88" s="42">
        <f>(Donnees[[#This Row],[Likes]]+Donnees[[#This Row],[Commentaires]]+Donnees[[#This Row],[Partages]])/Donnees[[#This Row],[Vues]]</f>
        <v>7.7889090909090908E-2</v>
      </c>
      <c r="AB88" s="40">
        <f>IF(Donnees[[#This Row],[Engagement]]&gt;=VLOOKUP(Donnees[[#This Row],[Échantillon]],'Méthode &amp; limites'!$B$9:$D$11,2,FALSE),1,0)</f>
        <v>0</v>
      </c>
      <c r="AC88" s="43" t="str">
        <f>IF(Donnees[[#This Row],[Abonnés]]="","",Donnees[[#This Row],[Vues]]/Donnees[[#This Row],[Abonnés]])</f>
        <v/>
      </c>
      <c r="AD88" s="40" t="s">
        <v>44</v>
      </c>
      <c r="AE88" s="43">
        <f>SUMPRODUCT((Donnees[Échantillon]=Donnees[[#This Row],[Échantillon]])*(Donnees[Engagement]&lt;Donnees[[#This Row],[Engagement]]))+(SUMPRODUCT((Donnees[Échantillon]=Donnees[[#This Row],[Échantillon]])*(Donnees[Engagement]=Donnees[[#This Row],[Engagement]]))+1)/2</f>
        <v>32</v>
      </c>
      <c r="AF88" s="43">
        <f>SUMPRODUCT((Donnees[Échantillon]=Donnees[[#This Row],[Échantillon]])*(Donnees[Vues]&lt;Donnees[[#This Row],[Vues]]))+(SUMPRODUCT((Donnees[Échantillon]=Donnees[[#This Row],[Échantillon]])*(Donnees[Vues]=Donnees[[#This Row],[Vues]]))+1)/2</f>
        <v>14</v>
      </c>
      <c r="AG88" s="43">
        <f>SUMPRODUCT((Donnees[Échantillon]=Donnees[[#This Row],[Échantillon]])*(Donnees[Durée (s)]&lt;Donnees[[#This Row],[Durée (s)]]))+(SUMPRODUCT((Donnees[Échantillon]=Donnees[[#This Row],[Échantillon]])*(Donnees[Durée (s)]=Donnees[[#This Row],[Durée (s)]]))+1)/2</f>
        <v>78</v>
      </c>
      <c r="AH88" s="43">
        <f>SUMPRODUCT((Donnees[Échantillon]=Donnees[[#This Row],[Échantillon]])*(Donnees[Nb hashtags]&lt;Donnees[[#This Row],[Nb hashtags]]))+(SUMPRODUCT((Donnees[Échantillon]=Donnees[[#This Row],[Échantillon]])*(Donnees[Nb hashtags]=Donnees[[#This Row],[Nb hashtags]]))+1)/2</f>
        <v>19</v>
      </c>
      <c r="AI88" s="43">
        <f>SUMPRODUCT((Donnees[Échantillon]=Donnees[[#This Row],[Échantillon]])*(Donnees[Longueur du texte]&lt;Donnees[[#This Row],[Longueur du texte]]))+(SUMPRODUCT((Donnees[Échantillon]=Donnees[[#This Row],[Échantillon]])*(Donnees[Longueur du texte]=Donnees[[#This Row],[Longueur du texte]]))+1)/2</f>
        <v>16</v>
      </c>
      <c r="AJ88" s="43" t="str">
        <f>IF(Donnees[[#This Row],[Abonnés]]="","",SUMPRODUCT((Donnees[Échantillon]=Donnees[[#This Row],[Échantillon]])*(Donnees[Abonnés]&lt;Donnees[[#This Row],[Abonnés]]))+(SUMPRODUCT((Donnees[Échantillon]=Donnees[[#This Row],[Échantillon]])*(Donnees[Abonnés]=Donnees[[#This Row],[Abonnés]]))+1)/2)</f>
        <v/>
      </c>
      <c r="AK8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89" spans="1:37" x14ac:dyDescent="0.2">
      <c r="A89" s="40" t="s">
        <v>37</v>
      </c>
      <c r="B89" s="40" t="s">
        <v>137</v>
      </c>
      <c r="C89" s="40" t="s">
        <v>39</v>
      </c>
      <c r="D89" s="40">
        <v>2</v>
      </c>
      <c r="E89" s="40" t="s">
        <v>56</v>
      </c>
      <c r="F89" s="40" t="str">
        <f>IF(OR(Donnees[[#This Row],[Jour]]="samedi",Donnees[[#This Row],[Jour]]="dimanche"),"Oui","Non")</f>
        <v>Oui</v>
      </c>
      <c r="G89" s="40">
        <v>22</v>
      </c>
      <c r="H89" s="40" t="str">
        <f>IF(Donnees[[#This Row],[Heure UTC]]&lt;6,"0-5 h",IF(Donnees[[#This Row],[Heure UTC]]&lt;12,"6-11 h",IF(Donnees[[#This Row],[Heure UTC]]&lt;18,"12-17 h","18-23 h")))</f>
        <v>18-23 h</v>
      </c>
      <c r="I89" s="40">
        <v>11</v>
      </c>
      <c r="J89" s="40" t="str">
        <f>IF(Donnees[[#This Row],[Durée (s)]]&lt;=10,"1. ≤ 10 s",IF(Donnees[[#This Row],[Durée (s)]]&lt;=15,"2. 11-15 s",IF(Donnees[[#This Row],[Durée (s)]]&lt;=30,"3. 16-30 s",IF(Donnees[[#This Row],[Durée (s)]]&lt;=60,"4. 31-60 s","5. &gt; 60 s"))))</f>
        <v>2. 11-15 s</v>
      </c>
      <c r="K89" s="40" t="str">
        <f>IF(Donnees[[#This Row],[Durée (s)]]&gt;15,"Oui","Non")</f>
        <v>Non</v>
      </c>
      <c r="L89" s="40">
        <v>0</v>
      </c>
      <c r="M89" s="40" t="s">
        <v>41</v>
      </c>
      <c r="N89" s="40">
        <v>0</v>
      </c>
      <c r="O89" s="40" t="s">
        <v>44</v>
      </c>
      <c r="P89" s="40" t="s">
        <v>41</v>
      </c>
      <c r="Q89" s="40" t="s">
        <v>41</v>
      </c>
      <c r="R89" s="40"/>
      <c r="S89" s="40"/>
      <c r="T89" s="41"/>
      <c r="U89" s="40" t="str">
        <f>IF(Donnees[[#This Row],[Abonnés]]="","",IF(Donnees[[#This Row],[Abonnés]]&lt;1000000,"1. &lt; 1 M",IF(Donnees[[#This Row],[Abonnés]]&lt;3000000,"2. 1-3 M",IF(Donnees[[#This Row],[Abonnés]]&lt;8000000,"3. 3-8 M","4. ≥ 8 M"))))</f>
        <v/>
      </c>
      <c r="V89" s="41"/>
      <c r="W89" s="41">
        <v>2100000</v>
      </c>
      <c r="X89" s="41">
        <v>147300</v>
      </c>
      <c r="Y89" s="41">
        <v>1335</v>
      </c>
      <c r="Z89" s="41">
        <v>13000</v>
      </c>
      <c r="AA89" s="42">
        <f>(Donnees[[#This Row],[Likes]]+Donnees[[#This Row],[Commentaires]]+Donnees[[#This Row],[Partages]])/Donnees[[#This Row],[Vues]]</f>
        <v>7.6969047619047617E-2</v>
      </c>
      <c r="AB89" s="40">
        <f>IF(Donnees[[#This Row],[Engagement]]&gt;=VLOOKUP(Donnees[[#This Row],[Échantillon]],'Méthode &amp; limites'!$B$9:$D$11,2,FALSE),1,0)</f>
        <v>0</v>
      </c>
      <c r="AC89" s="43" t="str">
        <f>IF(Donnees[[#This Row],[Abonnés]]="","",Donnees[[#This Row],[Vues]]/Donnees[[#This Row],[Abonnés]])</f>
        <v/>
      </c>
      <c r="AD89" s="40" t="s">
        <v>44</v>
      </c>
      <c r="AE89" s="43">
        <f>SUMPRODUCT((Donnees[Échantillon]=Donnees[[#This Row],[Échantillon]])*(Donnees[Engagement]&lt;Donnees[[#This Row],[Engagement]]))+(SUMPRODUCT((Donnees[Échantillon]=Donnees[[#This Row],[Échantillon]])*(Donnees[Engagement]=Donnees[[#This Row],[Engagement]]))+1)/2</f>
        <v>29</v>
      </c>
      <c r="AF89" s="43">
        <f>SUMPRODUCT((Donnees[Échantillon]=Donnees[[#This Row],[Échantillon]])*(Donnees[Vues]&lt;Donnees[[#This Row],[Vues]]))+(SUMPRODUCT((Donnees[Échantillon]=Donnees[[#This Row],[Échantillon]])*(Donnees[Vues]=Donnees[[#This Row],[Vues]]))+1)/2</f>
        <v>13</v>
      </c>
      <c r="AG89" s="43">
        <f>SUMPRODUCT((Donnees[Échantillon]=Donnees[[#This Row],[Échantillon]])*(Donnees[Durée (s)]&lt;Donnees[[#This Row],[Durée (s)]]))+(SUMPRODUCT((Donnees[Échantillon]=Donnees[[#This Row],[Échantillon]])*(Donnees[Durée (s)]=Donnees[[#This Row],[Durée (s)]]))+1)/2</f>
        <v>47</v>
      </c>
      <c r="AH89" s="43">
        <f>SUMPRODUCT((Donnees[Échantillon]=Donnees[[#This Row],[Échantillon]])*(Donnees[Nb hashtags]&lt;Donnees[[#This Row],[Nb hashtags]]))+(SUMPRODUCT((Donnees[Échantillon]=Donnees[[#This Row],[Échantillon]])*(Donnees[Nb hashtags]=Donnees[[#This Row],[Nb hashtags]]))+1)/2</f>
        <v>19</v>
      </c>
      <c r="AI89" s="43">
        <f>SUMPRODUCT((Donnees[Échantillon]=Donnees[[#This Row],[Échantillon]])*(Donnees[Longueur du texte]&lt;Donnees[[#This Row],[Longueur du texte]]))+(SUMPRODUCT((Donnees[Échantillon]=Donnees[[#This Row],[Échantillon]])*(Donnees[Longueur du texte]=Donnees[[#This Row],[Longueur du texte]]))+1)/2</f>
        <v>16</v>
      </c>
      <c r="AJ89" s="43" t="str">
        <f>IF(Donnees[[#This Row],[Abonnés]]="","",SUMPRODUCT((Donnees[Échantillon]=Donnees[[#This Row],[Échantillon]])*(Donnees[Abonnés]&lt;Donnees[[#This Row],[Abonnés]]))+(SUMPRODUCT((Donnees[Échantillon]=Donnees[[#This Row],[Échantillon]])*(Donnees[Abonnés]=Donnees[[#This Row],[Abonnés]]))+1)/2)</f>
        <v/>
      </c>
      <c r="AK8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90" spans="1:37" x14ac:dyDescent="0.2">
      <c r="A90" s="40" t="s">
        <v>37</v>
      </c>
      <c r="B90" s="40" t="s">
        <v>138</v>
      </c>
      <c r="C90" s="40" t="s">
        <v>67</v>
      </c>
      <c r="D90" s="40">
        <v>21</v>
      </c>
      <c r="E90" s="40" t="s">
        <v>40</v>
      </c>
      <c r="F90" s="40" t="str">
        <f>IF(OR(Donnees[[#This Row],[Jour]]="samedi",Donnees[[#This Row],[Jour]]="dimanche"),"Oui","Non")</f>
        <v>Non</v>
      </c>
      <c r="G90" s="40">
        <v>14</v>
      </c>
      <c r="H90" s="40" t="str">
        <f>IF(Donnees[[#This Row],[Heure UTC]]&lt;6,"0-5 h",IF(Donnees[[#This Row],[Heure UTC]]&lt;12,"6-11 h",IF(Donnees[[#This Row],[Heure UTC]]&lt;18,"12-17 h","18-23 h")))</f>
        <v>12-17 h</v>
      </c>
      <c r="I90" s="40">
        <v>8</v>
      </c>
      <c r="J90" s="40" t="str">
        <f>IF(Donnees[[#This Row],[Durée (s)]]&lt;=10,"1. ≤ 10 s",IF(Donnees[[#This Row],[Durée (s)]]&lt;=15,"2. 11-15 s",IF(Donnees[[#This Row],[Durée (s)]]&lt;=30,"3. 16-30 s",IF(Donnees[[#This Row],[Durée (s)]]&lt;=60,"4. 31-60 s","5. &gt; 60 s"))))</f>
        <v>1. ≤ 10 s</v>
      </c>
      <c r="K90" s="40" t="str">
        <f>IF(Donnees[[#This Row],[Durée (s)]]&gt;15,"Oui","Non")</f>
        <v>Non</v>
      </c>
      <c r="L90" s="40">
        <v>7</v>
      </c>
      <c r="M90" s="40" t="s">
        <v>44</v>
      </c>
      <c r="N90" s="40">
        <v>0</v>
      </c>
      <c r="O90" s="40" t="s">
        <v>41</v>
      </c>
      <c r="P90" s="40" t="s">
        <v>41</v>
      </c>
      <c r="Q90" s="40" t="s">
        <v>41</v>
      </c>
      <c r="R90" s="40"/>
      <c r="S90" s="40"/>
      <c r="T90" s="41"/>
      <c r="U90" s="40" t="str">
        <f>IF(Donnees[[#This Row],[Abonnés]]="","",IF(Donnees[[#This Row],[Abonnés]]&lt;1000000,"1. &lt; 1 M",IF(Donnees[[#This Row],[Abonnés]]&lt;3000000,"2. 1-3 M",IF(Donnees[[#This Row],[Abonnés]]&lt;8000000,"3. 3-8 M","4. ≥ 8 M"))))</f>
        <v/>
      </c>
      <c r="V90" s="41"/>
      <c r="W90" s="41">
        <v>2000000</v>
      </c>
      <c r="X90" s="41">
        <v>70700</v>
      </c>
      <c r="Y90" s="41">
        <v>1474</v>
      </c>
      <c r="Z90" s="41">
        <v>31300</v>
      </c>
      <c r="AA90" s="42">
        <f>(Donnees[[#This Row],[Likes]]+Donnees[[#This Row],[Commentaires]]+Donnees[[#This Row],[Partages]])/Donnees[[#This Row],[Vues]]</f>
        <v>5.1736999999999998E-2</v>
      </c>
      <c r="AB90" s="40">
        <f>IF(Donnees[[#This Row],[Engagement]]&gt;=VLOOKUP(Donnees[[#This Row],[Échantillon]],'Méthode &amp; limites'!$B$9:$D$11,2,FALSE),1,0)</f>
        <v>0</v>
      </c>
      <c r="AC90" s="43" t="str">
        <f>IF(Donnees[[#This Row],[Abonnés]]="","",Donnees[[#This Row],[Vues]]/Donnees[[#This Row],[Abonnés]])</f>
        <v/>
      </c>
      <c r="AD90" s="40" t="s">
        <v>44</v>
      </c>
      <c r="AE90" s="43">
        <f>SUMPRODUCT((Donnees[Échantillon]=Donnees[[#This Row],[Échantillon]])*(Donnees[Engagement]&lt;Donnees[[#This Row],[Engagement]]))+(SUMPRODUCT((Donnees[Échantillon]=Donnees[[#This Row],[Échantillon]])*(Donnees[Engagement]=Donnees[[#This Row],[Engagement]]))+1)/2</f>
        <v>12</v>
      </c>
      <c r="AF90" s="43">
        <f>SUMPRODUCT((Donnees[Échantillon]=Donnees[[#This Row],[Échantillon]])*(Donnees[Vues]&lt;Donnees[[#This Row],[Vues]]))+(SUMPRODUCT((Donnees[Échantillon]=Donnees[[#This Row],[Échantillon]])*(Donnees[Vues]=Donnees[[#This Row],[Vues]]))+1)/2</f>
        <v>12</v>
      </c>
      <c r="AG90" s="43">
        <f>SUMPRODUCT((Donnees[Échantillon]=Donnees[[#This Row],[Échantillon]])*(Donnees[Durée (s)]&lt;Donnees[[#This Row],[Durée (s)]]))+(SUMPRODUCT((Donnees[Échantillon]=Donnees[[#This Row],[Échantillon]])*(Donnees[Durée (s)]=Donnees[[#This Row],[Durée (s)]]))+1)/2</f>
        <v>14</v>
      </c>
      <c r="AH90" s="43">
        <f>SUMPRODUCT((Donnees[Échantillon]=Donnees[[#This Row],[Échantillon]])*(Donnees[Nb hashtags]&lt;Donnees[[#This Row],[Nb hashtags]]))+(SUMPRODUCT((Donnees[Échantillon]=Donnees[[#This Row],[Échantillon]])*(Donnees[Nb hashtags]=Donnees[[#This Row],[Nb hashtags]]))+1)/2</f>
        <v>80</v>
      </c>
      <c r="AI90" s="43">
        <f>SUMPRODUCT((Donnees[Échantillon]=Donnees[[#This Row],[Échantillon]])*(Donnees[Longueur du texte]&lt;Donnees[[#This Row],[Longueur du texte]]))+(SUMPRODUCT((Donnees[Échantillon]=Donnees[[#This Row],[Échantillon]])*(Donnees[Longueur du texte]=Donnees[[#This Row],[Longueur du texte]]))+1)/2</f>
        <v>16</v>
      </c>
      <c r="AJ90" s="43" t="str">
        <f>IF(Donnees[[#This Row],[Abonnés]]="","",SUMPRODUCT((Donnees[Échantillon]=Donnees[[#This Row],[Échantillon]])*(Donnees[Abonnés]&lt;Donnees[[#This Row],[Abonnés]]))+(SUMPRODUCT((Donnees[Échantillon]=Donnees[[#This Row],[Échantillon]])*(Donnees[Abonnés]=Donnees[[#This Row],[Abonnés]]))+1)/2)</f>
        <v/>
      </c>
      <c r="AK9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91" spans="1:37" x14ac:dyDescent="0.2">
      <c r="A91" s="40" t="s">
        <v>37</v>
      </c>
      <c r="B91" s="40" t="s">
        <v>119</v>
      </c>
      <c r="C91" s="40" t="s">
        <v>39</v>
      </c>
      <c r="D91" s="40">
        <v>30</v>
      </c>
      <c r="E91" s="40" t="s">
        <v>56</v>
      </c>
      <c r="F91" s="40" t="str">
        <f>IF(OR(Donnees[[#This Row],[Jour]]="samedi",Donnees[[#This Row],[Jour]]="dimanche"),"Oui","Non")</f>
        <v>Oui</v>
      </c>
      <c r="G91" s="40">
        <v>17</v>
      </c>
      <c r="H91" s="40" t="str">
        <f>IF(Donnees[[#This Row],[Heure UTC]]&lt;6,"0-5 h",IF(Donnees[[#This Row],[Heure UTC]]&lt;12,"6-11 h",IF(Donnees[[#This Row],[Heure UTC]]&lt;18,"12-17 h","18-23 h")))</f>
        <v>12-17 h</v>
      </c>
      <c r="I91" s="40">
        <v>12</v>
      </c>
      <c r="J91" s="40" t="str">
        <f>IF(Donnees[[#This Row],[Durée (s)]]&lt;=10,"1. ≤ 10 s",IF(Donnees[[#This Row],[Durée (s)]]&lt;=15,"2. 11-15 s",IF(Donnees[[#This Row],[Durée (s)]]&lt;=30,"3. 16-30 s",IF(Donnees[[#This Row],[Durée (s)]]&lt;=60,"4. 31-60 s","5. &gt; 60 s"))))</f>
        <v>2. 11-15 s</v>
      </c>
      <c r="K91" s="40" t="str">
        <f>IF(Donnees[[#This Row],[Durée (s)]]&gt;15,"Oui","Non")</f>
        <v>Non</v>
      </c>
      <c r="L91" s="40">
        <v>0</v>
      </c>
      <c r="M91" s="40" t="s">
        <v>41</v>
      </c>
      <c r="N91" s="40">
        <v>16</v>
      </c>
      <c r="O91" s="40" t="s">
        <v>41</v>
      </c>
      <c r="P91" s="40" t="s">
        <v>41</v>
      </c>
      <c r="Q91" s="40" t="s">
        <v>41</v>
      </c>
      <c r="R91" s="40"/>
      <c r="S91" s="40"/>
      <c r="T91" s="41"/>
      <c r="U91" s="40" t="str">
        <f>IF(Donnees[[#This Row],[Abonnés]]="","",IF(Donnees[[#This Row],[Abonnés]]&lt;1000000,"1. &lt; 1 M",IF(Donnees[[#This Row],[Abonnés]]&lt;3000000,"2. 1-3 M",IF(Donnees[[#This Row],[Abonnés]]&lt;8000000,"3. 3-8 M","4. ≥ 8 M"))))</f>
        <v/>
      </c>
      <c r="V91" s="41"/>
      <c r="W91" s="41">
        <v>1700000</v>
      </c>
      <c r="X91" s="41">
        <v>182500</v>
      </c>
      <c r="Y91" s="41">
        <v>1155</v>
      </c>
      <c r="Z91" s="41">
        <v>865</v>
      </c>
      <c r="AA91" s="42">
        <f>(Donnees[[#This Row],[Likes]]+Donnees[[#This Row],[Commentaires]]+Donnees[[#This Row],[Partages]])/Donnees[[#This Row],[Vues]]</f>
        <v>0.10854117647058824</v>
      </c>
      <c r="AB91" s="40">
        <f>IF(Donnees[[#This Row],[Engagement]]&gt;=VLOOKUP(Donnees[[#This Row],[Échantillon]],'Méthode &amp; limites'!$B$9:$D$11,2,FALSE),1,0)</f>
        <v>0</v>
      </c>
      <c r="AC91" s="43" t="str">
        <f>IF(Donnees[[#This Row],[Abonnés]]="","",Donnees[[#This Row],[Vues]]/Donnees[[#This Row],[Abonnés]])</f>
        <v/>
      </c>
      <c r="AD91" s="40" t="s">
        <v>44</v>
      </c>
      <c r="AE91" s="43">
        <f>SUMPRODUCT((Donnees[Échantillon]=Donnees[[#This Row],[Échantillon]])*(Donnees[Engagement]&lt;Donnees[[#This Row],[Engagement]]))+(SUMPRODUCT((Donnees[Échantillon]=Donnees[[#This Row],[Échantillon]])*(Donnees[Engagement]=Donnees[[#This Row],[Engagement]]))+1)/2</f>
        <v>52</v>
      </c>
      <c r="AF91" s="43">
        <f>SUMPRODUCT((Donnees[Échantillon]=Donnees[[#This Row],[Échantillon]])*(Donnees[Vues]&lt;Donnees[[#This Row],[Vues]]))+(SUMPRODUCT((Donnees[Échantillon]=Donnees[[#This Row],[Échantillon]])*(Donnees[Vues]=Donnees[[#This Row],[Vues]]))+1)/2</f>
        <v>11</v>
      </c>
      <c r="AG91" s="43">
        <f>SUMPRODUCT((Donnees[Échantillon]=Donnees[[#This Row],[Échantillon]])*(Donnees[Durée (s)]&lt;Donnees[[#This Row],[Durée (s)]]))+(SUMPRODUCT((Donnees[Échantillon]=Donnees[[#This Row],[Échantillon]])*(Donnees[Durée (s)]=Donnees[[#This Row],[Durée (s)]]))+1)/2</f>
        <v>56</v>
      </c>
      <c r="AH91" s="43">
        <f>SUMPRODUCT((Donnees[Échantillon]=Donnees[[#This Row],[Échantillon]])*(Donnees[Nb hashtags]&lt;Donnees[[#This Row],[Nb hashtags]]))+(SUMPRODUCT((Donnees[Échantillon]=Donnees[[#This Row],[Échantillon]])*(Donnees[Nb hashtags]=Donnees[[#This Row],[Nb hashtags]]))+1)/2</f>
        <v>19</v>
      </c>
      <c r="AI91" s="43">
        <f>SUMPRODUCT((Donnees[Échantillon]=Donnees[[#This Row],[Échantillon]])*(Donnees[Longueur du texte]&lt;Donnees[[#This Row],[Longueur du texte]]))+(SUMPRODUCT((Donnees[Échantillon]=Donnees[[#This Row],[Échantillon]])*(Donnees[Longueur du texte]=Donnees[[#This Row],[Longueur du texte]]))+1)/2</f>
        <v>52</v>
      </c>
      <c r="AJ91" s="43" t="str">
        <f>IF(Donnees[[#This Row],[Abonnés]]="","",SUMPRODUCT((Donnees[Échantillon]=Donnees[[#This Row],[Échantillon]])*(Donnees[Abonnés]&lt;Donnees[[#This Row],[Abonnés]]))+(SUMPRODUCT((Donnees[Échantillon]=Donnees[[#This Row],[Échantillon]])*(Donnees[Abonnés]=Donnees[[#This Row],[Abonnés]]))+1)/2)</f>
        <v/>
      </c>
      <c r="AK9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92" spans="1:37" x14ac:dyDescent="0.2">
      <c r="A92" s="40" t="s">
        <v>37</v>
      </c>
      <c r="B92" s="40" t="s">
        <v>119</v>
      </c>
      <c r="C92" s="40" t="s">
        <v>39</v>
      </c>
      <c r="D92" s="40">
        <v>31</v>
      </c>
      <c r="E92" s="40" t="s">
        <v>75</v>
      </c>
      <c r="F92" s="40" t="str">
        <f>IF(OR(Donnees[[#This Row],[Jour]]="samedi",Donnees[[#This Row],[Jour]]="dimanche"),"Oui","Non")</f>
        <v>Oui</v>
      </c>
      <c r="G92" s="40">
        <v>15</v>
      </c>
      <c r="H92" s="40" t="str">
        <f>IF(Donnees[[#This Row],[Heure UTC]]&lt;6,"0-5 h",IF(Donnees[[#This Row],[Heure UTC]]&lt;12,"6-11 h",IF(Donnees[[#This Row],[Heure UTC]]&lt;18,"12-17 h","18-23 h")))</f>
        <v>12-17 h</v>
      </c>
      <c r="I92" s="40">
        <v>10</v>
      </c>
      <c r="J92" s="40" t="str">
        <f>IF(Donnees[[#This Row],[Durée (s)]]&lt;=10,"1. ≤ 10 s",IF(Donnees[[#This Row],[Durée (s)]]&lt;=15,"2. 11-15 s",IF(Donnees[[#This Row],[Durée (s)]]&lt;=30,"3. 16-30 s",IF(Donnees[[#This Row],[Durée (s)]]&lt;=60,"4. 31-60 s","5. &gt; 60 s"))))</f>
        <v>1. ≤ 10 s</v>
      </c>
      <c r="K92" s="40" t="str">
        <f>IF(Donnees[[#This Row],[Durée (s)]]&gt;15,"Oui","Non")</f>
        <v>Non</v>
      </c>
      <c r="L92" s="40">
        <v>0</v>
      </c>
      <c r="M92" s="40" t="s">
        <v>41</v>
      </c>
      <c r="N92" s="40">
        <v>16</v>
      </c>
      <c r="O92" s="40" t="s">
        <v>41</v>
      </c>
      <c r="P92" s="40" t="s">
        <v>41</v>
      </c>
      <c r="Q92" s="40" t="s">
        <v>41</v>
      </c>
      <c r="R92" s="40"/>
      <c r="S92" s="40"/>
      <c r="T92" s="41"/>
      <c r="U92" s="40" t="str">
        <f>IF(Donnees[[#This Row],[Abonnés]]="","",IF(Donnees[[#This Row],[Abonnés]]&lt;1000000,"1. &lt; 1 M",IF(Donnees[[#This Row],[Abonnés]]&lt;3000000,"2. 1-3 M",IF(Donnees[[#This Row],[Abonnés]]&lt;8000000,"3. 3-8 M","4. ≥ 8 M"))))</f>
        <v/>
      </c>
      <c r="V92" s="41"/>
      <c r="W92" s="41">
        <v>1600000</v>
      </c>
      <c r="X92" s="41">
        <v>155400</v>
      </c>
      <c r="Y92" s="41">
        <v>933</v>
      </c>
      <c r="Z92" s="41">
        <v>472</v>
      </c>
      <c r="AA92" s="42">
        <f>(Donnees[[#This Row],[Likes]]+Donnees[[#This Row],[Commentaires]]+Donnees[[#This Row],[Partages]])/Donnees[[#This Row],[Vues]]</f>
        <v>9.8003124999999996E-2</v>
      </c>
      <c r="AB92" s="40">
        <f>IF(Donnees[[#This Row],[Engagement]]&gt;=VLOOKUP(Donnees[[#This Row],[Échantillon]],'Méthode &amp; limites'!$B$9:$D$11,2,FALSE),1,0)</f>
        <v>0</v>
      </c>
      <c r="AC92" s="43" t="str">
        <f>IF(Donnees[[#This Row],[Abonnés]]="","",Donnees[[#This Row],[Vues]]/Donnees[[#This Row],[Abonnés]])</f>
        <v/>
      </c>
      <c r="AD92" s="40" t="s">
        <v>44</v>
      </c>
      <c r="AE92" s="43">
        <f>SUMPRODUCT((Donnees[Échantillon]=Donnees[[#This Row],[Échantillon]])*(Donnees[Engagement]&lt;Donnees[[#This Row],[Engagement]]))+(SUMPRODUCT((Donnees[Échantillon]=Donnees[[#This Row],[Échantillon]])*(Donnees[Engagement]=Donnees[[#This Row],[Engagement]]))+1)/2</f>
        <v>42</v>
      </c>
      <c r="AF92" s="43">
        <f>SUMPRODUCT((Donnees[Échantillon]=Donnees[[#This Row],[Échantillon]])*(Donnees[Vues]&lt;Donnees[[#This Row],[Vues]]))+(SUMPRODUCT((Donnees[Échantillon]=Donnees[[#This Row],[Échantillon]])*(Donnees[Vues]=Donnees[[#This Row],[Vues]]))+1)/2</f>
        <v>10</v>
      </c>
      <c r="AG92" s="43">
        <f>SUMPRODUCT((Donnees[Échantillon]=Donnees[[#This Row],[Échantillon]])*(Donnees[Durée (s)]&lt;Donnees[[#This Row],[Durée (s)]]))+(SUMPRODUCT((Donnees[Échantillon]=Donnees[[#This Row],[Échantillon]])*(Donnees[Durée (s)]=Donnees[[#This Row],[Durée (s)]]))+1)/2</f>
        <v>38</v>
      </c>
      <c r="AH92" s="43">
        <f>SUMPRODUCT((Donnees[Échantillon]=Donnees[[#This Row],[Échantillon]])*(Donnees[Nb hashtags]&lt;Donnees[[#This Row],[Nb hashtags]]))+(SUMPRODUCT((Donnees[Échantillon]=Donnees[[#This Row],[Échantillon]])*(Donnees[Nb hashtags]=Donnees[[#This Row],[Nb hashtags]]))+1)/2</f>
        <v>19</v>
      </c>
      <c r="AI92" s="43">
        <f>SUMPRODUCT((Donnees[Échantillon]=Donnees[[#This Row],[Échantillon]])*(Donnees[Longueur du texte]&lt;Donnees[[#This Row],[Longueur du texte]]))+(SUMPRODUCT((Donnees[Échantillon]=Donnees[[#This Row],[Échantillon]])*(Donnees[Longueur du texte]=Donnees[[#This Row],[Longueur du texte]]))+1)/2</f>
        <v>52</v>
      </c>
      <c r="AJ92" s="43" t="str">
        <f>IF(Donnees[[#This Row],[Abonnés]]="","",SUMPRODUCT((Donnees[Échantillon]=Donnees[[#This Row],[Échantillon]])*(Donnees[Abonnés]&lt;Donnees[[#This Row],[Abonnés]]))+(SUMPRODUCT((Donnees[Échantillon]=Donnees[[#This Row],[Échantillon]])*(Donnees[Abonnés]=Donnees[[#This Row],[Abonnés]]))+1)/2)</f>
        <v/>
      </c>
      <c r="AK9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93" spans="1:37" x14ac:dyDescent="0.2">
      <c r="A93" s="40" t="s">
        <v>37</v>
      </c>
      <c r="B93" s="40" t="s">
        <v>139</v>
      </c>
      <c r="C93" s="40" t="s">
        <v>67</v>
      </c>
      <c r="D93" s="40">
        <v>20</v>
      </c>
      <c r="E93" s="40" t="s">
        <v>59</v>
      </c>
      <c r="F93" s="40" t="str">
        <f>IF(OR(Donnees[[#This Row],[Jour]]="samedi",Donnees[[#This Row],[Jour]]="dimanche"),"Oui","Non")</f>
        <v>Non</v>
      </c>
      <c r="G93" s="40">
        <v>9</v>
      </c>
      <c r="H93" s="40" t="str">
        <f>IF(Donnees[[#This Row],[Heure UTC]]&lt;6,"0-5 h",IF(Donnees[[#This Row],[Heure UTC]]&lt;12,"6-11 h",IF(Donnees[[#This Row],[Heure UTC]]&lt;18,"12-17 h","18-23 h")))</f>
        <v>6-11 h</v>
      </c>
      <c r="I93" s="40">
        <v>11</v>
      </c>
      <c r="J93" s="40" t="str">
        <f>IF(Donnees[[#This Row],[Durée (s)]]&lt;=10,"1. ≤ 10 s",IF(Donnees[[#This Row],[Durée (s)]]&lt;=15,"2. 11-15 s",IF(Donnees[[#This Row],[Durée (s)]]&lt;=30,"3. 16-30 s",IF(Donnees[[#This Row],[Durée (s)]]&lt;=60,"4. 31-60 s","5. &gt; 60 s"))))</f>
        <v>2. 11-15 s</v>
      </c>
      <c r="K93" s="40" t="str">
        <f>IF(Donnees[[#This Row],[Durée (s)]]&gt;15,"Oui","Non")</f>
        <v>Non</v>
      </c>
      <c r="L93" s="40">
        <v>3</v>
      </c>
      <c r="M93" s="40" t="s">
        <v>44</v>
      </c>
      <c r="N93" s="40">
        <v>0</v>
      </c>
      <c r="O93" s="40" t="s">
        <v>41</v>
      </c>
      <c r="P93" s="40" t="s">
        <v>41</v>
      </c>
      <c r="Q93" s="40" t="s">
        <v>41</v>
      </c>
      <c r="R93" s="40"/>
      <c r="S93" s="40"/>
      <c r="T93" s="41"/>
      <c r="U93" s="40" t="str">
        <f>IF(Donnees[[#This Row],[Abonnés]]="","",IF(Donnees[[#This Row],[Abonnés]]&lt;1000000,"1. &lt; 1 M",IF(Donnees[[#This Row],[Abonnés]]&lt;3000000,"2. 1-3 M",IF(Donnees[[#This Row],[Abonnés]]&lt;8000000,"3. 3-8 M","4. ≥ 8 M"))))</f>
        <v/>
      </c>
      <c r="V93" s="41"/>
      <c r="W93" s="41">
        <v>1300000</v>
      </c>
      <c r="X93" s="41">
        <v>95000</v>
      </c>
      <c r="Y93" s="41">
        <v>1134</v>
      </c>
      <c r="Z93" s="41">
        <v>3150</v>
      </c>
      <c r="AA93" s="42">
        <f>(Donnees[[#This Row],[Likes]]+Donnees[[#This Row],[Commentaires]]+Donnees[[#This Row],[Partages]])/Donnees[[#This Row],[Vues]]</f>
        <v>7.6372307692307698E-2</v>
      </c>
      <c r="AB93" s="40">
        <f>IF(Donnees[[#This Row],[Engagement]]&gt;=VLOOKUP(Donnees[[#This Row],[Échantillon]],'Méthode &amp; limites'!$B$9:$D$11,2,FALSE),1,0)</f>
        <v>0</v>
      </c>
      <c r="AC93" s="43" t="str">
        <f>IF(Donnees[[#This Row],[Abonnés]]="","",Donnees[[#This Row],[Vues]]/Donnees[[#This Row],[Abonnés]])</f>
        <v/>
      </c>
      <c r="AD93" s="40" t="s">
        <v>44</v>
      </c>
      <c r="AE93" s="43">
        <f>SUMPRODUCT((Donnees[Échantillon]=Donnees[[#This Row],[Échantillon]])*(Donnees[Engagement]&lt;Donnees[[#This Row],[Engagement]]))+(SUMPRODUCT((Donnees[Échantillon]=Donnees[[#This Row],[Échantillon]])*(Donnees[Engagement]=Donnees[[#This Row],[Engagement]]))+1)/2</f>
        <v>26</v>
      </c>
      <c r="AF93" s="43">
        <f>SUMPRODUCT((Donnees[Échantillon]=Donnees[[#This Row],[Échantillon]])*(Donnees[Vues]&lt;Donnees[[#This Row],[Vues]]))+(SUMPRODUCT((Donnees[Échantillon]=Donnees[[#This Row],[Échantillon]])*(Donnees[Vues]=Donnees[[#This Row],[Vues]]))+1)/2</f>
        <v>9</v>
      </c>
      <c r="AG93" s="43">
        <f>SUMPRODUCT((Donnees[Échantillon]=Donnees[[#This Row],[Échantillon]])*(Donnees[Durée (s)]&lt;Donnees[[#This Row],[Durée (s)]]))+(SUMPRODUCT((Donnees[Échantillon]=Donnees[[#This Row],[Échantillon]])*(Donnees[Durée (s)]=Donnees[[#This Row],[Durée (s)]]))+1)/2</f>
        <v>47</v>
      </c>
      <c r="AH93" s="43">
        <f>SUMPRODUCT((Donnees[Échantillon]=Donnees[[#This Row],[Échantillon]])*(Donnees[Nb hashtags]&lt;Donnees[[#This Row],[Nb hashtags]]))+(SUMPRODUCT((Donnees[Échantillon]=Donnees[[#This Row],[Échantillon]])*(Donnees[Nb hashtags]=Donnees[[#This Row],[Nb hashtags]]))+1)/2</f>
        <v>52</v>
      </c>
      <c r="AI93" s="43">
        <f>SUMPRODUCT((Donnees[Échantillon]=Donnees[[#This Row],[Échantillon]])*(Donnees[Longueur du texte]&lt;Donnees[[#This Row],[Longueur du texte]]))+(SUMPRODUCT((Donnees[Échantillon]=Donnees[[#This Row],[Échantillon]])*(Donnees[Longueur du texte]=Donnees[[#This Row],[Longueur du texte]]))+1)/2</f>
        <v>16</v>
      </c>
      <c r="AJ93" s="43" t="str">
        <f>IF(Donnees[[#This Row],[Abonnés]]="","",SUMPRODUCT((Donnees[Échantillon]=Donnees[[#This Row],[Échantillon]])*(Donnees[Abonnés]&lt;Donnees[[#This Row],[Abonnés]]))+(SUMPRODUCT((Donnees[Échantillon]=Donnees[[#This Row],[Échantillon]])*(Donnees[Abonnés]=Donnees[[#This Row],[Abonnés]]))+1)/2)</f>
        <v/>
      </c>
      <c r="AK9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94" spans="1:37" x14ac:dyDescent="0.2">
      <c r="A94" s="40" t="s">
        <v>37</v>
      </c>
      <c r="B94" s="40" t="s">
        <v>140</v>
      </c>
      <c r="C94" s="40" t="s">
        <v>67</v>
      </c>
      <c r="D94" s="40">
        <v>5</v>
      </c>
      <c r="E94" s="40" t="s">
        <v>47</v>
      </c>
      <c r="F94" s="40" t="str">
        <f>IF(OR(Donnees[[#This Row],[Jour]]="samedi",Donnees[[#This Row],[Jour]]="dimanche"),"Oui","Non")</f>
        <v>Non</v>
      </c>
      <c r="G94" s="40">
        <v>20</v>
      </c>
      <c r="H94" s="40" t="str">
        <f>IF(Donnees[[#This Row],[Heure UTC]]&lt;6,"0-5 h",IF(Donnees[[#This Row],[Heure UTC]]&lt;12,"6-11 h",IF(Donnees[[#This Row],[Heure UTC]]&lt;18,"12-17 h","18-23 h")))</f>
        <v>18-23 h</v>
      </c>
      <c r="I94" s="40">
        <v>10</v>
      </c>
      <c r="J94" s="40" t="str">
        <f>IF(Donnees[[#This Row],[Durée (s)]]&lt;=10,"1. ≤ 10 s",IF(Donnees[[#This Row],[Durée (s)]]&lt;=15,"2. 11-15 s",IF(Donnees[[#This Row],[Durée (s)]]&lt;=30,"3. 16-30 s",IF(Donnees[[#This Row],[Durée (s)]]&lt;=60,"4. 31-60 s","5. &gt; 60 s"))))</f>
        <v>1. ≤ 10 s</v>
      </c>
      <c r="K94" s="40" t="str">
        <f>IF(Donnees[[#This Row],[Durée (s)]]&gt;15,"Oui","Non")</f>
        <v>Non</v>
      </c>
      <c r="L94" s="40">
        <v>5</v>
      </c>
      <c r="M94" s="40" t="s">
        <v>44</v>
      </c>
      <c r="N94" s="40">
        <v>21</v>
      </c>
      <c r="O94" s="40" t="s">
        <v>41</v>
      </c>
      <c r="P94" s="40" t="s">
        <v>41</v>
      </c>
      <c r="Q94" s="40" t="s">
        <v>44</v>
      </c>
      <c r="R94" s="40"/>
      <c r="S94" s="40"/>
      <c r="T94" s="41"/>
      <c r="U94" s="40" t="str">
        <f>IF(Donnees[[#This Row],[Abonnés]]="","",IF(Donnees[[#This Row],[Abonnés]]&lt;1000000,"1. &lt; 1 M",IF(Donnees[[#This Row],[Abonnés]]&lt;3000000,"2. 1-3 M",IF(Donnees[[#This Row],[Abonnés]]&lt;8000000,"3. 3-8 M","4. ≥ 8 M"))))</f>
        <v/>
      </c>
      <c r="V94" s="41"/>
      <c r="W94" s="41">
        <v>1200000</v>
      </c>
      <c r="X94" s="41">
        <v>186200</v>
      </c>
      <c r="Y94" s="41">
        <v>2161</v>
      </c>
      <c r="Z94" s="41">
        <v>17200</v>
      </c>
      <c r="AA94" s="42">
        <f>(Donnees[[#This Row],[Likes]]+Donnees[[#This Row],[Commentaires]]+Donnees[[#This Row],[Partages]])/Donnees[[#This Row],[Vues]]</f>
        <v>0.17130083333333335</v>
      </c>
      <c r="AB94" s="40">
        <f>IF(Donnees[[#This Row],[Engagement]]&gt;=VLOOKUP(Donnees[[#This Row],[Échantillon]],'Méthode &amp; limites'!$B$9:$D$11,2,FALSE),1,0)</f>
        <v>1</v>
      </c>
      <c r="AC94" s="43" t="str">
        <f>IF(Donnees[[#This Row],[Abonnés]]="","",Donnees[[#This Row],[Vues]]/Donnees[[#This Row],[Abonnés]])</f>
        <v/>
      </c>
      <c r="AD94" s="40" t="s">
        <v>44</v>
      </c>
      <c r="AE94" s="43">
        <f>SUMPRODUCT((Donnees[Échantillon]=Donnees[[#This Row],[Échantillon]])*(Donnees[Engagement]&lt;Donnees[[#This Row],[Engagement]]))+(SUMPRODUCT((Donnees[Échantillon]=Donnees[[#This Row],[Échantillon]])*(Donnees[Engagement]=Donnees[[#This Row],[Engagement]]))+1)/2</f>
        <v>84</v>
      </c>
      <c r="AF94" s="43">
        <f>SUMPRODUCT((Donnees[Échantillon]=Donnees[[#This Row],[Échantillon]])*(Donnees[Vues]&lt;Donnees[[#This Row],[Vues]]))+(SUMPRODUCT((Donnees[Échantillon]=Donnees[[#This Row],[Échantillon]])*(Donnees[Vues]=Donnees[[#This Row],[Vues]]))+1)/2</f>
        <v>7.5</v>
      </c>
      <c r="AG94" s="43">
        <f>SUMPRODUCT((Donnees[Échantillon]=Donnees[[#This Row],[Échantillon]])*(Donnees[Durée (s)]&lt;Donnees[[#This Row],[Durée (s)]]))+(SUMPRODUCT((Donnees[Échantillon]=Donnees[[#This Row],[Échantillon]])*(Donnees[Durée (s)]=Donnees[[#This Row],[Durée (s)]]))+1)/2</f>
        <v>38</v>
      </c>
      <c r="AH94" s="43">
        <f>SUMPRODUCT((Donnees[Échantillon]=Donnees[[#This Row],[Échantillon]])*(Donnees[Nb hashtags]&lt;Donnees[[#This Row],[Nb hashtags]]))+(SUMPRODUCT((Donnees[Échantillon]=Donnees[[#This Row],[Échantillon]])*(Donnees[Nb hashtags]=Donnees[[#This Row],[Nb hashtags]]))+1)/2</f>
        <v>70</v>
      </c>
      <c r="AI94" s="43">
        <f>SUMPRODUCT((Donnees[Échantillon]=Donnees[[#This Row],[Échantillon]])*(Donnees[Longueur du texte]&lt;Donnees[[#This Row],[Longueur du texte]]))+(SUMPRODUCT((Donnees[Échantillon]=Donnees[[#This Row],[Échantillon]])*(Donnees[Longueur du texte]=Donnees[[#This Row],[Longueur du texte]]))+1)/2</f>
        <v>61.5</v>
      </c>
      <c r="AJ94" s="43" t="str">
        <f>IF(Donnees[[#This Row],[Abonnés]]="","",SUMPRODUCT((Donnees[Échantillon]=Donnees[[#This Row],[Échantillon]])*(Donnees[Abonnés]&lt;Donnees[[#This Row],[Abonnés]]))+(SUMPRODUCT((Donnees[Échantillon]=Donnees[[#This Row],[Échantillon]])*(Donnees[Abonnés]=Donnees[[#This Row],[Abonnés]]))+1)/2)</f>
        <v/>
      </c>
      <c r="AK9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95" spans="1:37" x14ac:dyDescent="0.2">
      <c r="A95" s="40" t="s">
        <v>37</v>
      </c>
      <c r="B95" s="40" t="s">
        <v>141</v>
      </c>
      <c r="C95" s="40" t="s">
        <v>50</v>
      </c>
      <c r="D95" s="40">
        <v>16</v>
      </c>
      <c r="E95" s="40" t="s">
        <v>56</v>
      </c>
      <c r="F95" s="40" t="str">
        <f>IF(OR(Donnees[[#This Row],[Jour]]="samedi",Donnees[[#This Row],[Jour]]="dimanche"),"Oui","Non")</f>
        <v>Oui</v>
      </c>
      <c r="G95" s="40">
        <v>6</v>
      </c>
      <c r="H95" s="40" t="str">
        <f>IF(Donnees[[#This Row],[Heure UTC]]&lt;6,"0-5 h",IF(Donnees[[#This Row],[Heure UTC]]&lt;12,"6-11 h",IF(Donnees[[#This Row],[Heure UTC]]&lt;18,"12-17 h","18-23 h")))</f>
        <v>6-11 h</v>
      </c>
      <c r="I95" s="40">
        <v>8</v>
      </c>
      <c r="J95" s="40" t="str">
        <f>IF(Donnees[[#This Row],[Durée (s)]]&lt;=10,"1. ≤ 10 s",IF(Donnees[[#This Row],[Durée (s)]]&lt;=15,"2. 11-15 s",IF(Donnees[[#This Row],[Durée (s)]]&lt;=30,"3. 16-30 s",IF(Donnees[[#This Row],[Durée (s)]]&lt;=60,"4. 31-60 s","5. &gt; 60 s"))))</f>
        <v>1. ≤ 10 s</v>
      </c>
      <c r="K95" s="40" t="str">
        <f>IF(Donnees[[#This Row],[Durée (s)]]&gt;15,"Oui","Non")</f>
        <v>Non</v>
      </c>
      <c r="L95" s="40">
        <v>0</v>
      </c>
      <c r="M95" s="40" t="s">
        <v>41</v>
      </c>
      <c r="N95" s="40">
        <v>4</v>
      </c>
      <c r="O95" s="40" t="s">
        <v>41</v>
      </c>
      <c r="P95" s="40" t="s">
        <v>41</v>
      </c>
      <c r="Q95" s="40" t="s">
        <v>41</v>
      </c>
      <c r="R95" s="40"/>
      <c r="S95" s="40"/>
      <c r="T95" s="41"/>
      <c r="U95" s="40" t="str">
        <f>IF(Donnees[[#This Row],[Abonnés]]="","",IF(Donnees[[#This Row],[Abonnés]]&lt;1000000,"1. &lt; 1 M",IF(Donnees[[#This Row],[Abonnés]]&lt;3000000,"2. 1-3 M",IF(Donnees[[#This Row],[Abonnés]]&lt;8000000,"3. 3-8 M","4. ≥ 8 M"))))</f>
        <v/>
      </c>
      <c r="V95" s="41"/>
      <c r="W95" s="41">
        <v>1200000</v>
      </c>
      <c r="X95" s="41">
        <v>60900</v>
      </c>
      <c r="Y95" s="41">
        <v>1205</v>
      </c>
      <c r="Z95" s="41">
        <v>11900</v>
      </c>
      <c r="AA95" s="42">
        <f>(Donnees[[#This Row],[Likes]]+Donnees[[#This Row],[Commentaires]]+Donnees[[#This Row],[Partages]])/Donnees[[#This Row],[Vues]]</f>
        <v>6.1670833333333334E-2</v>
      </c>
      <c r="AB95" s="40">
        <f>IF(Donnees[[#This Row],[Engagement]]&gt;=VLOOKUP(Donnees[[#This Row],[Échantillon]],'Méthode &amp; limites'!$B$9:$D$11,2,FALSE),1,0)</f>
        <v>0</v>
      </c>
      <c r="AC95" s="43" t="str">
        <f>IF(Donnees[[#This Row],[Abonnés]]="","",Donnees[[#This Row],[Vues]]/Donnees[[#This Row],[Abonnés]])</f>
        <v/>
      </c>
      <c r="AD95" s="40" t="s">
        <v>44</v>
      </c>
      <c r="AE95" s="43">
        <f>SUMPRODUCT((Donnees[Échantillon]=Donnees[[#This Row],[Échantillon]])*(Donnees[Engagement]&lt;Donnees[[#This Row],[Engagement]]))+(SUMPRODUCT((Donnees[Échantillon]=Donnees[[#This Row],[Échantillon]])*(Donnees[Engagement]=Donnees[[#This Row],[Engagement]]))+1)/2</f>
        <v>17</v>
      </c>
      <c r="AF95" s="43">
        <f>SUMPRODUCT((Donnees[Échantillon]=Donnees[[#This Row],[Échantillon]])*(Donnees[Vues]&lt;Donnees[[#This Row],[Vues]]))+(SUMPRODUCT((Donnees[Échantillon]=Donnees[[#This Row],[Échantillon]])*(Donnees[Vues]=Donnees[[#This Row],[Vues]]))+1)/2</f>
        <v>7.5</v>
      </c>
      <c r="AG95" s="43">
        <f>SUMPRODUCT((Donnees[Échantillon]=Donnees[[#This Row],[Échantillon]])*(Donnees[Durée (s)]&lt;Donnees[[#This Row],[Durée (s)]]))+(SUMPRODUCT((Donnees[Échantillon]=Donnees[[#This Row],[Échantillon]])*(Donnees[Durée (s)]=Donnees[[#This Row],[Durée (s)]]))+1)/2</f>
        <v>14</v>
      </c>
      <c r="AH95" s="43">
        <f>SUMPRODUCT((Donnees[Échantillon]=Donnees[[#This Row],[Échantillon]])*(Donnees[Nb hashtags]&lt;Donnees[[#This Row],[Nb hashtags]]))+(SUMPRODUCT((Donnees[Échantillon]=Donnees[[#This Row],[Échantillon]])*(Donnees[Nb hashtags]=Donnees[[#This Row],[Nb hashtags]]))+1)/2</f>
        <v>19</v>
      </c>
      <c r="AI95" s="43">
        <f>SUMPRODUCT((Donnees[Échantillon]=Donnees[[#This Row],[Échantillon]])*(Donnees[Longueur du texte]&lt;Donnees[[#This Row],[Longueur du texte]]))+(SUMPRODUCT((Donnees[Échantillon]=Donnees[[#This Row],[Échantillon]])*(Donnees[Longueur du texte]=Donnees[[#This Row],[Longueur du texte]]))+1)/2</f>
        <v>39</v>
      </c>
      <c r="AJ95" s="43" t="str">
        <f>IF(Donnees[[#This Row],[Abonnés]]="","",SUMPRODUCT((Donnees[Échantillon]=Donnees[[#This Row],[Échantillon]])*(Donnees[Abonnés]&lt;Donnees[[#This Row],[Abonnés]]))+(SUMPRODUCT((Donnees[Échantillon]=Donnees[[#This Row],[Échantillon]])*(Donnees[Abonnés]=Donnees[[#This Row],[Abonnés]]))+1)/2)</f>
        <v/>
      </c>
      <c r="AK9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96" spans="1:37" x14ac:dyDescent="0.2">
      <c r="A96" s="40" t="s">
        <v>37</v>
      </c>
      <c r="B96" s="40" t="s">
        <v>70</v>
      </c>
      <c r="C96" s="40" t="s">
        <v>39</v>
      </c>
      <c r="D96" s="40">
        <v>84</v>
      </c>
      <c r="E96" s="40" t="s">
        <v>40</v>
      </c>
      <c r="F96" s="40" t="str">
        <f>IF(OR(Donnees[[#This Row],[Jour]]="samedi",Donnees[[#This Row],[Jour]]="dimanche"),"Oui","Non")</f>
        <v>Non</v>
      </c>
      <c r="G96" s="40">
        <v>14</v>
      </c>
      <c r="H96" s="40" t="str">
        <f>IF(Donnees[[#This Row],[Heure UTC]]&lt;6,"0-5 h",IF(Donnees[[#This Row],[Heure UTC]]&lt;12,"6-11 h",IF(Donnees[[#This Row],[Heure UTC]]&lt;18,"12-17 h","18-23 h")))</f>
        <v>12-17 h</v>
      </c>
      <c r="I96" s="40">
        <v>13</v>
      </c>
      <c r="J96" s="40" t="str">
        <f>IF(Donnees[[#This Row],[Durée (s)]]&lt;=10,"1. ≤ 10 s",IF(Donnees[[#This Row],[Durée (s)]]&lt;=15,"2. 11-15 s",IF(Donnees[[#This Row],[Durée (s)]]&lt;=30,"3. 16-30 s",IF(Donnees[[#This Row],[Durée (s)]]&lt;=60,"4. 31-60 s","5. &gt; 60 s"))))</f>
        <v>2. 11-15 s</v>
      </c>
      <c r="K96" s="40" t="str">
        <f>IF(Donnees[[#This Row],[Durée (s)]]&gt;15,"Oui","Non")</f>
        <v>Non</v>
      </c>
      <c r="L96" s="40">
        <v>0</v>
      </c>
      <c r="M96" s="40" t="s">
        <v>41</v>
      </c>
      <c r="N96" s="40">
        <v>0</v>
      </c>
      <c r="O96" s="40" t="s">
        <v>44</v>
      </c>
      <c r="P96" s="40" t="s">
        <v>41</v>
      </c>
      <c r="Q96" s="40" t="s">
        <v>41</v>
      </c>
      <c r="R96" s="40"/>
      <c r="S96" s="40"/>
      <c r="T96" s="41"/>
      <c r="U96" s="40" t="str">
        <f>IF(Donnees[[#This Row],[Abonnés]]="","",IF(Donnees[[#This Row],[Abonnés]]&lt;1000000,"1. &lt; 1 M",IF(Donnees[[#This Row],[Abonnés]]&lt;3000000,"2. 1-3 M",IF(Donnees[[#This Row],[Abonnés]]&lt;8000000,"3. 3-8 M","4. ≥ 8 M"))))</f>
        <v/>
      </c>
      <c r="V96" s="41"/>
      <c r="W96" s="41">
        <v>1000000</v>
      </c>
      <c r="X96" s="41">
        <v>40000</v>
      </c>
      <c r="Y96" s="41">
        <v>341</v>
      </c>
      <c r="Z96" s="41">
        <v>323</v>
      </c>
      <c r="AA96" s="42">
        <f>(Donnees[[#This Row],[Likes]]+Donnees[[#This Row],[Commentaires]]+Donnees[[#This Row],[Partages]])/Donnees[[#This Row],[Vues]]</f>
        <v>4.0663999999999999E-2</v>
      </c>
      <c r="AB96" s="40">
        <f>IF(Donnees[[#This Row],[Engagement]]&gt;=VLOOKUP(Donnees[[#This Row],[Échantillon]],'Méthode &amp; limites'!$B$9:$D$11,2,FALSE),1,0)</f>
        <v>0</v>
      </c>
      <c r="AC96" s="43" t="str">
        <f>IF(Donnees[[#This Row],[Abonnés]]="","",Donnees[[#This Row],[Vues]]/Donnees[[#This Row],[Abonnés]])</f>
        <v/>
      </c>
      <c r="AD96" s="40" t="s">
        <v>44</v>
      </c>
      <c r="AE96" s="43">
        <f>SUMPRODUCT((Donnees[Échantillon]=Donnees[[#This Row],[Échantillon]])*(Donnees[Engagement]&lt;Donnees[[#This Row],[Engagement]]))+(SUMPRODUCT((Donnees[Échantillon]=Donnees[[#This Row],[Échantillon]])*(Donnees[Engagement]=Donnees[[#This Row],[Engagement]]))+1)/2</f>
        <v>7</v>
      </c>
      <c r="AF96" s="43">
        <f>SUMPRODUCT((Donnees[Échantillon]=Donnees[[#This Row],[Échantillon]])*(Donnees[Vues]&lt;Donnees[[#This Row],[Vues]]))+(SUMPRODUCT((Donnees[Échantillon]=Donnees[[#This Row],[Échantillon]])*(Donnees[Vues]=Donnees[[#This Row],[Vues]]))+1)/2</f>
        <v>6</v>
      </c>
      <c r="AG96" s="43">
        <f>SUMPRODUCT((Donnees[Échantillon]=Donnees[[#This Row],[Échantillon]])*(Donnees[Durée (s)]&lt;Donnees[[#This Row],[Durée (s)]]))+(SUMPRODUCT((Donnees[Échantillon]=Donnees[[#This Row],[Échantillon]])*(Donnees[Durée (s)]=Donnees[[#This Row],[Durée (s)]]))+1)/2</f>
        <v>64.5</v>
      </c>
      <c r="AH96" s="43">
        <f>SUMPRODUCT((Donnees[Échantillon]=Donnees[[#This Row],[Échantillon]])*(Donnees[Nb hashtags]&lt;Donnees[[#This Row],[Nb hashtags]]))+(SUMPRODUCT((Donnees[Échantillon]=Donnees[[#This Row],[Échantillon]])*(Donnees[Nb hashtags]=Donnees[[#This Row],[Nb hashtags]]))+1)/2</f>
        <v>19</v>
      </c>
      <c r="AI96" s="43">
        <f>SUMPRODUCT((Donnees[Échantillon]=Donnees[[#This Row],[Échantillon]])*(Donnees[Longueur du texte]&lt;Donnees[[#This Row],[Longueur du texte]]))+(SUMPRODUCT((Donnees[Échantillon]=Donnees[[#This Row],[Échantillon]])*(Donnees[Longueur du texte]=Donnees[[#This Row],[Longueur du texte]]))+1)/2</f>
        <v>16</v>
      </c>
      <c r="AJ96" s="43" t="str">
        <f>IF(Donnees[[#This Row],[Abonnés]]="","",SUMPRODUCT((Donnees[Échantillon]=Donnees[[#This Row],[Échantillon]])*(Donnees[Abonnés]&lt;Donnees[[#This Row],[Abonnés]]))+(SUMPRODUCT((Donnees[Échantillon]=Donnees[[#This Row],[Échantillon]])*(Donnees[Abonnés]=Donnees[[#This Row],[Abonnés]]))+1)/2)</f>
        <v/>
      </c>
      <c r="AK9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97" spans="1:37" x14ac:dyDescent="0.2">
      <c r="A97" s="40" t="s">
        <v>37</v>
      </c>
      <c r="B97" s="40" t="s">
        <v>142</v>
      </c>
      <c r="C97" s="40" t="s">
        <v>50</v>
      </c>
      <c r="D97" s="40">
        <v>2</v>
      </c>
      <c r="E97" s="40" t="s">
        <v>56</v>
      </c>
      <c r="F97" s="40" t="str">
        <f>IF(OR(Donnees[[#This Row],[Jour]]="samedi",Donnees[[#This Row],[Jour]]="dimanche"),"Oui","Non")</f>
        <v>Oui</v>
      </c>
      <c r="G97" s="40">
        <v>17</v>
      </c>
      <c r="H97" s="40" t="str">
        <f>IF(Donnees[[#This Row],[Heure UTC]]&lt;6,"0-5 h",IF(Donnees[[#This Row],[Heure UTC]]&lt;12,"6-11 h",IF(Donnees[[#This Row],[Heure UTC]]&lt;18,"12-17 h","18-23 h")))</f>
        <v>12-17 h</v>
      </c>
      <c r="I97" s="40">
        <v>7</v>
      </c>
      <c r="J97" s="40" t="str">
        <f>IF(Donnees[[#This Row],[Durée (s)]]&lt;=10,"1. ≤ 10 s",IF(Donnees[[#This Row],[Durée (s)]]&lt;=15,"2. 11-15 s",IF(Donnees[[#This Row],[Durée (s)]]&lt;=30,"3. 16-30 s",IF(Donnees[[#This Row],[Durée (s)]]&lt;=60,"4. 31-60 s","5. &gt; 60 s"))))</f>
        <v>1. ≤ 10 s</v>
      </c>
      <c r="K97" s="40" t="str">
        <f>IF(Donnees[[#This Row],[Durée (s)]]&gt;15,"Oui","Non")</f>
        <v>Non</v>
      </c>
      <c r="L97" s="40">
        <v>11</v>
      </c>
      <c r="M97" s="40" t="s">
        <v>44</v>
      </c>
      <c r="N97" s="40">
        <v>0</v>
      </c>
      <c r="O97" s="40" t="s">
        <v>41</v>
      </c>
      <c r="P97" s="40" t="s">
        <v>41</v>
      </c>
      <c r="Q97" s="40" t="s">
        <v>41</v>
      </c>
      <c r="R97" s="40"/>
      <c r="S97" s="40"/>
      <c r="T97" s="41"/>
      <c r="U97" s="40" t="str">
        <f>IF(Donnees[[#This Row],[Abonnés]]="","",IF(Donnees[[#This Row],[Abonnés]]&lt;1000000,"1. &lt; 1 M",IF(Donnees[[#This Row],[Abonnés]]&lt;3000000,"2. 1-3 M",IF(Donnees[[#This Row],[Abonnés]]&lt;8000000,"3. 3-8 M","4. ≥ 8 M"))))</f>
        <v/>
      </c>
      <c r="V97" s="41"/>
      <c r="W97" s="41">
        <v>954700</v>
      </c>
      <c r="X97" s="41">
        <v>42700</v>
      </c>
      <c r="Y97" s="41">
        <v>738</v>
      </c>
      <c r="Z97" s="41">
        <v>5468</v>
      </c>
      <c r="AA97" s="42">
        <f>(Donnees[[#This Row],[Likes]]+Donnees[[#This Row],[Commentaires]]+Donnees[[#This Row],[Partages]])/Donnees[[#This Row],[Vues]]</f>
        <v>5.1226563318319894E-2</v>
      </c>
      <c r="AB97" s="40">
        <f>IF(Donnees[[#This Row],[Engagement]]&gt;=VLOOKUP(Donnees[[#This Row],[Échantillon]],'Méthode &amp; limites'!$B$9:$D$11,2,FALSE),1,0)</f>
        <v>0</v>
      </c>
      <c r="AC97" s="43" t="str">
        <f>IF(Donnees[[#This Row],[Abonnés]]="","",Donnees[[#This Row],[Vues]]/Donnees[[#This Row],[Abonnés]])</f>
        <v/>
      </c>
      <c r="AD97" s="40" t="s">
        <v>44</v>
      </c>
      <c r="AE97" s="43">
        <f>SUMPRODUCT((Donnees[Échantillon]=Donnees[[#This Row],[Échantillon]])*(Donnees[Engagement]&lt;Donnees[[#This Row],[Engagement]]))+(SUMPRODUCT((Donnees[Échantillon]=Donnees[[#This Row],[Échantillon]])*(Donnees[Engagement]=Donnees[[#This Row],[Engagement]]))+1)/2</f>
        <v>11</v>
      </c>
      <c r="AF97" s="43">
        <f>SUMPRODUCT((Donnees[Échantillon]=Donnees[[#This Row],[Échantillon]])*(Donnees[Vues]&lt;Donnees[[#This Row],[Vues]]))+(SUMPRODUCT((Donnees[Échantillon]=Donnees[[#This Row],[Échantillon]])*(Donnees[Vues]=Donnees[[#This Row],[Vues]]))+1)/2</f>
        <v>5</v>
      </c>
      <c r="AG97" s="43">
        <f>SUMPRODUCT((Donnees[Échantillon]=Donnees[[#This Row],[Échantillon]])*(Donnees[Durée (s)]&lt;Donnees[[#This Row],[Durée (s)]]))+(SUMPRODUCT((Donnees[Échantillon]=Donnees[[#This Row],[Échantillon]])*(Donnees[Durée (s)]=Donnees[[#This Row],[Durée (s)]]))+1)/2</f>
        <v>3</v>
      </c>
      <c r="AH97" s="43">
        <f>SUMPRODUCT((Donnees[Échantillon]=Donnees[[#This Row],[Échantillon]])*(Donnees[Nb hashtags]&lt;Donnees[[#This Row],[Nb hashtags]]))+(SUMPRODUCT((Donnees[Échantillon]=Donnees[[#This Row],[Échantillon]])*(Donnees[Nb hashtags]=Donnees[[#This Row],[Nb hashtags]]))+1)/2</f>
        <v>96</v>
      </c>
      <c r="AI97" s="43">
        <f>SUMPRODUCT((Donnees[Échantillon]=Donnees[[#This Row],[Échantillon]])*(Donnees[Longueur du texte]&lt;Donnees[[#This Row],[Longueur du texte]]))+(SUMPRODUCT((Donnees[Échantillon]=Donnees[[#This Row],[Échantillon]])*(Donnees[Longueur du texte]=Donnees[[#This Row],[Longueur du texte]]))+1)/2</f>
        <v>16</v>
      </c>
      <c r="AJ97" s="43" t="str">
        <f>IF(Donnees[[#This Row],[Abonnés]]="","",SUMPRODUCT((Donnees[Échantillon]=Donnees[[#This Row],[Échantillon]])*(Donnees[Abonnés]&lt;Donnees[[#This Row],[Abonnés]]))+(SUMPRODUCT((Donnees[Échantillon]=Donnees[[#This Row],[Échantillon]])*(Donnees[Abonnés]=Donnees[[#This Row],[Abonnés]]))+1)/2)</f>
        <v/>
      </c>
      <c r="AK9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98" spans="1:37" x14ac:dyDescent="0.2">
      <c r="A98" s="40" t="s">
        <v>37</v>
      </c>
      <c r="B98" s="40" t="s">
        <v>70</v>
      </c>
      <c r="C98" s="40" t="s">
        <v>39</v>
      </c>
      <c r="D98" s="40">
        <v>3</v>
      </c>
      <c r="E98" s="40" t="s">
        <v>75</v>
      </c>
      <c r="F98" s="40" t="str">
        <f>IF(OR(Donnees[[#This Row],[Jour]]="samedi",Donnees[[#This Row],[Jour]]="dimanche"),"Oui","Non")</f>
        <v>Oui</v>
      </c>
      <c r="G98" s="40">
        <v>19</v>
      </c>
      <c r="H98" s="40" t="str">
        <f>IF(Donnees[[#This Row],[Heure UTC]]&lt;6,"0-5 h",IF(Donnees[[#This Row],[Heure UTC]]&lt;12,"6-11 h",IF(Donnees[[#This Row],[Heure UTC]]&lt;18,"12-17 h","18-23 h")))</f>
        <v>18-23 h</v>
      </c>
      <c r="I98" s="40">
        <v>11</v>
      </c>
      <c r="J98" s="40" t="str">
        <f>IF(Donnees[[#This Row],[Durée (s)]]&lt;=10,"1. ≤ 10 s",IF(Donnees[[#This Row],[Durée (s)]]&lt;=15,"2. 11-15 s",IF(Donnees[[#This Row],[Durée (s)]]&lt;=30,"3. 16-30 s",IF(Donnees[[#This Row],[Durée (s)]]&lt;=60,"4. 31-60 s","5. &gt; 60 s"))))</f>
        <v>2. 11-15 s</v>
      </c>
      <c r="K98" s="40" t="str">
        <f>IF(Donnees[[#This Row],[Durée (s)]]&gt;15,"Oui","Non")</f>
        <v>Non</v>
      </c>
      <c r="L98" s="40">
        <v>0</v>
      </c>
      <c r="M98" s="40" t="s">
        <v>41</v>
      </c>
      <c r="N98" s="40">
        <v>1</v>
      </c>
      <c r="O98" s="40" t="s">
        <v>41</v>
      </c>
      <c r="P98" s="40" t="s">
        <v>41</v>
      </c>
      <c r="Q98" s="40" t="s">
        <v>41</v>
      </c>
      <c r="R98" s="40"/>
      <c r="S98" s="40"/>
      <c r="T98" s="41"/>
      <c r="U98" s="40" t="str">
        <f>IF(Donnees[[#This Row],[Abonnés]]="","",IF(Donnees[[#This Row],[Abonnés]]&lt;1000000,"1. &lt; 1 M",IF(Donnees[[#This Row],[Abonnés]]&lt;3000000,"2. 1-3 M",IF(Donnees[[#This Row],[Abonnés]]&lt;8000000,"3. 3-8 M","4. ≥ 8 M"))))</f>
        <v/>
      </c>
      <c r="V98" s="41"/>
      <c r="W98" s="41">
        <v>919800</v>
      </c>
      <c r="X98" s="41">
        <v>115500</v>
      </c>
      <c r="Y98" s="41">
        <v>1136</v>
      </c>
      <c r="Z98" s="41">
        <v>249</v>
      </c>
      <c r="AA98" s="42">
        <f>(Donnees[[#This Row],[Likes]]+Donnees[[#This Row],[Commentaires]]+Donnees[[#This Row],[Partages]])/Donnees[[#This Row],[Vues]]</f>
        <v>0.12707653837790825</v>
      </c>
      <c r="AB98" s="40">
        <f>IF(Donnees[[#This Row],[Engagement]]&gt;=VLOOKUP(Donnees[[#This Row],[Échantillon]],'Méthode &amp; limites'!$B$9:$D$11,2,FALSE),1,0)</f>
        <v>0</v>
      </c>
      <c r="AC98" s="43" t="str">
        <f>IF(Donnees[[#This Row],[Abonnés]]="","",Donnees[[#This Row],[Vues]]/Donnees[[#This Row],[Abonnés]])</f>
        <v/>
      </c>
      <c r="AD98" s="40" t="s">
        <v>44</v>
      </c>
      <c r="AE98" s="43">
        <f>SUMPRODUCT((Donnees[Échantillon]=Donnees[[#This Row],[Échantillon]])*(Donnees[Engagement]&lt;Donnees[[#This Row],[Engagement]]))+(SUMPRODUCT((Donnees[Échantillon]=Donnees[[#This Row],[Échantillon]])*(Donnees[Engagement]=Donnees[[#This Row],[Engagement]]))+1)/2</f>
        <v>64</v>
      </c>
      <c r="AF98" s="43">
        <f>SUMPRODUCT((Donnees[Échantillon]=Donnees[[#This Row],[Échantillon]])*(Donnees[Vues]&lt;Donnees[[#This Row],[Vues]]))+(SUMPRODUCT((Donnees[Échantillon]=Donnees[[#This Row],[Échantillon]])*(Donnees[Vues]=Donnees[[#This Row],[Vues]]))+1)/2</f>
        <v>4</v>
      </c>
      <c r="AG98" s="43">
        <f>SUMPRODUCT((Donnees[Échantillon]=Donnees[[#This Row],[Échantillon]])*(Donnees[Durée (s)]&lt;Donnees[[#This Row],[Durée (s)]]))+(SUMPRODUCT((Donnees[Échantillon]=Donnees[[#This Row],[Échantillon]])*(Donnees[Durée (s)]=Donnees[[#This Row],[Durée (s)]]))+1)/2</f>
        <v>47</v>
      </c>
      <c r="AH98" s="43">
        <f>SUMPRODUCT((Donnees[Échantillon]=Donnees[[#This Row],[Échantillon]])*(Donnees[Nb hashtags]&lt;Donnees[[#This Row],[Nb hashtags]]))+(SUMPRODUCT((Donnees[Échantillon]=Donnees[[#This Row],[Échantillon]])*(Donnees[Nb hashtags]=Donnees[[#This Row],[Nb hashtags]]))+1)/2</f>
        <v>19</v>
      </c>
      <c r="AI98" s="43">
        <f>SUMPRODUCT((Donnees[Échantillon]=Donnees[[#This Row],[Échantillon]])*(Donnees[Longueur du texte]&lt;Donnees[[#This Row],[Longueur du texte]]))+(SUMPRODUCT((Donnees[Échantillon]=Donnees[[#This Row],[Échantillon]])*(Donnees[Longueur du texte]=Donnees[[#This Row],[Longueur du texte]]))+1)/2</f>
        <v>33</v>
      </c>
      <c r="AJ98" s="43" t="str">
        <f>IF(Donnees[[#This Row],[Abonnés]]="","",SUMPRODUCT((Donnees[Échantillon]=Donnees[[#This Row],[Échantillon]])*(Donnees[Abonnés]&lt;Donnees[[#This Row],[Abonnés]]))+(SUMPRODUCT((Donnees[Échantillon]=Donnees[[#This Row],[Échantillon]])*(Donnees[Abonnés]=Donnees[[#This Row],[Abonnés]]))+1)/2)</f>
        <v/>
      </c>
      <c r="AK9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99" spans="1:37" x14ac:dyDescent="0.2">
      <c r="A99" s="40" t="s">
        <v>37</v>
      </c>
      <c r="B99" s="40" t="s">
        <v>143</v>
      </c>
      <c r="C99" s="40" t="s">
        <v>50</v>
      </c>
      <c r="D99" s="40">
        <v>3</v>
      </c>
      <c r="E99" s="40" t="s">
        <v>75</v>
      </c>
      <c r="F99" s="40" t="str">
        <f>IF(OR(Donnees[[#This Row],[Jour]]="samedi",Donnees[[#This Row],[Jour]]="dimanche"),"Oui","Non")</f>
        <v>Oui</v>
      </c>
      <c r="G99" s="40">
        <v>1</v>
      </c>
      <c r="H99" s="40" t="str">
        <f>IF(Donnees[[#This Row],[Heure UTC]]&lt;6,"0-5 h",IF(Donnees[[#This Row],[Heure UTC]]&lt;12,"6-11 h",IF(Donnees[[#This Row],[Heure UTC]]&lt;18,"12-17 h","18-23 h")))</f>
        <v>0-5 h</v>
      </c>
      <c r="I99" s="40">
        <v>8</v>
      </c>
      <c r="J99" s="40" t="str">
        <f>IF(Donnees[[#This Row],[Durée (s)]]&lt;=10,"1. ≤ 10 s",IF(Donnees[[#This Row],[Durée (s)]]&lt;=15,"2. 11-15 s",IF(Donnees[[#This Row],[Durée (s)]]&lt;=30,"3. 16-30 s",IF(Donnees[[#This Row],[Durée (s)]]&lt;=60,"4. 31-60 s","5. &gt; 60 s"))))</f>
        <v>1. ≤ 10 s</v>
      </c>
      <c r="K99" s="40" t="str">
        <f>IF(Donnees[[#This Row],[Durée (s)]]&gt;15,"Oui","Non")</f>
        <v>Non</v>
      </c>
      <c r="L99" s="40">
        <v>2</v>
      </c>
      <c r="M99" s="40" t="s">
        <v>44</v>
      </c>
      <c r="N99" s="40">
        <v>3</v>
      </c>
      <c r="O99" s="40" t="s">
        <v>41</v>
      </c>
      <c r="P99" s="40" t="s">
        <v>41</v>
      </c>
      <c r="Q99" s="40" t="s">
        <v>41</v>
      </c>
      <c r="R99" s="40"/>
      <c r="S99" s="40"/>
      <c r="T99" s="41"/>
      <c r="U99" s="40" t="str">
        <f>IF(Donnees[[#This Row],[Abonnés]]="","",IF(Donnees[[#This Row],[Abonnés]]&lt;1000000,"1. &lt; 1 M",IF(Donnees[[#This Row],[Abonnés]]&lt;3000000,"2. 1-3 M",IF(Donnees[[#This Row],[Abonnés]]&lt;8000000,"3. 3-8 M","4. ≥ 8 M"))))</f>
        <v/>
      </c>
      <c r="V99" s="41"/>
      <c r="W99" s="41">
        <v>882800</v>
      </c>
      <c r="X99" s="41">
        <v>60300</v>
      </c>
      <c r="Y99" s="41">
        <v>694</v>
      </c>
      <c r="Z99" s="41">
        <v>7656</v>
      </c>
      <c r="AA99" s="42">
        <f>(Donnees[[#This Row],[Likes]]+Donnees[[#This Row],[Commentaires]]+Donnees[[#This Row],[Partages]])/Donnees[[#This Row],[Vues]]</f>
        <v>7.7763932940643404E-2</v>
      </c>
      <c r="AB99" s="40">
        <f>IF(Donnees[[#This Row],[Engagement]]&gt;=VLOOKUP(Donnees[[#This Row],[Échantillon]],'Méthode &amp; limites'!$B$9:$D$11,2,FALSE),1,0)</f>
        <v>0</v>
      </c>
      <c r="AC99" s="43" t="str">
        <f>IF(Donnees[[#This Row],[Abonnés]]="","",Donnees[[#This Row],[Vues]]/Donnees[[#This Row],[Abonnés]])</f>
        <v/>
      </c>
      <c r="AD99" s="40" t="s">
        <v>44</v>
      </c>
      <c r="AE99" s="43">
        <f>SUMPRODUCT((Donnees[Échantillon]=Donnees[[#This Row],[Échantillon]])*(Donnees[Engagement]&lt;Donnees[[#This Row],[Engagement]]))+(SUMPRODUCT((Donnees[Échantillon]=Donnees[[#This Row],[Échantillon]])*(Donnees[Engagement]=Donnees[[#This Row],[Engagement]]))+1)/2</f>
        <v>31</v>
      </c>
      <c r="AF99" s="43">
        <f>SUMPRODUCT((Donnees[Échantillon]=Donnees[[#This Row],[Échantillon]])*(Donnees[Vues]&lt;Donnees[[#This Row],[Vues]]))+(SUMPRODUCT((Donnees[Échantillon]=Donnees[[#This Row],[Échantillon]])*(Donnees[Vues]=Donnees[[#This Row],[Vues]]))+1)/2</f>
        <v>3</v>
      </c>
      <c r="AG99" s="43">
        <f>SUMPRODUCT((Donnees[Échantillon]=Donnees[[#This Row],[Échantillon]])*(Donnees[Durée (s)]&lt;Donnees[[#This Row],[Durée (s)]]))+(SUMPRODUCT((Donnees[Échantillon]=Donnees[[#This Row],[Échantillon]])*(Donnees[Durée (s)]=Donnees[[#This Row],[Durée (s)]]))+1)/2</f>
        <v>14</v>
      </c>
      <c r="AH99" s="43">
        <f>SUMPRODUCT((Donnees[Échantillon]=Donnees[[#This Row],[Échantillon]])*(Donnees[Nb hashtags]&lt;Donnees[[#This Row],[Nb hashtags]]))+(SUMPRODUCT((Donnees[Échantillon]=Donnees[[#This Row],[Échantillon]])*(Donnees[Nb hashtags]=Donnees[[#This Row],[Nb hashtags]]))+1)/2</f>
        <v>43</v>
      </c>
      <c r="AI99" s="43">
        <f>SUMPRODUCT((Donnees[Échantillon]=Donnees[[#This Row],[Échantillon]])*(Donnees[Longueur du texte]&lt;Donnees[[#This Row],[Longueur du texte]]))+(SUMPRODUCT((Donnees[Échantillon]=Donnees[[#This Row],[Échantillon]])*(Donnees[Longueur du texte]=Donnees[[#This Row],[Longueur du texte]]))+1)/2</f>
        <v>36.5</v>
      </c>
      <c r="AJ99" s="43" t="str">
        <f>IF(Donnees[[#This Row],[Abonnés]]="","",SUMPRODUCT((Donnees[Échantillon]=Donnees[[#This Row],[Échantillon]])*(Donnees[Abonnés]&lt;Donnees[[#This Row],[Abonnés]]))+(SUMPRODUCT((Donnees[Échantillon]=Donnees[[#This Row],[Échantillon]])*(Donnees[Abonnés]=Donnees[[#This Row],[Abonnés]]))+1)/2)</f>
        <v/>
      </c>
      <c r="AK9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00" spans="1:37" x14ac:dyDescent="0.2">
      <c r="A100" s="40" t="s">
        <v>37</v>
      </c>
      <c r="B100" s="40" t="s">
        <v>115</v>
      </c>
      <c r="C100" s="40" t="s">
        <v>39</v>
      </c>
      <c r="D100" s="40">
        <v>0</v>
      </c>
      <c r="E100" s="40" t="s">
        <v>40</v>
      </c>
      <c r="F100" s="40" t="str">
        <f>IF(OR(Donnees[[#This Row],[Jour]]="samedi",Donnees[[#This Row],[Jour]]="dimanche"),"Oui","Non")</f>
        <v>Non</v>
      </c>
      <c r="G100" s="40">
        <v>19</v>
      </c>
      <c r="H100" s="40" t="str">
        <f>IF(Donnees[[#This Row],[Heure UTC]]&lt;6,"0-5 h",IF(Donnees[[#This Row],[Heure UTC]]&lt;12,"6-11 h",IF(Donnees[[#This Row],[Heure UTC]]&lt;18,"12-17 h","18-23 h")))</f>
        <v>18-23 h</v>
      </c>
      <c r="I100" s="40">
        <v>15</v>
      </c>
      <c r="J100" s="40" t="str">
        <f>IF(Donnees[[#This Row],[Durée (s)]]&lt;=10,"1. ≤ 10 s",IF(Donnees[[#This Row],[Durée (s)]]&lt;=15,"2. 11-15 s",IF(Donnees[[#This Row],[Durée (s)]]&lt;=30,"3. 16-30 s",IF(Donnees[[#This Row],[Durée (s)]]&lt;=60,"4. 31-60 s","5. &gt; 60 s"))))</f>
        <v>2. 11-15 s</v>
      </c>
      <c r="K100" s="40" t="str">
        <f>IF(Donnees[[#This Row],[Durée (s)]]&gt;15,"Oui","Non")</f>
        <v>Non</v>
      </c>
      <c r="L100" s="40">
        <v>0</v>
      </c>
      <c r="M100" s="40" t="s">
        <v>41</v>
      </c>
      <c r="N100" s="40">
        <v>6</v>
      </c>
      <c r="O100" s="40" t="s">
        <v>41</v>
      </c>
      <c r="P100" s="40" t="s">
        <v>41</v>
      </c>
      <c r="Q100" s="40" t="s">
        <v>41</v>
      </c>
      <c r="R100" s="40"/>
      <c r="S100" s="40"/>
      <c r="T100" s="41"/>
      <c r="U100" s="40" t="str">
        <f>IF(Donnees[[#This Row],[Abonnés]]="","",IF(Donnees[[#This Row],[Abonnés]]&lt;1000000,"1. &lt; 1 M",IF(Donnees[[#This Row],[Abonnés]]&lt;3000000,"2. 1-3 M",IF(Donnees[[#This Row],[Abonnés]]&lt;8000000,"3. 3-8 M","4. ≥ 8 M"))))</f>
        <v/>
      </c>
      <c r="V100" s="41"/>
      <c r="W100" s="41">
        <v>342500</v>
      </c>
      <c r="X100" s="41">
        <v>3438</v>
      </c>
      <c r="Y100" s="41">
        <v>489</v>
      </c>
      <c r="Z100" s="41">
        <v>484</v>
      </c>
      <c r="AA100" s="42">
        <f>(Donnees[[#This Row],[Likes]]+Donnees[[#This Row],[Commentaires]]+Donnees[[#This Row],[Partages]])/Donnees[[#This Row],[Vues]]</f>
        <v>1.2878832116788322E-2</v>
      </c>
      <c r="AB100" s="40">
        <f>IF(Donnees[[#This Row],[Engagement]]&gt;=VLOOKUP(Donnees[[#This Row],[Échantillon]],'Méthode &amp; limites'!$B$9:$D$11,2,FALSE),1,0)</f>
        <v>0</v>
      </c>
      <c r="AC100" s="43" t="str">
        <f>IF(Donnees[[#This Row],[Abonnés]]="","",Donnees[[#This Row],[Vues]]/Donnees[[#This Row],[Abonnés]])</f>
        <v/>
      </c>
      <c r="AD100" s="40" t="s">
        <v>44</v>
      </c>
      <c r="AE100" s="43">
        <f>SUMPRODUCT((Donnees[Échantillon]=Donnees[[#This Row],[Échantillon]])*(Donnees[Engagement]&lt;Donnees[[#This Row],[Engagement]]))+(SUMPRODUCT((Donnees[Échantillon]=Donnees[[#This Row],[Échantillon]])*(Donnees[Engagement]=Donnees[[#This Row],[Engagement]]))+1)/2</f>
        <v>1</v>
      </c>
      <c r="AF100" s="43">
        <f>SUMPRODUCT((Donnees[Échantillon]=Donnees[[#This Row],[Échantillon]])*(Donnees[Vues]&lt;Donnees[[#This Row],[Vues]]))+(SUMPRODUCT((Donnees[Échantillon]=Donnees[[#This Row],[Échantillon]])*(Donnees[Vues]=Donnees[[#This Row],[Vues]]))+1)/2</f>
        <v>2</v>
      </c>
      <c r="AG100" s="43">
        <f>SUMPRODUCT((Donnees[Échantillon]=Donnees[[#This Row],[Échantillon]])*(Donnees[Durée (s)]&lt;Donnees[[#This Row],[Durée (s)]]))+(SUMPRODUCT((Donnees[Échantillon]=Donnees[[#This Row],[Échantillon]])*(Donnees[Durée (s)]=Donnees[[#This Row],[Durée (s)]]))+1)/2</f>
        <v>78</v>
      </c>
      <c r="AH100" s="43">
        <f>SUMPRODUCT((Donnees[Échantillon]=Donnees[[#This Row],[Échantillon]])*(Donnees[Nb hashtags]&lt;Donnees[[#This Row],[Nb hashtags]]))+(SUMPRODUCT((Donnees[Échantillon]=Donnees[[#This Row],[Échantillon]])*(Donnees[Nb hashtags]=Donnees[[#This Row],[Nb hashtags]]))+1)/2</f>
        <v>19</v>
      </c>
      <c r="AI100" s="43">
        <f>SUMPRODUCT((Donnees[Échantillon]=Donnees[[#This Row],[Échantillon]])*(Donnees[Longueur du texte]&lt;Donnees[[#This Row],[Longueur du texte]]))+(SUMPRODUCT((Donnees[Échantillon]=Donnees[[#This Row],[Échantillon]])*(Donnees[Longueur du texte]=Donnees[[#This Row],[Longueur du texte]]))+1)/2</f>
        <v>43</v>
      </c>
      <c r="AJ100" s="43" t="str">
        <f>IF(Donnees[[#This Row],[Abonnés]]="","",SUMPRODUCT((Donnees[Échantillon]=Donnees[[#This Row],[Échantillon]])*(Donnees[Abonnés]&lt;Donnees[[#This Row],[Abonnés]]))+(SUMPRODUCT((Donnees[Échantillon]=Donnees[[#This Row],[Échantillon]])*(Donnees[Abonnés]=Donnees[[#This Row],[Abonnés]]))+1)/2)</f>
        <v/>
      </c>
      <c r="AK10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01" spans="1:37" x14ac:dyDescent="0.2">
      <c r="A101" s="40" t="s">
        <v>37</v>
      </c>
      <c r="B101" s="40" t="s">
        <v>144</v>
      </c>
      <c r="C101" s="40" t="s">
        <v>67</v>
      </c>
      <c r="D101" s="40">
        <v>58</v>
      </c>
      <c r="E101" s="40" t="s">
        <v>56</v>
      </c>
      <c r="F101" s="40" t="str">
        <f>IF(OR(Donnees[[#This Row],[Jour]]="samedi",Donnees[[#This Row],[Jour]]="dimanche"),"Oui","Non")</f>
        <v>Oui</v>
      </c>
      <c r="G101" s="40">
        <v>2</v>
      </c>
      <c r="H101" s="40" t="str">
        <f>IF(Donnees[[#This Row],[Heure UTC]]&lt;6,"0-5 h",IF(Donnees[[#This Row],[Heure UTC]]&lt;12,"6-11 h",IF(Donnees[[#This Row],[Heure UTC]]&lt;18,"12-17 h","18-23 h")))</f>
        <v>0-5 h</v>
      </c>
      <c r="I101" s="40">
        <v>7</v>
      </c>
      <c r="J101" s="40" t="str">
        <f>IF(Donnees[[#This Row],[Durée (s)]]&lt;=10,"1. ≤ 10 s",IF(Donnees[[#This Row],[Durée (s)]]&lt;=15,"2. 11-15 s",IF(Donnees[[#This Row],[Durée (s)]]&lt;=30,"3. 16-30 s",IF(Donnees[[#This Row],[Durée (s)]]&lt;=60,"4. 31-60 s","5. &gt; 60 s"))))</f>
        <v>1. ≤ 10 s</v>
      </c>
      <c r="K101" s="40" t="str">
        <f>IF(Donnees[[#This Row],[Durée (s)]]&gt;15,"Oui","Non")</f>
        <v>Non</v>
      </c>
      <c r="L101" s="40">
        <v>6</v>
      </c>
      <c r="M101" s="40" t="s">
        <v>44</v>
      </c>
      <c r="N101" s="40">
        <v>18</v>
      </c>
      <c r="O101" s="40" t="s">
        <v>41</v>
      </c>
      <c r="P101" s="40" t="s">
        <v>41</v>
      </c>
      <c r="Q101" s="40" t="s">
        <v>41</v>
      </c>
      <c r="R101" s="40"/>
      <c r="S101" s="40"/>
      <c r="T101" s="41"/>
      <c r="U101" s="40" t="str">
        <f>IF(Donnees[[#This Row],[Abonnés]]="","",IF(Donnees[[#This Row],[Abonnés]]&lt;1000000,"1. &lt; 1 M",IF(Donnees[[#This Row],[Abonnés]]&lt;3000000,"2. 1-3 M",IF(Donnees[[#This Row],[Abonnés]]&lt;8000000,"3. 3-8 M","4. ≥ 8 M"))))</f>
        <v/>
      </c>
      <c r="V101" s="41"/>
      <c r="W101" s="41">
        <v>291300</v>
      </c>
      <c r="X101" s="41">
        <v>12200</v>
      </c>
      <c r="Y101" s="41">
        <v>220</v>
      </c>
      <c r="Z101" s="41">
        <v>5130</v>
      </c>
      <c r="AA101" s="42">
        <f>(Donnees[[#This Row],[Likes]]+Donnees[[#This Row],[Commentaires]]+Donnees[[#This Row],[Partages]])/Donnees[[#This Row],[Vues]]</f>
        <v>6.0247167868177139E-2</v>
      </c>
      <c r="AB101" s="40">
        <f>IF(Donnees[[#This Row],[Engagement]]&gt;=VLOOKUP(Donnees[[#This Row],[Échantillon]],'Méthode &amp; limites'!$B$9:$D$11,2,FALSE),1,0)</f>
        <v>0</v>
      </c>
      <c r="AC101" s="43" t="str">
        <f>IF(Donnees[[#This Row],[Abonnés]]="","",Donnees[[#This Row],[Vues]]/Donnees[[#This Row],[Abonnés]])</f>
        <v/>
      </c>
      <c r="AD101" s="40" t="s">
        <v>44</v>
      </c>
      <c r="AE101" s="43">
        <f>SUMPRODUCT((Donnees[Échantillon]=Donnees[[#This Row],[Échantillon]])*(Donnees[Engagement]&lt;Donnees[[#This Row],[Engagement]]))+(SUMPRODUCT((Donnees[Échantillon]=Donnees[[#This Row],[Échantillon]])*(Donnees[Engagement]=Donnees[[#This Row],[Engagement]]))+1)/2</f>
        <v>16</v>
      </c>
      <c r="AF101" s="43">
        <f>SUMPRODUCT((Donnees[Échantillon]=Donnees[[#This Row],[Échantillon]])*(Donnees[Vues]&lt;Donnees[[#This Row],[Vues]]))+(SUMPRODUCT((Donnees[Échantillon]=Donnees[[#This Row],[Échantillon]])*(Donnees[Vues]=Donnees[[#This Row],[Vues]]))+1)/2</f>
        <v>1</v>
      </c>
      <c r="AG101" s="43">
        <f>SUMPRODUCT((Donnees[Échantillon]=Donnees[[#This Row],[Échantillon]])*(Donnees[Durée (s)]&lt;Donnees[[#This Row],[Durée (s)]]))+(SUMPRODUCT((Donnees[Échantillon]=Donnees[[#This Row],[Échantillon]])*(Donnees[Durée (s)]=Donnees[[#This Row],[Durée (s)]]))+1)/2</f>
        <v>3</v>
      </c>
      <c r="AH101" s="43">
        <f>SUMPRODUCT((Donnees[Échantillon]=Donnees[[#This Row],[Échantillon]])*(Donnees[Nb hashtags]&lt;Donnees[[#This Row],[Nb hashtags]]))+(SUMPRODUCT((Donnees[Échantillon]=Donnees[[#This Row],[Échantillon]])*(Donnees[Nb hashtags]=Donnees[[#This Row],[Nb hashtags]]))+1)/2</f>
        <v>75.5</v>
      </c>
      <c r="AI101" s="43">
        <f>SUMPRODUCT((Donnees[Échantillon]=Donnees[[#This Row],[Échantillon]])*(Donnees[Longueur du texte]&lt;Donnees[[#This Row],[Longueur du texte]]))+(SUMPRODUCT((Donnees[Échantillon]=Donnees[[#This Row],[Échantillon]])*(Donnees[Longueur du texte]=Donnees[[#This Row],[Longueur du texte]]))+1)/2</f>
        <v>55</v>
      </c>
      <c r="AJ101" s="43" t="str">
        <f>IF(Donnees[[#This Row],[Abonnés]]="","",SUMPRODUCT((Donnees[Échantillon]=Donnees[[#This Row],[Échantillon]])*(Donnees[Abonnés]&lt;Donnees[[#This Row],[Abonnés]]))+(SUMPRODUCT((Donnees[Échantillon]=Donnees[[#This Row],[Échantillon]])*(Donnees[Abonnés]=Donnees[[#This Row],[Abonnés]]))+1)/2)</f>
        <v/>
      </c>
      <c r="AK10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02" spans="1:37" x14ac:dyDescent="0.2">
      <c r="A102" s="40" t="s">
        <v>145</v>
      </c>
      <c r="B102" s="40" t="s">
        <v>60</v>
      </c>
      <c r="C102" s="40" t="s">
        <v>50</v>
      </c>
      <c r="D102" s="40">
        <v>91</v>
      </c>
      <c r="E102" s="40" t="s">
        <v>75</v>
      </c>
      <c r="F102" s="40" t="str">
        <f>IF(OR(Donnees[[#This Row],[Jour]]="samedi",Donnees[[#This Row],[Jour]]="dimanche"),"Oui","Non")</f>
        <v>Oui</v>
      </c>
      <c r="G102" s="40">
        <v>14</v>
      </c>
      <c r="H102" s="40" t="str">
        <f>IF(Donnees[[#This Row],[Heure UTC]]&lt;6,"0-5 h",IF(Donnees[[#This Row],[Heure UTC]]&lt;12,"6-11 h",IF(Donnees[[#This Row],[Heure UTC]]&lt;18,"12-17 h","18-23 h")))</f>
        <v>12-17 h</v>
      </c>
      <c r="I102" s="40">
        <v>11</v>
      </c>
      <c r="J102" s="40" t="str">
        <f>IF(Donnees[[#This Row],[Durée (s)]]&lt;=10,"1. ≤ 10 s",IF(Donnees[[#This Row],[Durée (s)]]&lt;=15,"2. 11-15 s",IF(Donnees[[#This Row],[Durée (s)]]&lt;=30,"3. 16-30 s",IF(Donnees[[#This Row],[Durée (s)]]&lt;=60,"4. 31-60 s","5. &gt; 60 s"))))</f>
        <v>2. 11-15 s</v>
      </c>
      <c r="K102" s="40" t="str">
        <f>IF(Donnees[[#This Row],[Durée (s)]]&gt;15,"Oui","Non")</f>
        <v>Non</v>
      </c>
      <c r="L102" s="40">
        <v>2</v>
      </c>
      <c r="M102" s="40" t="s">
        <v>41</v>
      </c>
      <c r="N102" s="40">
        <v>27</v>
      </c>
      <c r="O102" s="40" t="s">
        <v>41</v>
      </c>
      <c r="P102" s="40" t="s">
        <v>44</v>
      </c>
      <c r="Q102" s="40" t="s">
        <v>41</v>
      </c>
      <c r="R102" s="40"/>
      <c r="S102" s="40"/>
      <c r="T102" s="41"/>
      <c r="U102" s="40" t="str">
        <f>IF(Donnees[[#This Row],[Abonnés]]="","",IF(Donnees[[#This Row],[Abonnés]]&lt;1000000,"1. &lt; 1 M",IF(Donnees[[#This Row],[Abonnés]]&lt;3000000,"2. 1-3 M",IF(Donnees[[#This Row],[Abonnés]]&lt;8000000,"3. 3-8 M","4. ≥ 8 M"))))</f>
        <v/>
      </c>
      <c r="V102" s="41"/>
      <c r="W102" s="41">
        <v>181100000</v>
      </c>
      <c r="X102" s="41">
        <v>23900000</v>
      </c>
      <c r="Y102" s="41">
        <v>274500</v>
      </c>
      <c r="Z102" s="41">
        <v>85800</v>
      </c>
      <c r="AA102" s="42">
        <f>(Donnees[[#This Row],[Likes]]+Donnees[[#This Row],[Commentaires]]+Donnees[[#This Row],[Partages]])/Donnees[[#This Row],[Vues]]</f>
        <v>0.13396079514080619</v>
      </c>
      <c r="AB102" s="40">
        <f>IF(Donnees[[#This Row],[Engagement]]&gt;=VLOOKUP(Donnees[[#This Row],[Échantillon]],'Méthode &amp; limites'!$B$9:$D$11,2,FALSE),1,0)</f>
        <v>0</v>
      </c>
      <c r="AC102" s="43" t="str">
        <f>IF(Donnees[[#This Row],[Abonnés]]="","",Donnees[[#This Row],[Vues]]/Donnees[[#This Row],[Abonnés]])</f>
        <v/>
      </c>
      <c r="AD102" s="40" t="s">
        <v>44</v>
      </c>
      <c r="AE102" s="43">
        <f>SUMPRODUCT((Donnees[Échantillon]=Donnees[[#This Row],[Échantillon]])*(Donnees[Engagement]&lt;Donnees[[#This Row],[Engagement]]))+(SUMPRODUCT((Donnees[Échantillon]=Donnees[[#This Row],[Échantillon]])*(Donnees[Engagement]=Donnees[[#This Row],[Engagement]]))+1)/2</f>
        <v>30</v>
      </c>
      <c r="AF102" s="43">
        <f>SUMPRODUCT((Donnees[Échantillon]=Donnees[[#This Row],[Échantillon]])*(Donnees[Vues]&lt;Donnees[[#This Row],[Vues]]))+(SUMPRODUCT((Donnees[Échantillon]=Donnees[[#This Row],[Échantillon]])*(Donnees[Vues]=Donnees[[#This Row],[Vues]]))+1)/2</f>
        <v>100</v>
      </c>
      <c r="AG102" s="43">
        <f>SUMPRODUCT((Donnees[Échantillon]=Donnees[[#This Row],[Échantillon]])*(Donnees[Durée (s)]&lt;Donnees[[#This Row],[Durée (s)]]))+(SUMPRODUCT((Donnees[Échantillon]=Donnees[[#This Row],[Échantillon]])*(Donnees[Durée (s)]=Donnees[[#This Row],[Durée (s)]]))+1)/2</f>
        <v>18</v>
      </c>
      <c r="AH102" s="43">
        <f>SUMPRODUCT((Donnees[Échantillon]=Donnees[[#This Row],[Échantillon]])*(Donnees[Nb hashtags]&lt;Donnees[[#This Row],[Nb hashtags]]))+(SUMPRODUCT((Donnees[Échantillon]=Donnees[[#This Row],[Échantillon]])*(Donnees[Nb hashtags]=Donnees[[#This Row],[Nb hashtags]]))+1)/2</f>
        <v>61</v>
      </c>
      <c r="AI102" s="43">
        <f>SUMPRODUCT((Donnees[Échantillon]=Donnees[[#This Row],[Échantillon]])*(Donnees[Longueur du texte]&lt;Donnees[[#This Row],[Longueur du texte]]))+(SUMPRODUCT((Donnees[Échantillon]=Donnees[[#This Row],[Échantillon]])*(Donnees[Longueur du texte]=Donnees[[#This Row],[Longueur du texte]]))+1)/2</f>
        <v>43.5</v>
      </c>
      <c r="AJ102" s="43" t="str">
        <f>IF(Donnees[[#This Row],[Abonnés]]="","",SUMPRODUCT((Donnees[Échantillon]=Donnees[[#This Row],[Échantillon]])*(Donnees[Abonnés]&lt;Donnees[[#This Row],[Abonnés]]))+(SUMPRODUCT((Donnees[Échantillon]=Donnees[[#This Row],[Échantillon]])*(Donnees[Abonnés]=Donnees[[#This Row],[Abonnés]]))+1)/2)</f>
        <v/>
      </c>
      <c r="AK10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03" spans="1:37" x14ac:dyDescent="0.2">
      <c r="A103" s="40" t="s">
        <v>145</v>
      </c>
      <c r="B103" s="40" t="s">
        <v>146</v>
      </c>
      <c r="C103" s="40" t="s">
        <v>39</v>
      </c>
      <c r="D103" s="40">
        <v>69</v>
      </c>
      <c r="E103" s="40" t="s">
        <v>56</v>
      </c>
      <c r="F103" s="40" t="str">
        <f>IF(OR(Donnees[[#This Row],[Jour]]="samedi",Donnees[[#This Row],[Jour]]="dimanche"),"Oui","Non")</f>
        <v>Oui</v>
      </c>
      <c r="G103" s="40">
        <v>0</v>
      </c>
      <c r="H103" s="40" t="str">
        <f>IF(Donnees[[#This Row],[Heure UTC]]&lt;6,"0-5 h",IF(Donnees[[#This Row],[Heure UTC]]&lt;12,"6-11 h",IF(Donnees[[#This Row],[Heure UTC]]&lt;18,"12-17 h","18-23 h")))</f>
        <v>0-5 h</v>
      </c>
      <c r="I103" s="40">
        <v>10</v>
      </c>
      <c r="J103" s="40" t="str">
        <f>IF(Donnees[[#This Row],[Durée (s)]]&lt;=10,"1. ≤ 10 s",IF(Donnees[[#This Row],[Durée (s)]]&lt;=15,"2. 11-15 s",IF(Donnees[[#This Row],[Durée (s)]]&lt;=30,"3. 16-30 s",IF(Donnees[[#This Row],[Durée (s)]]&lt;=60,"4. 31-60 s","5. &gt; 60 s"))))</f>
        <v>1. ≤ 10 s</v>
      </c>
      <c r="K103" s="40" t="str">
        <f>IF(Donnees[[#This Row],[Durée (s)]]&gt;15,"Oui","Non")</f>
        <v>Non</v>
      </c>
      <c r="L103" s="40">
        <v>0</v>
      </c>
      <c r="M103" s="40" t="s">
        <v>41</v>
      </c>
      <c r="N103" s="40">
        <v>37</v>
      </c>
      <c r="O103" s="40" t="s">
        <v>41</v>
      </c>
      <c r="P103" s="40" t="s">
        <v>41</v>
      </c>
      <c r="Q103" s="40" t="s">
        <v>44</v>
      </c>
      <c r="R103" s="40"/>
      <c r="S103" s="40"/>
      <c r="T103" s="41"/>
      <c r="U103" s="40" t="str">
        <f>IF(Donnees[[#This Row],[Abonnés]]="","",IF(Donnees[[#This Row],[Abonnés]]&lt;1000000,"1. &lt; 1 M",IF(Donnees[[#This Row],[Abonnés]]&lt;3000000,"2. 1-3 M",IF(Donnees[[#This Row],[Abonnés]]&lt;8000000,"3. 3-8 M","4. ≥ 8 M"))))</f>
        <v/>
      </c>
      <c r="V103" s="41"/>
      <c r="W103" s="41">
        <v>141700000</v>
      </c>
      <c r="X103" s="41">
        <v>21000000</v>
      </c>
      <c r="Y103" s="41">
        <v>186700</v>
      </c>
      <c r="Z103" s="41">
        <v>1900000</v>
      </c>
      <c r="AA103" s="42">
        <f>(Donnees[[#This Row],[Likes]]+Donnees[[#This Row],[Commentaires]]+Donnees[[#This Row],[Partages]])/Donnees[[#This Row],[Vues]]</f>
        <v>0.16292660550458715</v>
      </c>
      <c r="AB103" s="40">
        <f>IF(Donnees[[#This Row],[Engagement]]&gt;=VLOOKUP(Donnees[[#This Row],[Échantillon]],'Méthode &amp; limites'!$B$9:$D$11,2,FALSE),1,0)</f>
        <v>0</v>
      </c>
      <c r="AC103" s="43" t="str">
        <f>IF(Donnees[[#This Row],[Abonnés]]="","",Donnees[[#This Row],[Vues]]/Donnees[[#This Row],[Abonnés]])</f>
        <v/>
      </c>
      <c r="AD103" s="40" t="s">
        <v>44</v>
      </c>
      <c r="AE103" s="43">
        <f>SUMPRODUCT((Donnees[Échantillon]=Donnees[[#This Row],[Échantillon]])*(Donnees[Engagement]&lt;Donnees[[#This Row],[Engagement]]))+(SUMPRODUCT((Donnees[Échantillon]=Donnees[[#This Row],[Échantillon]])*(Donnees[Engagement]=Donnees[[#This Row],[Engagement]]))+1)/2</f>
        <v>39</v>
      </c>
      <c r="AF103" s="43">
        <f>SUMPRODUCT((Donnees[Échantillon]=Donnees[[#This Row],[Échantillon]])*(Donnees[Vues]&lt;Donnees[[#This Row],[Vues]]))+(SUMPRODUCT((Donnees[Échantillon]=Donnees[[#This Row],[Échantillon]])*(Donnees[Vues]=Donnees[[#This Row],[Vues]]))+1)/2</f>
        <v>99</v>
      </c>
      <c r="AG103" s="43">
        <f>SUMPRODUCT((Donnees[Échantillon]=Donnees[[#This Row],[Échantillon]])*(Donnees[Durée (s)]&lt;Donnees[[#This Row],[Durée (s)]]))+(SUMPRODUCT((Donnees[Échantillon]=Donnees[[#This Row],[Échantillon]])*(Donnees[Durée (s)]=Donnees[[#This Row],[Durée (s)]]))+1)/2</f>
        <v>11</v>
      </c>
      <c r="AH103" s="43">
        <f>SUMPRODUCT((Donnees[Échantillon]=Donnees[[#This Row],[Échantillon]])*(Donnees[Nb hashtags]&lt;Donnees[[#This Row],[Nb hashtags]]))+(SUMPRODUCT((Donnees[Échantillon]=Donnees[[#This Row],[Échantillon]])*(Donnees[Nb hashtags]=Donnees[[#This Row],[Nb hashtags]]))+1)/2</f>
        <v>18.5</v>
      </c>
      <c r="AI103" s="43">
        <f>SUMPRODUCT((Donnees[Échantillon]=Donnees[[#This Row],[Échantillon]])*(Donnees[Longueur du texte]&lt;Donnees[[#This Row],[Longueur du texte]]))+(SUMPRODUCT((Donnees[Échantillon]=Donnees[[#This Row],[Échantillon]])*(Donnees[Longueur du texte]=Donnees[[#This Row],[Longueur du texte]]))+1)/2</f>
        <v>56</v>
      </c>
      <c r="AJ103" s="43" t="str">
        <f>IF(Donnees[[#This Row],[Abonnés]]="","",SUMPRODUCT((Donnees[Échantillon]=Donnees[[#This Row],[Échantillon]])*(Donnees[Abonnés]&lt;Donnees[[#This Row],[Abonnés]]))+(SUMPRODUCT((Donnees[Échantillon]=Donnees[[#This Row],[Échantillon]])*(Donnees[Abonnés]=Donnees[[#This Row],[Abonnés]]))+1)/2)</f>
        <v/>
      </c>
      <c r="AK10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04" spans="1:37" x14ac:dyDescent="0.2">
      <c r="A104" s="40" t="s">
        <v>145</v>
      </c>
      <c r="B104" s="40" t="s">
        <v>147</v>
      </c>
      <c r="C104" s="40" t="s">
        <v>39</v>
      </c>
      <c r="D104" s="40">
        <v>14</v>
      </c>
      <c r="E104" s="40" t="s">
        <v>75</v>
      </c>
      <c r="F104" s="40" t="str">
        <f>IF(OR(Donnees[[#This Row],[Jour]]="samedi",Donnees[[#This Row],[Jour]]="dimanche"),"Oui","Non")</f>
        <v>Oui</v>
      </c>
      <c r="G104" s="40">
        <v>5</v>
      </c>
      <c r="H104" s="40" t="str">
        <f>IF(Donnees[[#This Row],[Heure UTC]]&lt;6,"0-5 h",IF(Donnees[[#This Row],[Heure UTC]]&lt;12,"6-11 h",IF(Donnees[[#This Row],[Heure UTC]]&lt;18,"12-17 h","18-23 h")))</f>
        <v>0-5 h</v>
      </c>
      <c r="I104" s="40">
        <v>14</v>
      </c>
      <c r="J104" s="40" t="str">
        <f>IF(Donnees[[#This Row],[Durée (s)]]&lt;=10,"1. ≤ 10 s",IF(Donnees[[#This Row],[Durée (s)]]&lt;=15,"2. 11-15 s",IF(Donnees[[#This Row],[Durée (s)]]&lt;=30,"3. 16-30 s",IF(Donnees[[#This Row],[Durée (s)]]&lt;=60,"4. 31-60 s","5. &gt; 60 s"))))</f>
        <v>2. 11-15 s</v>
      </c>
      <c r="K104" s="40" t="str">
        <f>IF(Donnees[[#This Row],[Durée (s)]]&gt;15,"Oui","Non")</f>
        <v>Non</v>
      </c>
      <c r="L104" s="40">
        <v>0</v>
      </c>
      <c r="M104" s="40" t="s">
        <v>41</v>
      </c>
      <c r="N104" s="40">
        <v>63</v>
      </c>
      <c r="O104" s="40" t="s">
        <v>41</v>
      </c>
      <c r="P104" s="40" t="s">
        <v>44</v>
      </c>
      <c r="Q104" s="40" t="s">
        <v>41</v>
      </c>
      <c r="R104" s="40"/>
      <c r="S104" s="40"/>
      <c r="T104" s="41"/>
      <c r="U104" s="40" t="str">
        <f>IF(Donnees[[#This Row],[Abonnés]]="","",IF(Donnees[[#This Row],[Abonnés]]&lt;1000000,"1. &lt; 1 M",IF(Donnees[[#This Row],[Abonnés]]&lt;3000000,"2. 1-3 M",IF(Donnees[[#This Row],[Abonnés]]&lt;8000000,"3. 3-8 M","4. ≥ 8 M"))))</f>
        <v/>
      </c>
      <c r="V104" s="41"/>
      <c r="W104" s="41">
        <v>107100000</v>
      </c>
      <c r="X104" s="41">
        <v>16400000</v>
      </c>
      <c r="Y104" s="41">
        <v>126100</v>
      </c>
      <c r="Z104" s="41">
        <v>134600</v>
      </c>
      <c r="AA104" s="42">
        <f>(Donnees[[#This Row],[Likes]]+Donnees[[#This Row],[Commentaires]]+Donnees[[#This Row],[Partages]])/Donnees[[#This Row],[Vues]]</f>
        <v>0.15556209150326797</v>
      </c>
      <c r="AB104" s="40">
        <f>IF(Donnees[[#This Row],[Engagement]]&gt;=VLOOKUP(Donnees[[#This Row],[Échantillon]],'Méthode &amp; limites'!$B$9:$D$11,2,FALSE),1,0)</f>
        <v>0</v>
      </c>
      <c r="AC104" s="43" t="str">
        <f>IF(Donnees[[#This Row],[Abonnés]]="","",Donnees[[#This Row],[Vues]]/Donnees[[#This Row],[Abonnés]])</f>
        <v/>
      </c>
      <c r="AD104" s="40" t="s">
        <v>44</v>
      </c>
      <c r="AE104" s="43">
        <f>SUMPRODUCT((Donnees[Échantillon]=Donnees[[#This Row],[Échantillon]])*(Donnees[Engagement]&lt;Donnees[[#This Row],[Engagement]]))+(SUMPRODUCT((Donnees[Échantillon]=Donnees[[#This Row],[Échantillon]])*(Donnees[Engagement]=Donnees[[#This Row],[Engagement]]))+1)/2</f>
        <v>35</v>
      </c>
      <c r="AF104" s="43">
        <f>SUMPRODUCT((Donnees[Échantillon]=Donnees[[#This Row],[Échantillon]])*(Donnees[Vues]&lt;Donnees[[#This Row],[Vues]]))+(SUMPRODUCT((Donnees[Échantillon]=Donnees[[#This Row],[Échantillon]])*(Donnees[Vues]=Donnees[[#This Row],[Vues]]))+1)/2</f>
        <v>98</v>
      </c>
      <c r="AG104" s="43">
        <f>SUMPRODUCT((Donnees[Échantillon]=Donnees[[#This Row],[Échantillon]])*(Donnees[Durée (s)]&lt;Donnees[[#This Row],[Durée (s)]]))+(SUMPRODUCT((Donnees[Échantillon]=Donnees[[#This Row],[Échantillon]])*(Donnees[Durée (s)]=Donnees[[#This Row],[Durée (s)]]))+1)/2</f>
        <v>31.5</v>
      </c>
      <c r="AH104" s="43">
        <f>SUMPRODUCT((Donnees[Échantillon]=Donnees[[#This Row],[Échantillon]])*(Donnees[Nb hashtags]&lt;Donnees[[#This Row],[Nb hashtags]]))+(SUMPRODUCT((Donnees[Échantillon]=Donnees[[#This Row],[Échantillon]])*(Donnees[Nb hashtags]=Donnees[[#This Row],[Nb hashtags]]))+1)/2</f>
        <v>18.5</v>
      </c>
      <c r="AI104" s="43">
        <f>SUMPRODUCT((Donnees[Échantillon]=Donnees[[#This Row],[Échantillon]])*(Donnees[Longueur du texte]&lt;Donnees[[#This Row],[Longueur du texte]]))+(SUMPRODUCT((Donnees[Échantillon]=Donnees[[#This Row],[Échantillon]])*(Donnees[Longueur du texte]=Donnees[[#This Row],[Longueur du texte]]))+1)/2</f>
        <v>80</v>
      </c>
      <c r="AJ104" s="43" t="str">
        <f>IF(Donnees[[#This Row],[Abonnés]]="","",SUMPRODUCT((Donnees[Échantillon]=Donnees[[#This Row],[Échantillon]])*(Donnees[Abonnés]&lt;Donnees[[#This Row],[Abonnés]]))+(SUMPRODUCT((Donnees[Échantillon]=Donnees[[#This Row],[Échantillon]])*(Donnees[Abonnés]=Donnees[[#This Row],[Abonnés]]))+1)/2)</f>
        <v/>
      </c>
      <c r="AK10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05" spans="1:37" x14ac:dyDescent="0.2">
      <c r="A105" s="40" t="s">
        <v>145</v>
      </c>
      <c r="B105" s="40" t="s">
        <v>148</v>
      </c>
      <c r="C105" s="40" t="s">
        <v>39</v>
      </c>
      <c r="D105" s="40">
        <v>125</v>
      </c>
      <c r="E105" s="40" t="s">
        <v>56</v>
      </c>
      <c r="F105" s="40" t="str">
        <f>IF(OR(Donnees[[#This Row],[Jour]]="samedi",Donnees[[#This Row],[Jour]]="dimanche"),"Oui","Non")</f>
        <v>Oui</v>
      </c>
      <c r="G105" s="40">
        <v>2</v>
      </c>
      <c r="H105" s="40" t="str">
        <f>IF(Donnees[[#This Row],[Heure UTC]]&lt;6,"0-5 h",IF(Donnees[[#This Row],[Heure UTC]]&lt;12,"6-11 h",IF(Donnees[[#This Row],[Heure UTC]]&lt;18,"12-17 h","18-23 h")))</f>
        <v>0-5 h</v>
      </c>
      <c r="I105" s="40">
        <v>11</v>
      </c>
      <c r="J105" s="40" t="str">
        <f>IF(Donnees[[#This Row],[Durée (s)]]&lt;=10,"1. ≤ 10 s",IF(Donnees[[#This Row],[Durée (s)]]&lt;=15,"2. 11-15 s",IF(Donnees[[#This Row],[Durée (s)]]&lt;=30,"3. 16-30 s",IF(Donnees[[#This Row],[Durée (s)]]&lt;=60,"4. 31-60 s","5. &gt; 60 s"))))</f>
        <v>2. 11-15 s</v>
      </c>
      <c r="K105" s="40" t="str">
        <f>IF(Donnees[[#This Row],[Durée (s)]]&gt;15,"Oui","Non")</f>
        <v>Non</v>
      </c>
      <c r="L105" s="40">
        <v>0</v>
      </c>
      <c r="M105" s="40" t="s">
        <v>41</v>
      </c>
      <c r="N105" s="40">
        <v>15</v>
      </c>
      <c r="O105" s="40" t="s">
        <v>41</v>
      </c>
      <c r="P105" s="40" t="s">
        <v>41</v>
      </c>
      <c r="Q105" s="40" t="s">
        <v>41</v>
      </c>
      <c r="R105" s="40"/>
      <c r="S105" s="40"/>
      <c r="T105" s="41"/>
      <c r="U105" s="40" t="str">
        <f>IF(Donnees[[#This Row],[Abonnés]]="","",IF(Donnees[[#This Row],[Abonnés]]&lt;1000000,"1. &lt; 1 M",IF(Donnees[[#This Row],[Abonnés]]&lt;3000000,"2. 1-3 M",IF(Donnees[[#This Row],[Abonnés]]&lt;8000000,"3. 3-8 M","4. ≥ 8 M"))))</f>
        <v/>
      </c>
      <c r="V105" s="41"/>
      <c r="W105" s="41">
        <v>91500000</v>
      </c>
      <c r="X105" s="41">
        <v>16000000</v>
      </c>
      <c r="Y105" s="41">
        <v>134400</v>
      </c>
      <c r="Z105" s="41">
        <v>248300</v>
      </c>
      <c r="AA105" s="42">
        <f>(Donnees[[#This Row],[Likes]]+Donnees[[#This Row],[Commentaires]]+Donnees[[#This Row],[Partages]])/Donnees[[#This Row],[Vues]]</f>
        <v>0.17904590163934425</v>
      </c>
      <c r="AB105" s="40">
        <f>IF(Donnees[[#This Row],[Engagement]]&gt;=VLOOKUP(Donnees[[#This Row],[Échantillon]],'Méthode &amp; limites'!$B$9:$D$11,2,FALSE),1,0)</f>
        <v>0</v>
      </c>
      <c r="AC105" s="43" t="str">
        <f>IF(Donnees[[#This Row],[Abonnés]]="","",Donnees[[#This Row],[Vues]]/Donnees[[#This Row],[Abonnés]])</f>
        <v/>
      </c>
      <c r="AD105" s="40" t="s">
        <v>44</v>
      </c>
      <c r="AE105" s="43">
        <f>SUMPRODUCT((Donnees[Échantillon]=Donnees[[#This Row],[Échantillon]])*(Donnees[Engagement]&lt;Donnees[[#This Row],[Engagement]]))+(SUMPRODUCT((Donnees[Échantillon]=Donnees[[#This Row],[Échantillon]])*(Donnees[Engagement]=Donnees[[#This Row],[Engagement]]))+1)/2</f>
        <v>49</v>
      </c>
      <c r="AF105" s="43">
        <f>SUMPRODUCT((Donnees[Échantillon]=Donnees[[#This Row],[Échantillon]])*(Donnees[Vues]&lt;Donnees[[#This Row],[Vues]]))+(SUMPRODUCT((Donnees[Échantillon]=Donnees[[#This Row],[Échantillon]])*(Donnees[Vues]=Donnees[[#This Row],[Vues]]))+1)/2</f>
        <v>97</v>
      </c>
      <c r="AG105" s="43">
        <f>SUMPRODUCT((Donnees[Échantillon]=Donnees[[#This Row],[Échantillon]])*(Donnees[Durée (s)]&lt;Donnees[[#This Row],[Durée (s)]]))+(SUMPRODUCT((Donnees[Échantillon]=Donnees[[#This Row],[Échantillon]])*(Donnees[Durée (s)]=Donnees[[#This Row],[Durée (s)]]))+1)/2</f>
        <v>18</v>
      </c>
      <c r="AH105" s="43">
        <f>SUMPRODUCT((Donnees[Échantillon]=Donnees[[#This Row],[Échantillon]])*(Donnees[Nb hashtags]&lt;Donnees[[#This Row],[Nb hashtags]]))+(SUMPRODUCT((Donnees[Échantillon]=Donnees[[#This Row],[Échantillon]])*(Donnees[Nb hashtags]=Donnees[[#This Row],[Nb hashtags]]))+1)/2</f>
        <v>18.5</v>
      </c>
      <c r="AI105" s="43">
        <f>SUMPRODUCT((Donnees[Échantillon]=Donnees[[#This Row],[Échantillon]])*(Donnees[Longueur du texte]&lt;Donnees[[#This Row],[Longueur du texte]]))+(SUMPRODUCT((Donnees[Échantillon]=Donnees[[#This Row],[Échantillon]])*(Donnees[Longueur du texte]=Donnees[[#This Row],[Longueur du texte]]))+1)/2</f>
        <v>22.5</v>
      </c>
      <c r="AJ105" s="43" t="str">
        <f>IF(Donnees[[#This Row],[Abonnés]]="","",SUMPRODUCT((Donnees[Échantillon]=Donnees[[#This Row],[Échantillon]])*(Donnees[Abonnés]&lt;Donnees[[#This Row],[Abonnés]]))+(SUMPRODUCT((Donnees[Échantillon]=Donnees[[#This Row],[Échantillon]])*(Donnees[Abonnés]=Donnees[[#This Row],[Abonnés]]))+1)/2)</f>
        <v/>
      </c>
      <c r="AK10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06" spans="1:37" x14ac:dyDescent="0.2">
      <c r="A106" s="40" t="s">
        <v>145</v>
      </c>
      <c r="B106" s="40" t="s">
        <v>149</v>
      </c>
      <c r="C106" s="40" t="s">
        <v>39</v>
      </c>
      <c r="D106" s="40">
        <v>18</v>
      </c>
      <c r="E106" s="40" t="s">
        <v>40</v>
      </c>
      <c r="F106" s="40" t="str">
        <f>IF(OR(Donnees[[#This Row],[Jour]]="samedi",Donnees[[#This Row],[Jour]]="dimanche"),"Oui","Non")</f>
        <v>Non</v>
      </c>
      <c r="G106" s="40">
        <v>23</v>
      </c>
      <c r="H106" s="40" t="str">
        <f>IF(Donnees[[#This Row],[Heure UTC]]&lt;6,"0-5 h",IF(Donnees[[#This Row],[Heure UTC]]&lt;12,"6-11 h",IF(Donnees[[#This Row],[Heure UTC]]&lt;18,"12-17 h","18-23 h")))</f>
        <v>18-23 h</v>
      </c>
      <c r="I106" s="40">
        <v>11</v>
      </c>
      <c r="J106" s="40" t="str">
        <f>IF(Donnees[[#This Row],[Durée (s)]]&lt;=10,"1. ≤ 10 s",IF(Donnees[[#This Row],[Durée (s)]]&lt;=15,"2. 11-15 s",IF(Donnees[[#This Row],[Durée (s)]]&lt;=30,"3. 16-30 s",IF(Donnees[[#This Row],[Durée (s)]]&lt;=60,"4. 31-60 s","5. &gt; 60 s"))))</f>
        <v>2. 11-15 s</v>
      </c>
      <c r="K106" s="40" t="str">
        <f>IF(Donnees[[#This Row],[Durée (s)]]&gt;15,"Oui","Non")</f>
        <v>Non</v>
      </c>
      <c r="L106" s="40">
        <v>0</v>
      </c>
      <c r="M106" s="40" t="s">
        <v>41</v>
      </c>
      <c r="N106" s="40">
        <v>39</v>
      </c>
      <c r="O106" s="40" t="s">
        <v>41</v>
      </c>
      <c r="P106" s="40" t="s">
        <v>41</v>
      </c>
      <c r="Q106" s="40" t="s">
        <v>41</v>
      </c>
      <c r="R106" s="40"/>
      <c r="S106" s="40"/>
      <c r="T106" s="41"/>
      <c r="U106" s="40" t="str">
        <f>IF(Donnees[[#This Row],[Abonnés]]="","",IF(Donnees[[#This Row],[Abonnés]]&lt;1000000,"1. &lt; 1 M",IF(Donnees[[#This Row],[Abonnés]]&lt;3000000,"2. 1-3 M",IF(Donnees[[#This Row],[Abonnés]]&lt;8000000,"3. 3-8 M","4. ≥ 8 M"))))</f>
        <v/>
      </c>
      <c r="V106" s="41"/>
      <c r="W106" s="41">
        <v>67300000</v>
      </c>
      <c r="X106" s="41">
        <v>15100000</v>
      </c>
      <c r="Y106" s="41">
        <v>136800</v>
      </c>
      <c r="Z106" s="41">
        <v>326100</v>
      </c>
      <c r="AA106" s="42">
        <f>(Donnees[[#This Row],[Likes]]+Donnees[[#This Row],[Commentaires]]+Donnees[[#This Row],[Partages]])/Donnees[[#This Row],[Vues]]</f>
        <v>0.23124665676077266</v>
      </c>
      <c r="AB106" s="40">
        <f>IF(Donnees[[#This Row],[Engagement]]&gt;=VLOOKUP(Donnees[[#This Row],[Échantillon]],'Méthode &amp; limites'!$B$9:$D$11,2,FALSE),1,0)</f>
        <v>0</v>
      </c>
      <c r="AC106" s="43" t="str">
        <f>IF(Donnees[[#This Row],[Abonnés]]="","",Donnees[[#This Row],[Vues]]/Donnees[[#This Row],[Abonnés]])</f>
        <v/>
      </c>
      <c r="AD106" s="40" t="s">
        <v>44</v>
      </c>
      <c r="AE106" s="43">
        <f>SUMPRODUCT((Donnees[Échantillon]=Donnees[[#This Row],[Échantillon]])*(Donnees[Engagement]&lt;Donnees[[#This Row],[Engagement]]))+(SUMPRODUCT((Donnees[Échantillon]=Donnees[[#This Row],[Échantillon]])*(Donnees[Engagement]=Donnees[[#This Row],[Engagement]]))+1)/2</f>
        <v>70</v>
      </c>
      <c r="AF106" s="43">
        <f>SUMPRODUCT((Donnees[Échantillon]=Donnees[[#This Row],[Échantillon]])*(Donnees[Vues]&lt;Donnees[[#This Row],[Vues]]))+(SUMPRODUCT((Donnees[Échantillon]=Donnees[[#This Row],[Échantillon]])*(Donnees[Vues]=Donnees[[#This Row],[Vues]]))+1)/2</f>
        <v>96</v>
      </c>
      <c r="AG106" s="43">
        <f>SUMPRODUCT((Donnees[Échantillon]=Donnees[[#This Row],[Échantillon]])*(Donnees[Durée (s)]&lt;Donnees[[#This Row],[Durée (s)]]))+(SUMPRODUCT((Donnees[Échantillon]=Donnees[[#This Row],[Échantillon]])*(Donnees[Durée (s)]=Donnees[[#This Row],[Durée (s)]]))+1)/2</f>
        <v>18</v>
      </c>
      <c r="AH106" s="43">
        <f>SUMPRODUCT((Donnees[Échantillon]=Donnees[[#This Row],[Échantillon]])*(Donnees[Nb hashtags]&lt;Donnees[[#This Row],[Nb hashtags]]))+(SUMPRODUCT((Donnees[Échantillon]=Donnees[[#This Row],[Échantillon]])*(Donnees[Nb hashtags]=Donnees[[#This Row],[Nb hashtags]]))+1)/2</f>
        <v>18.5</v>
      </c>
      <c r="AI106" s="43">
        <f>SUMPRODUCT((Donnees[Échantillon]=Donnees[[#This Row],[Échantillon]])*(Donnees[Longueur du texte]&lt;Donnees[[#This Row],[Longueur du texte]]))+(SUMPRODUCT((Donnees[Échantillon]=Donnees[[#This Row],[Échantillon]])*(Donnees[Longueur du texte]=Donnees[[#This Row],[Longueur du texte]]))+1)/2</f>
        <v>58</v>
      </c>
      <c r="AJ106" s="43" t="str">
        <f>IF(Donnees[[#This Row],[Abonnés]]="","",SUMPRODUCT((Donnees[Échantillon]=Donnees[[#This Row],[Échantillon]])*(Donnees[Abonnés]&lt;Donnees[[#This Row],[Abonnés]]))+(SUMPRODUCT((Donnees[Échantillon]=Donnees[[#This Row],[Échantillon]])*(Donnees[Abonnés]=Donnees[[#This Row],[Abonnés]]))+1)/2)</f>
        <v/>
      </c>
      <c r="AK10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07" spans="1:37" x14ac:dyDescent="0.2">
      <c r="A107" s="40" t="s">
        <v>145</v>
      </c>
      <c r="B107" s="40" t="s">
        <v>150</v>
      </c>
      <c r="C107" s="40" t="s">
        <v>39</v>
      </c>
      <c r="D107" s="40">
        <v>95</v>
      </c>
      <c r="E107" s="40" t="s">
        <v>40</v>
      </c>
      <c r="F107" s="40" t="str">
        <f>IF(OR(Donnees[[#This Row],[Jour]]="samedi",Donnees[[#This Row],[Jour]]="dimanche"),"Oui","Non")</f>
        <v>Non</v>
      </c>
      <c r="G107" s="40">
        <v>6</v>
      </c>
      <c r="H107" s="40" t="str">
        <f>IF(Donnees[[#This Row],[Heure UTC]]&lt;6,"0-5 h",IF(Donnees[[#This Row],[Heure UTC]]&lt;12,"6-11 h",IF(Donnees[[#This Row],[Heure UTC]]&lt;18,"12-17 h","18-23 h")))</f>
        <v>6-11 h</v>
      </c>
      <c r="I107" s="40">
        <v>18</v>
      </c>
      <c r="J107" s="40" t="str">
        <f>IF(Donnees[[#This Row],[Durée (s)]]&lt;=10,"1. ≤ 10 s",IF(Donnees[[#This Row],[Durée (s)]]&lt;=15,"2. 11-15 s",IF(Donnees[[#This Row],[Durée (s)]]&lt;=30,"3. 16-30 s",IF(Donnees[[#This Row],[Durée (s)]]&lt;=60,"4. 31-60 s","5. &gt; 60 s"))))</f>
        <v>3. 16-30 s</v>
      </c>
      <c r="K107" s="40" t="str">
        <f>IF(Donnees[[#This Row],[Durée (s)]]&gt;15,"Oui","Non")</f>
        <v>Oui</v>
      </c>
      <c r="L107" s="40">
        <v>1</v>
      </c>
      <c r="M107" s="40" t="s">
        <v>41</v>
      </c>
      <c r="N107" s="40">
        <v>0</v>
      </c>
      <c r="O107" s="40" t="s">
        <v>41</v>
      </c>
      <c r="P107" s="40" t="s">
        <v>41</v>
      </c>
      <c r="Q107" s="40" t="s">
        <v>41</v>
      </c>
      <c r="R107" s="40"/>
      <c r="S107" s="40"/>
      <c r="T107" s="41"/>
      <c r="U107" s="40" t="str">
        <f>IF(Donnees[[#This Row],[Abonnés]]="","",IF(Donnees[[#This Row],[Abonnés]]&lt;1000000,"1. &lt; 1 M",IF(Donnees[[#This Row],[Abonnés]]&lt;3000000,"2. 1-3 M",IF(Donnees[[#This Row],[Abonnés]]&lt;8000000,"3. 3-8 M","4. ≥ 8 M"))))</f>
        <v/>
      </c>
      <c r="V107" s="41"/>
      <c r="W107" s="41">
        <v>49500000</v>
      </c>
      <c r="X107" s="41">
        <v>12500000</v>
      </c>
      <c r="Y107" s="41">
        <v>167500</v>
      </c>
      <c r="Z107" s="41">
        <v>265000</v>
      </c>
      <c r="AA107" s="42">
        <f>(Donnees[[#This Row],[Likes]]+Donnees[[#This Row],[Commentaires]]+Donnees[[#This Row],[Partages]])/Donnees[[#This Row],[Vues]]</f>
        <v>0.26126262626262625</v>
      </c>
      <c r="AB107" s="40">
        <f>IF(Donnees[[#This Row],[Engagement]]&gt;=VLOOKUP(Donnees[[#This Row],[Échantillon]],'Méthode &amp; limites'!$B$9:$D$11,2,FALSE),1,0)</f>
        <v>1</v>
      </c>
      <c r="AC107" s="43" t="str">
        <f>IF(Donnees[[#This Row],[Abonnés]]="","",Donnees[[#This Row],[Vues]]/Donnees[[#This Row],[Abonnés]])</f>
        <v/>
      </c>
      <c r="AD107" s="40" t="s">
        <v>44</v>
      </c>
      <c r="AE107" s="43">
        <f>SUMPRODUCT((Donnees[Échantillon]=Donnees[[#This Row],[Échantillon]])*(Donnees[Engagement]&lt;Donnees[[#This Row],[Engagement]]))+(SUMPRODUCT((Donnees[Échantillon]=Donnees[[#This Row],[Échantillon]])*(Donnees[Engagement]=Donnees[[#This Row],[Engagement]]))+1)/2</f>
        <v>84</v>
      </c>
      <c r="AF107" s="43">
        <f>SUMPRODUCT((Donnees[Échantillon]=Donnees[[#This Row],[Échantillon]])*(Donnees[Vues]&lt;Donnees[[#This Row],[Vues]]))+(SUMPRODUCT((Donnees[Échantillon]=Donnees[[#This Row],[Échantillon]])*(Donnees[Vues]=Donnees[[#This Row],[Vues]]))+1)/2</f>
        <v>95</v>
      </c>
      <c r="AG107" s="43">
        <f>SUMPRODUCT((Donnees[Échantillon]=Donnees[[#This Row],[Échantillon]])*(Donnees[Durée (s)]&lt;Donnees[[#This Row],[Durée (s)]]))+(SUMPRODUCT((Donnees[Échantillon]=Donnees[[#This Row],[Échantillon]])*(Donnees[Durée (s)]=Donnees[[#This Row],[Durée (s)]]))+1)/2</f>
        <v>56</v>
      </c>
      <c r="AH107" s="43">
        <f>SUMPRODUCT((Donnees[Échantillon]=Donnees[[#This Row],[Échantillon]])*(Donnees[Nb hashtags]&lt;Donnees[[#This Row],[Nb hashtags]]))+(SUMPRODUCT((Donnees[Échantillon]=Donnees[[#This Row],[Échantillon]])*(Donnees[Nb hashtags]=Donnees[[#This Row],[Nb hashtags]]))+1)/2</f>
        <v>45.5</v>
      </c>
      <c r="AI107" s="43">
        <f>SUMPRODUCT((Donnees[Échantillon]=Donnees[[#This Row],[Échantillon]])*(Donnees[Longueur du texte]&lt;Donnees[[#This Row],[Longueur du texte]]))+(SUMPRODUCT((Donnees[Échantillon]=Donnees[[#This Row],[Échantillon]])*(Donnees[Longueur du texte]=Donnees[[#This Row],[Longueur du texte]]))+1)/2</f>
        <v>6</v>
      </c>
      <c r="AJ107" s="43" t="str">
        <f>IF(Donnees[[#This Row],[Abonnés]]="","",SUMPRODUCT((Donnees[Échantillon]=Donnees[[#This Row],[Échantillon]])*(Donnees[Abonnés]&lt;Donnees[[#This Row],[Abonnés]]))+(SUMPRODUCT((Donnees[Échantillon]=Donnees[[#This Row],[Échantillon]])*(Donnees[Abonnés]=Donnees[[#This Row],[Abonnés]]))+1)/2)</f>
        <v/>
      </c>
      <c r="AK10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08" spans="1:37" x14ac:dyDescent="0.2">
      <c r="A108" s="40" t="s">
        <v>145</v>
      </c>
      <c r="B108" s="40" t="s">
        <v>151</v>
      </c>
      <c r="C108" s="40" t="s">
        <v>39</v>
      </c>
      <c r="D108" s="40">
        <v>74</v>
      </c>
      <c r="E108" s="40" t="s">
        <v>40</v>
      </c>
      <c r="F108" s="40" t="str">
        <f>IF(OR(Donnees[[#This Row],[Jour]]="samedi",Donnees[[#This Row],[Jour]]="dimanche"),"Oui","Non")</f>
        <v>Non</v>
      </c>
      <c r="G108" s="40">
        <v>5</v>
      </c>
      <c r="H108" s="40" t="str">
        <f>IF(Donnees[[#This Row],[Heure UTC]]&lt;6,"0-5 h",IF(Donnees[[#This Row],[Heure UTC]]&lt;12,"6-11 h",IF(Donnees[[#This Row],[Heure UTC]]&lt;18,"12-17 h","18-23 h")))</f>
        <v>0-5 h</v>
      </c>
      <c r="I108" s="40">
        <v>8</v>
      </c>
      <c r="J108" s="40" t="str">
        <f>IF(Donnees[[#This Row],[Durée (s)]]&lt;=10,"1. ≤ 10 s",IF(Donnees[[#This Row],[Durée (s)]]&lt;=15,"2. 11-15 s",IF(Donnees[[#This Row],[Durée (s)]]&lt;=30,"3. 16-30 s",IF(Donnees[[#This Row],[Durée (s)]]&lt;=60,"4. 31-60 s","5. &gt; 60 s"))))</f>
        <v>1. ≤ 10 s</v>
      </c>
      <c r="K108" s="40" t="str">
        <f>IF(Donnees[[#This Row],[Durée (s)]]&gt;15,"Oui","Non")</f>
        <v>Non</v>
      </c>
      <c r="L108" s="40">
        <v>1</v>
      </c>
      <c r="M108" s="40" t="s">
        <v>41</v>
      </c>
      <c r="N108" s="40">
        <v>86</v>
      </c>
      <c r="O108" s="40" t="s">
        <v>41</v>
      </c>
      <c r="P108" s="40" t="s">
        <v>41</v>
      </c>
      <c r="Q108" s="40" t="s">
        <v>41</v>
      </c>
      <c r="R108" s="40"/>
      <c r="S108" s="40"/>
      <c r="T108" s="41"/>
      <c r="U108" s="40" t="str">
        <f>IF(Donnees[[#This Row],[Abonnés]]="","",IF(Donnees[[#This Row],[Abonnés]]&lt;1000000,"1. &lt; 1 M",IF(Donnees[[#This Row],[Abonnés]]&lt;3000000,"2. 1-3 M",IF(Donnees[[#This Row],[Abonnés]]&lt;8000000,"3. 3-8 M","4. ≥ 8 M"))))</f>
        <v/>
      </c>
      <c r="V108" s="41"/>
      <c r="W108" s="41">
        <v>41500000</v>
      </c>
      <c r="X108" s="41">
        <v>8700000</v>
      </c>
      <c r="Y108" s="41">
        <v>69200</v>
      </c>
      <c r="Z108" s="41">
        <v>76200</v>
      </c>
      <c r="AA108" s="42">
        <f>(Donnees[[#This Row],[Likes]]+Donnees[[#This Row],[Commentaires]]+Donnees[[#This Row],[Partages]])/Donnees[[#This Row],[Vues]]</f>
        <v>0.21314216867469879</v>
      </c>
      <c r="AB108" s="40">
        <f>IF(Donnees[[#This Row],[Engagement]]&gt;=VLOOKUP(Donnees[[#This Row],[Échantillon]],'Méthode &amp; limites'!$B$9:$D$11,2,FALSE),1,0)</f>
        <v>0</v>
      </c>
      <c r="AC108" s="43" t="str">
        <f>IF(Donnees[[#This Row],[Abonnés]]="","",Donnees[[#This Row],[Vues]]/Donnees[[#This Row],[Abonnés]])</f>
        <v/>
      </c>
      <c r="AD108" s="40" t="s">
        <v>44</v>
      </c>
      <c r="AE108" s="43">
        <f>SUMPRODUCT((Donnees[Échantillon]=Donnees[[#This Row],[Échantillon]])*(Donnees[Engagement]&lt;Donnees[[#This Row],[Engagement]]))+(SUMPRODUCT((Donnees[Échantillon]=Donnees[[#This Row],[Échantillon]])*(Donnees[Engagement]=Donnees[[#This Row],[Engagement]]))+1)/2</f>
        <v>62</v>
      </c>
      <c r="AF108" s="43">
        <f>SUMPRODUCT((Donnees[Échantillon]=Donnees[[#This Row],[Échantillon]])*(Donnees[Vues]&lt;Donnees[[#This Row],[Vues]]))+(SUMPRODUCT((Donnees[Échantillon]=Donnees[[#This Row],[Échantillon]])*(Donnees[Vues]=Donnees[[#This Row],[Vues]]))+1)/2</f>
        <v>94</v>
      </c>
      <c r="AG108" s="43">
        <f>SUMPRODUCT((Donnees[Échantillon]=Donnees[[#This Row],[Échantillon]])*(Donnees[Durée (s)]&lt;Donnees[[#This Row],[Durée (s)]]))+(SUMPRODUCT((Donnees[Échantillon]=Donnees[[#This Row],[Échantillon]])*(Donnees[Durée (s)]=Donnees[[#This Row],[Durée (s)]]))+1)/2</f>
        <v>3</v>
      </c>
      <c r="AH108" s="43">
        <f>SUMPRODUCT((Donnees[Échantillon]=Donnees[[#This Row],[Échantillon]])*(Donnees[Nb hashtags]&lt;Donnees[[#This Row],[Nb hashtags]]))+(SUMPRODUCT((Donnees[Échantillon]=Donnees[[#This Row],[Échantillon]])*(Donnees[Nb hashtags]=Donnees[[#This Row],[Nb hashtags]]))+1)/2</f>
        <v>45.5</v>
      </c>
      <c r="AI108" s="43">
        <f>SUMPRODUCT((Donnees[Échantillon]=Donnees[[#This Row],[Échantillon]])*(Donnees[Longueur du texte]&lt;Donnees[[#This Row],[Longueur du texte]]))+(SUMPRODUCT((Donnees[Échantillon]=Donnees[[#This Row],[Échantillon]])*(Donnees[Longueur du texte]=Donnees[[#This Row],[Longueur du texte]]))+1)/2</f>
        <v>88.5</v>
      </c>
      <c r="AJ108" s="43" t="str">
        <f>IF(Donnees[[#This Row],[Abonnés]]="","",SUMPRODUCT((Donnees[Échantillon]=Donnees[[#This Row],[Échantillon]])*(Donnees[Abonnés]&lt;Donnees[[#This Row],[Abonnés]]))+(SUMPRODUCT((Donnees[Échantillon]=Donnees[[#This Row],[Échantillon]])*(Donnees[Abonnés]=Donnees[[#This Row],[Abonnés]]))+1)/2)</f>
        <v/>
      </c>
      <c r="AK10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09" spans="1:37" x14ac:dyDescent="0.2">
      <c r="A109" s="40" t="s">
        <v>145</v>
      </c>
      <c r="B109" s="40" t="s">
        <v>60</v>
      </c>
      <c r="C109" s="40" t="s">
        <v>50</v>
      </c>
      <c r="D109" s="40">
        <v>11</v>
      </c>
      <c r="E109" s="40" t="s">
        <v>40</v>
      </c>
      <c r="F109" s="40" t="str">
        <f>IF(OR(Donnees[[#This Row],[Jour]]="samedi",Donnees[[#This Row],[Jour]]="dimanche"),"Oui","Non")</f>
        <v>Non</v>
      </c>
      <c r="G109" s="40">
        <v>16</v>
      </c>
      <c r="H109" s="40" t="str">
        <f>IF(Donnees[[#This Row],[Heure UTC]]&lt;6,"0-5 h",IF(Donnees[[#This Row],[Heure UTC]]&lt;12,"6-11 h",IF(Donnees[[#This Row],[Heure UTC]]&lt;18,"12-17 h","18-23 h")))</f>
        <v>12-17 h</v>
      </c>
      <c r="I109" s="40">
        <v>18</v>
      </c>
      <c r="J109" s="40" t="str">
        <f>IF(Donnees[[#This Row],[Durée (s)]]&lt;=10,"1. ≤ 10 s",IF(Donnees[[#This Row],[Durée (s)]]&lt;=15,"2. 11-15 s",IF(Donnees[[#This Row],[Durée (s)]]&lt;=30,"3. 16-30 s",IF(Donnees[[#This Row],[Durée (s)]]&lt;=60,"4. 31-60 s","5. &gt; 60 s"))))</f>
        <v>3. 16-30 s</v>
      </c>
      <c r="K109" s="40" t="str">
        <f>IF(Donnees[[#This Row],[Durée (s)]]&gt;15,"Oui","Non")</f>
        <v>Oui</v>
      </c>
      <c r="L109" s="40">
        <v>1</v>
      </c>
      <c r="M109" s="40" t="s">
        <v>41</v>
      </c>
      <c r="N109" s="40">
        <v>125</v>
      </c>
      <c r="O109" s="40" t="s">
        <v>41</v>
      </c>
      <c r="P109" s="40" t="s">
        <v>41</v>
      </c>
      <c r="Q109" s="40" t="s">
        <v>41</v>
      </c>
      <c r="R109" s="40"/>
      <c r="S109" s="40"/>
      <c r="T109" s="41"/>
      <c r="U109" s="40" t="str">
        <f>IF(Donnees[[#This Row],[Abonnés]]="","",IF(Donnees[[#This Row],[Abonnés]]&lt;1000000,"1. &lt; 1 M",IF(Donnees[[#This Row],[Abonnés]]&lt;3000000,"2. 1-3 M",IF(Donnees[[#This Row],[Abonnés]]&lt;8000000,"3. 3-8 M","4. ≥ 8 M"))))</f>
        <v/>
      </c>
      <c r="V109" s="41"/>
      <c r="W109" s="41">
        <v>38900000</v>
      </c>
      <c r="X109" s="41">
        <v>5500000</v>
      </c>
      <c r="Y109" s="41">
        <v>153700</v>
      </c>
      <c r="Z109" s="41">
        <v>19000</v>
      </c>
      <c r="AA109" s="42">
        <f>(Donnees[[#This Row],[Likes]]+Donnees[[#This Row],[Commentaires]]+Donnees[[#This Row],[Partages]])/Donnees[[#This Row],[Vues]]</f>
        <v>0.14582776349614396</v>
      </c>
      <c r="AB109" s="40">
        <f>IF(Donnees[[#This Row],[Engagement]]&gt;=VLOOKUP(Donnees[[#This Row],[Échantillon]],'Méthode &amp; limites'!$B$9:$D$11,2,FALSE),1,0)</f>
        <v>0</v>
      </c>
      <c r="AC109" s="43" t="str">
        <f>IF(Donnees[[#This Row],[Abonnés]]="","",Donnees[[#This Row],[Vues]]/Donnees[[#This Row],[Abonnés]])</f>
        <v/>
      </c>
      <c r="AD109" s="40" t="s">
        <v>44</v>
      </c>
      <c r="AE109" s="43">
        <f>SUMPRODUCT((Donnees[Échantillon]=Donnees[[#This Row],[Échantillon]])*(Donnees[Engagement]&lt;Donnees[[#This Row],[Engagement]]))+(SUMPRODUCT((Donnees[Échantillon]=Donnees[[#This Row],[Échantillon]])*(Donnees[Engagement]=Donnees[[#This Row],[Engagement]]))+1)/2</f>
        <v>33</v>
      </c>
      <c r="AF109" s="43">
        <f>SUMPRODUCT((Donnees[Échantillon]=Donnees[[#This Row],[Échantillon]])*(Donnees[Vues]&lt;Donnees[[#This Row],[Vues]]))+(SUMPRODUCT((Donnees[Échantillon]=Donnees[[#This Row],[Échantillon]])*(Donnees[Vues]=Donnees[[#This Row],[Vues]]))+1)/2</f>
        <v>93</v>
      </c>
      <c r="AG109" s="43">
        <f>SUMPRODUCT((Donnees[Échantillon]=Donnees[[#This Row],[Échantillon]])*(Donnees[Durée (s)]&lt;Donnees[[#This Row],[Durée (s)]]))+(SUMPRODUCT((Donnees[Échantillon]=Donnees[[#This Row],[Échantillon]])*(Donnees[Durée (s)]=Donnees[[#This Row],[Durée (s)]]))+1)/2</f>
        <v>56</v>
      </c>
      <c r="AH109" s="43">
        <f>SUMPRODUCT((Donnees[Échantillon]=Donnees[[#This Row],[Échantillon]])*(Donnees[Nb hashtags]&lt;Donnees[[#This Row],[Nb hashtags]]))+(SUMPRODUCT((Donnees[Échantillon]=Donnees[[#This Row],[Échantillon]])*(Donnees[Nb hashtags]=Donnees[[#This Row],[Nb hashtags]]))+1)/2</f>
        <v>45.5</v>
      </c>
      <c r="AI109" s="43">
        <f>SUMPRODUCT((Donnees[Échantillon]=Donnees[[#This Row],[Échantillon]])*(Donnees[Longueur du texte]&lt;Donnees[[#This Row],[Longueur du texte]]))+(SUMPRODUCT((Donnees[Échantillon]=Donnees[[#This Row],[Échantillon]])*(Donnees[Longueur du texte]=Donnees[[#This Row],[Longueur du texte]]))+1)/2</f>
        <v>98</v>
      </c>
      <c r="AJ109" s="43" t="str">
        <f>IF(Donnees[[#This Row],[Abonnés]]="","",SUMPRODUCT((Donnees[Échantillon]=Donnees[[#This Row],[Échantillon]])*(Donnees[Abonnés]&lt;Donnees[[#This Row],[Abonnés]]))+(SUMPRODUCT((Donnees[Échantillon]=Donnees[[#This Row],[Échantillon]])*(Donnees[Abonnés]=Donnees[[#This Row],[Abonnés]]))+1)/2)</f>
        <v/>
      </c>
      <c r="AK10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10" spans="1:37" x14ac:dyDescent="0.2">
      <c r="A110" s="40" t="s">
        <v>145</v>
      </c>
      <c r="B110" s="40" t="s">
        <v>152</v>
      </c>
      <c r="C110" s="40" t="s">
        <v>39</v>
      </c>
      <c r="D110" s="40">
        <v>61</v>
      </c>
      <c r="E110" s="40" t="s">
        <v>71</v>
      </c>
      <c r="F110" s="40" t="str">
        <f>IF(OR(Donnees[[#This Row],[Jour]]="samedi",Donnees[[#This Row],[Jour]]="dimanche"),"Oui","Non")</f>
        <v>Non</v>
      </c>
      <c r="G110" s="40">
        <v>18</v>
      </c>
      <c r="H110" s="40" t="str">
        <f>IF(Donnees[[#This Row],[Heure UTC]]&lt;6,"0-5 h",IF(Donnees[[#This Row],[Heure UTC]]&lt;12,"6-11 h",IF(Donnees[[#This Row],[Heure UTC]]&lt;18,"12-17 h","18-23 h")))</f>
        <v>18-23 h</v>
      </c>
      <c r="I110" s="40">
        <v>27</v>
      </c>
      <c r="J110" s="40" t="str">
        <f>IF(Donnees[[#This Row],[Durée (s)]]&lt;=10,"1. ≤ 10 s",IF(Donnees[[#This Row],[Durée (s)]]&lt;=15,"2. 11-15 s",IF(Donnees[[#This Row],[Durée (s)]]&lt;=30,"3. 16-30 s",IF(Donnees[[#This Row],[Durée (s)]]&lt;=60,"4. 31-60 s","5. &gt; 60 s"))))</f>
        <v>3. 16-30 s</v>
      </c>
      <c r="K110" s="40" t="str">
        <f>IF(Donnees[[#This Row],[Durée (s)]]&gt;15,"Oui","Non")</f>
        <v>Oui</v>
      </c>
      <c r="L110" s="40">
        <v>0</v>
      </c>
      <c r="M110" s="40" t="s">
        <v>41</v>
      </c>
      <c r="N110" s="40">
        <v>0</v>
      </c>
      <c r="O110" s="40" t="s">
        <v>44</v>
      </c>
      <c r="P110" s="40" t="s">
        <v>41</v>
      </c>
      <c r="Q110" s="40" t="s">
        <v>41</v>
      </c>
      <c r="R110" s="40"/>
      <c r="S110" s="40"/>
      <c r="T110" s="41"/>
      <c r="U110" s="40" t="str">
        <f>IF(Donnees[[#This Row],[Abonnés]]="","",IF(Donnees[[#This Row],[Abonnés]]&lt;1000000,"1. &lt; 1 M",IF(Donnees[[#This Row],[Abonnés]]&lt;3000000,"2. 1-3 M",IF(Donnees[[#This Row],[Abonnés]]&lt;8000000,"3. 3-8 M","4. ≥ 8 M"))))</f>
        <v/>
      </c>
      <c r="V110" s="41"/>
      <c r="W110" s="41">
        <v>33000000</v>
      </c>
      <c r="X110" s="41">
        <v>6600000</v>
      </c>
      <c r="Y110" s="41">
        <v>152200</v>
      </c>
      <c r="Z110" s="41">
        <v>272500</v>
      </c>
      <c r="AA110" s="42">
        <f>(Donnees[[#This Row],[Likes]]+Donnees[[#This Row],[Commentaires]]+Donnees[[#This Row],[Partages]])/Donnees[[#This Row],[Vues]]</f>
        <v>0.21286969696969696</v>
      </c>
      <c r="AB110" s="40">
        <f>IF(Donnees[[#This Row],[Engagement]]&gt;=VLOOKUP(Donnees[[#This Row],[Échantillon]],'Méthode &amp; limites'!$B$9:$D$11,2,FALSE),1,0)</f>
        <v>0</v>
      </c>
      <c r="AC110" s="43" t="str">
        <f>IF(Donnees[[#This Row],[Abonnés]]="","",Donnees[[#This Row],[Vues]]/Donnees[[#This Row],[Abonnés]])</f>
        <v/>
      </c>
      <c r="AD110" s="40" t="s">
        <v>44</v>
      </c>
      <c r="AE110" s="43">
        <f>SUMPRODUCT((Donnees[Échantillon]=Donnees[[#This Row],[Échantillon]])*(Donnees[Engagement]&lt;Donnees[[#This Row],[Engagement]]))+(SUMPRODUCT((Donnees[Échantillon]=Donnees[[#This Row],[Échantillon]])*(Donnees[Engagement]=Donnees[[#This Row],[Engagement]]))+1)/2</f>
        <v>61</v>
      </c>
      <c r="AF110" s="43">
        <f>SUMPRODUCT((Donnees[Échantillon]=Donnees[[#This Row],[Échantillon]])*(Donnees[Vues]&lt;Donnees[[#This Row],[Vues]]))+(SUMPRODUCT((Donnees[Échantillon]=Donnees[[#This Row],[Échantillon]])*(Donnees[Vues]=Donnees[[#This Row],[Vues]]))+1)/2</f>
        <v>92</v>
      </c>
      <c r="AG110" s="43">
        <f>SUMPRODUCT((Donnees[Échantillon]=Donnees[[#This Row],[Échantillon]])*(Donnees[Durée (s)]&lt;Donnees[[#This Row],[Durée (s)]]))+(SUMPRODUCT((Donnees[Échantillon]=Donnees[[#This Row],[Échantillon]])*(Donnees[Durée (s)]=Donnees[[#This Row],[Durée (s)]]))+1)/2</f>
        <v>70.5</v>
      </c>
      <c r="AH110" s="43">
        <f>SUMPRODUCT((Donnees[Échantillon]=Donnees[[#This Row],[Échantillon]])*(Donnees[Nb hashtags]&lt;Donnees[[#This Row],[Nb hashtags]]))+(SUMPRODUCT((Donnees[Échantillon]=Donnees[[#This Row],[Échantillon]])*(Donnees[Nb hashtags]=Donnees[[#This Row],[Nb hashtags]]))+1)/2</f>
        <v>18.5</v>
      </c>
      <c r="AI110" s="43">
        <f>SUMPRODUCT((Donnees[Échantillon]=Donnees[[#This Row],[Échantillon]])*(Donnees[Longueur du texte]&lt;Donnees[[#This Row],[Longueur du texte]]))+(SUMPRODUCT((Donnees[Échantillon]=Donnees[[#This Row],[Échantillon]])*(Donnees[Longueur du texte]=Donnees[[#This Row],[Longueur du texte]]))+1)/2</f>
        <v>6</v>
      </c>
      <c r="AJ110" s="43" t="str">
        <f>IF(Donnees[[#This Row],[Abonnés]]="","",SUMPRODUCT((Donnees[Échantillon]=Donnees[[#This Row],[Échantillon]])*(Donnees[Abonnés]&lt;Donnees[[#This Row],[Abonnés]]))+(SUMPRODUCT((Donnees[Échantillon]=Donnees[[#This Row],[Échantillon]])*(Donnees[Abonnés]=Donnees[[#This Row],[Abonnés]]))+1)/2)</f>
        <v/>
      </c>
      <c r="AK11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11" spans="1:37" x14ac:dyDescent="0.2">
      <c r="A111" s="40" t="s">
        <v>145</v>
      </c>
      <c r="B111" s="40" t="s">
        <v>153</v>
      </c>
      <c r="C111" s="40" t="s">
        <v>39</v>
      </c>
      <c r="D111" s="40">
        <v>23</v>
      </c>
      <c r="E111" s="40" t="s">
        <v>47</v>
      </c>
      <c r="F111" s="40" t="str">
        <f>IF(OR(Donnees[[#This Row],[Jour]]="samedi",Donnees[[#This Row],[Jour]]="dimanche"),"Oui","Non")</f>
        <v>Non</v>
      </c>
      <c r="G111" s="40">
        <v>4</v>
      </c>
      <c r="H111" s="40" t="str">
        <f>IF(Donnees[[#This Row],[Heure UTC]]&lt;6,"0-5 h",IF(Donnees[[#This Row],[Heure UTC]]&lt;12,"6-11 h",IF(Donnees[[#This Row],[Heure UTC]]&lt;18,"12-17 h","18-23 h")))</f>
        <v>0-5 h</v>
      </c>
      <c r="I111" s="40">
        <v>129</v>
      </c>
      <c r="J111" s="40" t="str">
        <f>IF(Donnees[[#This Row],[Durée (s)]]&lt;=10,"1. ≤ 10 s",IF(Donnees[[#This Row],[Durée (s)]]&lt;=15,"2. 11-15 s",IF(Donnees[[#This Row],[Durée (s)]]&lt;=30,"3. 16-30 s",IF(Donnees[[#This Row],[Durée (s)]]&lt;=60,"4. 31-60 s","5. &gt; 60 s"))))</f>
        <v>5. &gt; 60 s</v>
      </c>
      <c r="K111" s="40" t="str">
        <f>IF(Donnees[[#This Row],[Durée (s)]]&gt;15,"Oui","Non")</f>
        <v>Oui</v>
      </c>
      <c r="L111" s="40">
        <v>6</v>
      </c>
      <c r="M111" s="40" t="s">
        <v>44</v>
      </c>
      <c r="N111" s="40">
        <v>28</v>
      </c>
      <c r="O111" s="40" t="s">
        <v>41</v>
      </c>
      <c r="P111" s="40" t="s">
        <v>41</v>
      </c>
      <c r="Q111" s="40" t="s">
        <v>41</v>
      </c>
      <c r="R111" s="40"/>
      <c r="S111" s="40"/>
      <c r="T111" s="41"/>
      <c r="U111" s="40" t="str">
        <f>IF(Donnees[[#This Row],[Abonnés]]="","",IF(Donnees[[#This Row],[Abonnés]]&lt;1000000,"1. &lt; 1 M",IF(Donnees[[#This Row],[Abonnés]]&lt;3000000,"2. 1-3 M",IF(Donnees[[#This Row],[Abonnés]]&lt;8000000,"3. 3-8 M","4. ≥ 8 M"))))</f>
        <v/>
      </c>
      <c r="V111" s="41"/>
      <c r="W111" s="41">
        <v>29800000</v>
      </c>
      <c r="X111" s="41">
        <v>5000000</v>
      </c>
      <c r="Y111" s="41">
        <v>31900</v>
      </c>
      <c r="Z111" s="41">
        <v>14700</v>
      </c>
      <c r="AA111" s="42">
        <f>(Donnees[[#This Row],[Likes]]+Donnees[[#This Row],[Commentaires]]+Donnees[[#This Row],[Partages]])/Donnees[[#This Row],[Vues]]</f>
        <v>0.1693489932885906</v>
      </c>
      <c r="AB111" s="40">
        <f>IF(Donnees[[#This Row],[Engagement]]&gt;=VLOOKUP(Donnees[[#This Row],[Échantillon]],'Méthode &amp; limites'!$B$9:$D$11,2,FALSE),1,0)</f>
        <v>0</v>
      </c>
      <c r="AC111" s="43" t="str">
        <f>IF(Donnees[[#This Row],[Abonnés]]="","",Donnees[[#This Row],[Vues]]/Donnees[[#This Row],[Abonnés]])</f>
        <v/>
      </c>
      <c r="AD111" s="40" t="s">
        <v>44</v>
      </c>
      <c r="AE111" s="43">
        <f>SUMPRODUCT((Donnees[Échantillon]=Donnees[[#This Row],[Échantillon]])*(Donnees[Engagement]&lt;Donnees[[#This Row],[Engagement]]))+(SUMPRODUCT((Donnees[Échantillon]=Donnees[[#This Row],[Échantillon]])*(Donnees[Engagement]=Donnees[[#This Row],[Engagement]]))+1)/2</f>
        <v>45</v>
      </c>
      <c r="AF111" s="43">
        <f>SUMPRODUCT((Donnees[Échantillon]=Donnees[[#This Row],[Échantillon]])*(Donnees[Vues]&lt;Donnees[[#This Row],[Vues]]))+(SUMPRODUCT((Donnees[Échantillon]=Donnees[[#This Row],[Échantillon]])*(Donnees[Vues]=Donnees[[#This Row],[Vues]]))+1)/2</f>
        <v>91</v>
      </c>
      <c r="AG111" s="43">
        <f>SUMPRODUCT((Donnees[Échantillon]=Donnees[[#This Row],[Échantillon]])*(Donnees[Durée (s)]&lt;Donnees[[#This Row],[Durée (s)]]))+(SUMPRODUCT((Donnees[Échantillon]=Donnees[[#This Row],[Échantillon]])*(Donnees[Durée (s)]=Donnees[[#This Row],[Durée (s)]]))+1)/2</f>
        <v>99.5</v>
      </c>
      <c r="AH111" s="43">
        <f>SUMPRODUCT((Donnees[Échantillon]=Donnees[[#This Row],[Échantillon]])*(Donnees[Nb hashtags]&lt;Donnees[[#This Row],[Nb hashtags]]))+(SUMPRODUCT((Donnees[Échantillon]=Donnees[[#This Row],[Échantillon]])*(Donnees[Nb hashtags]=Donnees[[#This Row],[Nb hashtags]]))+1)/2</f>
        <v>94.5</v>
      </c>
      <c r="AI111" s="43">
        <f>SUMPRODUCT((Donnees[Échantillon]=Donnees[[#This Row],[Échantillon]])*(Donnees[Longueur du texte]&lt;Donnees[[#This Row],[Longueur du texte]]))+(SUMPRODUCT((Donnees[Échantillon]=Donnees[[#This Row],[Échantillon]])*(Donnees[Longueur du texte]=Donnees[[#This Row],[Longueur du texte]]))+1)/2</f>
        <v>45</v>
      </c>
      <c r="AJ111" s="43" t="str">
        <f>IF(Donnees[[#This Row],[Abonnés]]="","",SUMPRODUCT((Donnees[Échantillon]=Donnees[[#This Row],[Échantillon]])*(Donnees[Abonnés]&lt;Donnees[[#This Row],[Abonnés]]))+(SUMPRODUCT((Donnees[Échantillon]=Donnees[[#This Row],[Échantillon]])*(Donnees[Abonnés]=Donnees[[#This Row],[Abonnés]]))+1)/2)</f>
        <v/>
      </c>
      <c r="AK11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12" spans="1:37" x14ac:dyDescent="0.2">
      <c r="A112" s="40" t="s">
        <v>145</v>
      </c>
      <c r="B112" s="40" t="s">
        <v>154</v>
      </c>
      <c r="C112" s="40" t="s">
        <v>39</v>
      </c>
      <c r="D112" s="40">
        <v>30</v>
      </c>
      <c r="E112" s="40" t="s">
        <v>47</v>
      </c>
      <c r="F112" s="40" t="str">
        <f>IF(OR(Donnees[[#This Row],[Jour]]="samedi",Donnees[[#This Row],[Jour]]="dimanche"),"Oui","Non")</f>
        <v>Non</v>
      </c>
      <c r="G112" s="40">
        <v>22</v>
      </c>
      <c r="H112" s="40" t="str">
        <f>IF(Donnees[[#This Row],[Heure UTC]]&lt;6,"0-5 h",IF(Donnees[[#This Row],[Heure UTC]]&lt;12,"6-11 h",IF(Donnees[[#This Row],[Heure UTC]]&lt;18,"12-17 h","18-23 h")))</f>
        <v>18-23 h</v>
      </c>
      <c r="I112" s="40">
        <v>27</v>
      </c>
      <c r="J112" s="40" t="str">
        <f>IF(Donnees[[#This Row],[Durée (s)]]&lt;=10,"1. ≤ 10 s",IF(Donnees[[#This Row],[Durée (s)]]&lt;=15,"2. 11-15 s",IF(Donnees[[#This Row],[Durée (s)]]&lt;=30,"3. 16-30 s",IF(Donnees[[#This Row],[Durée (s)]]&lt;=60,"4. 31-60 s","5. &gt; 60 s"))))</f>
        <v>3. 16-30 s</v>
      </c>
      <c r="K112" s="40" t="str">
        <f>IF(Donnees[[#This Row],[Durée (s)]]&gt;15,"Oui","Non")</f>
        <v>Oui</v>
      </c>
      <c r="L112" s="40">
        <v>2</v>
      </c>
      <c r="M112" s="40" t="s">
        <v>41</v>
      </c>
      <c r="N112" s="40">
        <v>50</v>
      </c>
      <c r="O112" s="40" t="s">
        <v>41</v>
      </c>
      <c r="P112" s="40" t="s">
        <v>41</v>
      </c>
      <c r="Q112" s="40" t="s">
        <v>41</v>
      </c>
      <c r="R112" s="40"/>
      <c r="S112" s="40"/>
      <c r="T112" s="41"/>
      <c r="U112" s="40" t="str">
        <f>IF(Donnees[[#This Row],[Abonnés]]="","",IF(Donnees[[#This Row],[Abonnés]]&lt;1000000,"1. &lt; 1 M",IF(Donnees[[#This Row],[Abonnés]]&lt;3000000,"2. 1-3 M",IF(Donnees[[#This Row],[Abonnés]]&lt;8000000,"3. 3-8 M","4. ≥ 8 M"))))</f>
        <v/>
      </c>
      <c r="V112" s="41"/>
      <c r="W112" s="41">
        <v>27800000</v>
      </c>
      <c r="X112" s="41">
        <v>5000000</v>
      </c>
      <c r="Y112" s="41">
        <v>25000</v>
      </c>
      <c r="Z112" s="41">
        <v>21700</v>
      </c>
      <c r="AA112" s="42">
        <f>(Donnees[[#This Row],[Likes]]+Donnees[[#This Row],[Commentaires]]+Donnees[[#This Row],[Partages]])/Donnees[[#This Row],[Vues]]</f>
        <v>0.18153597122302159</v>
      </c>
      <c r="AB112" s="40">
        <f>IF(Donnees[[#This Row],[Engagement]]&gt;=VLOOKUP(Donnees[[#This Row],[Échantillon]],'Méthode &amp; limites'!$B$9:$D$11,2,FALSE),1,0)</f>
        <v>0</v>
      </c>
      <c r="AC112" s="43" t="str">
        <f>IF(Donnees[[#This Row],[Abonnés]]="","",Donnees[[#This Row],[Vues]]/Donnees[[#This Row],[Abonnés]])</f>
        <v/>
      </c>
      <c r="AD112" s="40" t="s">
        <v>44</v>
      </c>
      <c r="AE112" s="43">
        <f>SUMPRODUCT((Donnees[Échantillon]=Donnees[[#This Row],[Échantillon]])*(Donnees[Engagement]&lt;Donnees[[#This Row],[Engagement]]))+(SUMPRODUCT((Donnees[Échantillon]=Donnees[[#This Row],[Échantillon]])*(Donnees[Engagement]=Donnees[[#This Row],[Engagement]]))+1)/2</f>
        <v>50</v>
      </c>
      <c r="AF112" s="43">
        <f>SUMPRODUCT((Donnees[Échantillon]=Donnees[[#This Row],[Échantillon]])*(Donnees[Vues]&lt;Donnees[[#This Row],[Vues]]))+(SUMPRODUCT((Donnees[Échantillon]=Donnees[[#This Row],[Échantillon]])*(Donnees[Vues]=Donnees[[#This Row],[Vues]]))+1)/2</f>
        <v>90</v>
      </c>
      <c r="AG112" s="43">
        <f>SUMPRODUCT((Donnees[Échantillon]=Donnees[[#This Row],[Échantillon]])*(Donnees[Durée (s)]&lt;Donnees[[#This Row],[Durée (s)]]))+(SUMPRODUCT((Donnees[Échantillon]=Donnees[[#This Row],[Échantillon]])*(Donnees[Durée (s)]=Donnees[[#This Row],[Durée (s)]]))+1)/2</f>
        <v>70.5</v>
      </c>
      <c r="AH112" s="43">
        <f>SUMPRODUCT((Donnees[Échantillon]=Donnees[[#This Row],[Échantillon]])*(Donnees[Nb hashtags]&lt;Donnees[[#This Row],[Nb hashtags]]))+(SUMPRODUCT((Donnees[Échantillon]=Donnees[[#This Row],[Échantillon]])*(Donnees[Nb hashtags]=Donnees[[#This Row],[Nb hashtags]]))+1)/2</f>
        <v>61</v>
      </c>
      <c r="AI112" s="43">
        <f>SUMPRODUCT((Donnees[Échantillon]=Donnees[[#This Row],[Échantillon]])*(Donnees[Longueur du texte]&lt;Donnees[[#This Row],[Longueur du texte]]))+(SUMPRODUCT((Donnees[Échantillon]=Donnees[[#This Row],[Échantillon]])*(Donnees[Longueur du texte]=Donnees[[#This Row],[Longueur du texte]]))+1)/2</f>
        <v>69</v>
      </c>
      <c r="AJ112" s="43" t="str">
        <f>IF(Donnees[[#This Row],[Abonnés]]="","",SUMPRODUCT((Donnees[Échantillon]=Donnees[[#This Row],[Échantillon]])*(Donnees[Abonnés]&lt;Donnees[[#This Row],[Abonnés]]))+(SUMPRODUCT((Donnees[Échantillon]=Donnees[[#This Row],[Échantillon]])*(Donnees[Abonnés]=Donnees[[#This Row],[Abonnés]]))+1)/2)</f>
        <v/>
      </c>
      <c r="AK11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13" spans="1:37" x14ac:dyDescent="0.2">
      <c r="A113" s="40" t="s">
        <v>145</v>
      </c>
      <c r="B113" s="40" t="s">
        <v>155</v>
      </c>
      <c r="C113" s="40" t="s">
        <v>62</v>
      </c>
      <c r="D113" s="40">
        <v>6</v>
      </c>
      <c r="E113" s="40" t="s">
        <v>56</v>
      </c>
      <c r="F113" s="40" t="str">
        <f>IF(OR(Donnees[[#This Row],[Jour]]="samedi",Donnees[[#This Row],[Jour]]="dimanche"),"Oui","Non")</f>
        <v>Oui</v>
      </c>
      <c r="G113" s="40">
        <v>17</v>
      </c>
      <c r="H113" s="40" t="str">
        <f>IF(Donnees[[#This Row],[Heure UTC]]&lt;6,"0-5 h",IF(Donnees[[#This Row],[Heure UTC]]&lt;12,"6-11 h",IF(Donnees[[#This Row],[Heure UTC]]&lt;18,"12-17 h","18-23 h")))</f>
        <v>12-17 h</v>
      </c>
      <c r="I113" s="40">
        <v>23</v>
      </c>
      <c r="J113" s="40" t="str">
        <f>IF(Donnees[[#This Row],[Durée (s)]]&lt;=10,"1. ≤ 10 s",IF(Donnees[[#This Row],[Durée (s)]]&lt;=15,"2. 11-15 s",IF(Donnees[[#This Row],[Durée (s)]]&lt;=30,"3. 16-30 s",IF(Donnees[[#This Row],[Durée (s)]]&lt;=60,"4. 31-60 s","5. &gt; 60 s"))))</f>
        <v>3. 16-30 s</v>
      </c>
      <c r="K113" s="40" t="str">
        <f>IF(Donnees[[#This Row],[Durée (s)]]&gt;15,"Oui","Non")</f>
        <v>Oui</v>
      </c>
      <c r="L113" s="40">
        <v>4</v>
      </c>
      <c r="M113" s="40" t="s">
        <v>44</v>
      </c>
      <c r="N113" s="40">
        <v>19</v>
      </c>
      <c r="O113" s="40" t="s">
        <v>41</v>
      </c>
      <c r="P113" s="40" t="s">
        <v>41</v>
      </c>
      <c r="Q113" s="40" t="s">
        <v>41</v>
      </c>
      <c r="R113" s="40"/>
      <c r="S113" s="40"/>
      <c r="T113" s="41"/>
      <c r="U113" s="40" t="str">
        <f>IF(Donnees[[#This Row],[Abonnés]]="","",IF(Donnees[[#This Row],[Abonnés]]&lt;1000000,"1. &lt; 1 M",IF(Donnees[[#This Row],[Abonnés]]&lt;3000000,"2. 1-3 M",IF(Donnees[[#This Row],[Abonnés]]&lt;8000000,"3. 3-8 M","4. ≥ 8 M"))))</f>
        <v/>
      </c>
      <c r="V113" s="41"/>
      <c r="W113" s="41">
        <v>27000000</v>
      </c>
      <c r="X113" s="41">
        <v>6600000</v>
      </c>
      <c r="Y113" s="41">
        <v>58700</v>
      </c>
      <c r="Z113" s="41">
        <v>110800</v>
      </c>
      <c r="AA113" s="42">
        <f>(Donnees[[#This Row],[Likes]]+Donnees[[#This Row],[Commentaires]]+Donnees[[#This Row],[Partages]])/Donnees[[#This Row],[Vues]]</f>
        <v>0.25072222222222224</v>
      </c>
      <c r="AB113" s="40">
        <f>IF(Donnees[[#This Row],[Engagement]]&gt;=VLOOKUP(Donnees[[#This Row],[Échantillon]],'Méthode &amp; limites'!$B$9:$D$11,2,FALSE),1,0)</f>
        <v>1</v>
      </c>
      <c r="AC113" s="43" t="str">
        <f>IF(Donnees[[#This Row],[Abonnés]]="","",Donnees[[#This Row],[Vues]]/Donnees[[#This Row],[Abonnés]])</f>
        <v/>
      </c>
      <c r="AD113" s="40" t="s">
        <v>44</v>
      </c>
      <c r="AE113" s="43">
        <f>SUMPRODUCT((Donnees[Échantillon]=Donnees[[#This Row],[Échantillon]])*(Donnees[Engagement]&lt;Donnees[[#This Row],[Engagement]]))+(SUMPRODUCT((Donnees[Échantillon]=Donnees[[#This Row],[Échantillon]])*(Donnees[Engagement]=Donnees[[#This Row],[Engagement]]))+1)/2</f>
        <v>79</v>
      </c>
      <c r="AF113" s="43">
        <f>SUMPRODUCT((Donnees[Échantillon]=Donnees[[#This Row],[Échantillon]])*(Donnees[Vues]&lt;Donnees[[#This Row],[Vues]]))+(SUMPRODUCT((Donnees[Échantillon]=Donnees[[#This Row],[Échantillon]])*(Donnees[Vues]=Donnees[[#This Row],[Vues]]))+1)/2</f>
        <v>89</v>
      </c>
      <c r="AG113" s="43">
        <f>SUMPRODUCT((Donnees[Échantillon]=Donnees[[#This Row],[Échantillon]])*(Donnees[Durée (s)]&lt;Donnees[[#This Row],[Durée (s)]]))+(SUMPRODUCT((Donnees[Échantillon]=Donnees[[#This Row],[Échantillon]])*(Donnees[Durée (s)]=Donnees[[#This Row],[Durée (s)]]))+1)/2</f>
        <v>62.5</v>
      </c>
      <c r="AH113" s="43">
        <f>SUMPRODUCT((Donnees[Échantillon]=Donnees[[#This Row],[Échantillon]])*(Donnees[Nb hashtags]&lt;Donnees[[#This Row],[Nb hashtags]]))+(SUMPRODUCT((Donnees[Échantillon]=Donnees[[#This Row],[Échantillon]])*(Donnees[Nb hashtags]=Donnees[[#This Row],[Nb hashtags]]))+1)/2</f>
        <v>84.5</v>
      </c>
      <c r="AI113" s="43">
        <f>SUMPRODUCT((Donnees[Échantillon]=Donnees[[#This Row],[Échantillon]])*(Donnees[Longueur du texte]&lt;Donnees[[#This Row],[Longueur du texte]]))+(SUMPRODUCT((Donnees[Échantillon]=Donnees[[#This Row],[Échantillon]])*(Donnees[Longueur du texte]=Donnees[[#This Row],[Longueur du texte]]))+1)/2</f>
        <v>29.5</v>
      </c>
      <c r="AJ113" s="43" t="str">
        <f>IF(Donnees[[#This Row],[Abonnés]]="","",SUMPRODUCT((Donnees[Échantillon]=Donnees[[#This Row],[Échantillon]])*(Donnees[Abonnés]&lt;Donnees[[#This Row],[Abonnés]]))+(SUMPRODUCT((Donnees[Échantillon]=Donnees[[#This Row],[Échantillon]])*(Donnees[Abonnés]=Donnees[[#This Row],[Abonnés]]))+1)/2)</f>
        <v/>
      </c>
      <c r="AK11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14" spans="1:37" x14ac:dyDescent="0.2">
      <c r="A114" s="40" t="s">
        <v>145</v>
      </c>
      <c r="B114" s="40" t="s">
        <v>156</v>
      </c>
      <c r="C114" s="40" t="s">
        <v>39</v>
      </c>
      <c r="D114" s="40">
        <v>38</v>
      </c>
      <c r="E114" s="40" t="s">
        <v>59</v>
      </c>
      <c r="F114" s="40" t="str">
        <f>IF(OR(Donnees[[#This Row],[Jour]]="samedi",Donnees[[#This Row],[Jour]]="dimanche"),"Oui","Non")</f>
        <v>Non</v>
      </c>
      <c r="G114" s="40">
        <v>2</v>
      </c>
      <c r="H114" s="40" t="str">
        <f>IF(Donnees[[#This Row],[Heure UTC]]&lt;6,"0-5 h",IF(Donnees[[#This Row],[Heure UTC]]&lt;12,"6-11 h",IF(Donnees[[#This Row],[Heure UTC]]&lt;18,"12-17 h","18-23 h")))</f>
        <v>0-5 h</v>
      </c>
      <c r="I114" s="40">
        <v>41</v>
      </c>
      <c r="J114" s="40" t="str">
        <f>IF(Donnees[[#This Row],[Durée (s)]]&lt;=10,"1. ≤ 10 s",IF(Donnees[[#This Row],[Durée (s)]]&lt;=15,"2. 11-15 s",IF(Donnees[[#This Row],[Durée (s)]]&lt;=30,"3. 16-30 s",IF(Donnees[[#This Row],[Durée (s)]]&lt;=60,"4. 31-60 s","5. &gt; 60 s"))))</f>
        <v>4. 31-60 s</v>
      </c>
      <c r="K114" s="40" t="str">
        <f>IF(Donnees[[#This Row],[Durée (s)]]&gt;15,"Oui","Non")</f>
        <v>Oui</v>
      </c>
      <c r="L114" s="40">
        <v>16</v>
      </c>
      <c r="M114" s="40" t="s">
        <v>41</v>
      </c>
      <c r="N114" s="40">
        <v>9</v>
      </c>
      <c r="O114" s="40" t="s">
        <v>41</v>
      </c>
      <c r="P114" s="40" t="s">
        <v>41</v>
      </c>
      <c r="Q114" s="40" t="s">
        <v>44</v>
      </c>
      <c r="R114" s="40"/>
      <c r="S114" s="40"/>
      <c r="T114" s="41"/>
      <c r="U114" s="40" t="str">
        <f>IF(Donnees[[#This Row],[Abonnés]]="","",IF(Donnees[[#This Row],[Abonnés]]&lt;1000000,"1. &lt; 1 M",IF(Donnees[[#This Row],[Abonnés]]&lt;3000000,"2. 1-3 M",IF(Donnees[[#This Row],[Abonnés]]&lt;8000000,"3. 3-8 M","4. ≥ 8 M"))))</f>
        <v/>
      </c>
      <c r="V114" s="41"/>
      <c r="W114" s="41">
        <v>26000000</v>
      </c>
      <c r="X114" s="41">
        <v>3200000</v>
      </c>
      <c r="Y114" s="41">
        <v>40900</v>
      </c>
      <c r="Z114" s="41">
        <v>146900</v>
      </c>
      <c r="AA114" s="42">
        <f>(Donnees[[#This Row],[Likes]]+Donnees[[#This Row],[Commentaires]]+Donnees[[#This Row],[Partages]])/Donnees[[#This Row],[Vues]]</f>
        <v>0.1303</v>
      </c>
      <c r="AB114" s="40">
        <f>IF(Donnees[[#This Row],[Engagement]]&gt;=VLOOKUP(Donnees[[#This Row],[Échantillon]],'Méthode &amp; limites'!$B$9:$D$11,2,FALSE),1,0)</f>
        <v>0</v>
      </c>
      <c r="AC114" s="43" t="str">
        <f>IF(Donnees[[#This Row],[Abonnés]]="","",Donnees[[#This Row],[Vues]]/Donnees[[#This Row],[Abonnés]])</f>
        <v/>
      </c>
      <c r="AD114" s="40" t="s">
        <v>44</v>
      </c>
      <c r="AE114" s="43">
        <f>SUMPRODUCT((Donnees[Échantillon]=Donnees[[#This Row],[Échantillon]])*(Donnees[Engagement]&lt;Donnees[[#This Row],[Engagement]]))+(SUMPRODUCT((Donnees[Échantillon]=Donnees[[#This Row],[Échantillon]])*(Donnees[Engagement]=Donnees[[#This Row],[Engagement]]))+1)/2</f>
        <v>28</v>
      </c>
      <c r="AF114" s="43">
        <f>SUMPRODUCT((Donnees[Échantillon]=Donnees[[#This Row],[Échantillon]])*(Donnees[Vues]&lt;Donnees[[#This Row],[Vues]]))+(SUMPRODUCT((Donnees[Échantillon]=Donnees[[#This Row],[Échantillon]])*(Donnees[Vues]=Donnees[[#This Row],[Vues]]))+1)/2</f>
        <v>88</v>
      </c>
      <c r="AG114" s="43">
        <f>SUMPRODUCT((Donnees[Échantillon]=Donnees[[#This Row],[Échantillon]])*(Donnees[Durée (s)]&lt;Donnees[[#This Row],[Durée (s)]]))+(SUMPRODUCT((Donnees[Échantillon]=Donnees[[#This Row],[Échantillon]])*(Donnees[Durée (s)]=Donnees[[#This Row],[Durée (s)]]))+1)/2</f>
        <v>80</v>
      </c>
      <c r="AH114" s="43">
        <f>SUMPRODUCT((Donnees[Échantillon]=Donnees[[#This Row],[Échantillon]])*(Donnees[Nb hashtags]&lt;Donnees[[#This Row],[Nb hashtags]]))+(SUMPRODUCT((Donnees[Échantillon]=Donnees[[#This Row],[Échantillon]])*(Donnees[Nb hashtags]=Donnees[[#This Row],[Nb hashtags]]))+1)/2</f>
        <v>100</v>
      </c>
      <c r="AI114" s="43">
        <f>SUMPRODUCT((Donnees[Échantillon]=Donnees[[#This Row],[Échantillon]])*(Donnees[Longueur du texte]&lt;Donnees[[#This Row],[Longueur du texte]]))+(SUMPRODUCT((Donnees[Échantillon]=Donnees[[#This Row],[Échantillon]])*(Donnees[Longueur du texte]=Donnees[[#This Row],[Longueur du texte]]))+1)/2</f>
        <v>17.5</v>
      </c>
      <c r="AJ114" s="43" t="str">
        <f>IF(Donnees[[#This Row],[Abonnés]]="","",SUMPRODUCT((Donnees[Échantillon]=Donnees[[#This Row],[Échantillon]])*(Donnees[Abonnés]&lt;Donnees[[#This Row],[Abonnés]]))+(SUMPRODUCT((Donnees[Échantillon]=Donnees[[#This Row],[Échantillon]])*(Donnees[Abonnés]=Donnees[[#This Row],[Abonnés]]))+1)/2)</f>
        <v/>
      </c>
      <c r="AK11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15" spans="1:37" x14ac:dyDescent="0.2">
      <c r="A115" s="40" t="s">
        <v>145</v>
      </c>
      <c r="B115" s="40" t="s">
        <v>157</v>
      </c>
      <c r="C115" s="40" t="s">
        <v>39</v>
      </c>
      <c r="D115" s="40">
        <v>79</v>
      </c>
      <c r="E115" s="40" t="s">
        <v>47</v>
      </c>
      <c r="F115" s="40" t="str">
        <f>IF(OR(Donnees[[#This Row],[Jour]]="samedi",Donnees[[#This Row],[Jour]]="dimanche"),"Oui","Non")</f>
        <v>Non</v>
      </c>
      <c r="G115" s="40">
        <v>17</v>
      </c>
      <c r="H115" s="40" t="str">
        <f>IF(Donnees[[#This Row],[Heure UTC]]&lt;6,"0-5 h",IF(Donnees[[#This Row],[Heure UTC]]&lt;12,"6-11 h",IF(Donnees[[#This Row],[Heure UTC]]&lt;18,"12-17 h","18-23 h")))</f>
        <v>12-17 h</v>
      </c>
      <c r="I115" s="40">
        <v>12</v>
      </c>
      <c r="J115" s="40" t="str">
        <f>IF(Donnees[[#This Row],[Durée (s)]]&lt;=10,"1. ≤ 10 s",IF(Donnees[[#This Row],[Durée (s)]]&lt;=15,"2. 11-15 s",IF(Donnees[[#This Row],[Durée (s)]]&lt;=30,"3. 16-30 s",IF(Donnees[[#This Row],[Durée (s)]]&lt;=60,"4. 31-60 s","5. &gt; 60 s"))))</f>
        <v>2. 11-15 s</v>
      </c>
      <c r="K115" s="40" t="str">
        <f>IF(Donnees[[#This Row],[Durée (s)]]&gt;15,"Oui","Non")</f>
        <v>Non</v>
      </c>
      <c r="L115" s="40">
        <v>1</v>
      </c>
      <c r="M115" s="40" t="s">
        <v>41</v>
      </c>
      <c r="N115" s="40">
        <v>0</v>
      </c>
      <c r="O115" s="40" t="s">
        <v>41</v>
      </c>
      <c r="P115" s="40" t="s">
        <v>44</v>
      </c>
      <c r="Q115" s="40" t="s">
        <v>41</v>
      </c>
      <c r="R115" s="40"/>
      <c r="S115" s="40"/>
      <c r="T115" s="41"/>
      <c r="U115" s="40" t="str">
        <f>IF(Donnees[[#This Row],[Abonnés]]="","",IF(Donnees[[#This Row],[Abonnés]]&lt;1000000,"1. &lt; 1 M",IF(Donnees[[#This Row],[Abonnés]]&lt;3000000,"2. 1-3 M",IF(Donnees[[#This Row],[Abonnés]]&lt;8000000,"3. 3-8 M","4. ≥ 8 M"))))</f>
        <v/>
      </c>
      <c r="V115" s="41"/>
      <c r="W115" s="41">
        <v>25900000</v>
      </c>
      <c r="X115" s="41">
        <v>3500000</v>
      </c>
      <c r="Y115" s="41">
        <v>45000</v>
      </c>
      <c r="Z115" s="41">
        <v>28400</v>
      </c>
      <c r="AA115" s="42">
        <f>(Donnees[[#This Row],[Likes]]+Donnees[[#This Row],[Commentaires]]+Donnees[[#This Row],[Partages]])/Donnees[[#This Row],[Vues]]</f>
        <v>0.13796911196911196</v>
      </c>
      <c r="AB115" s="40">
        <f>IF(Donnees[[#This Row],[Engagement]]&gt;=VLOOKUP(Donnees[[#This Row],[Échantillon]],'Méthode &amp; limites'!$B$9:$D$11,2,FALSE),1,0)</f>
        <v>0</v>
      </c>
      <c r="AC115" s="43" t="str">
        <f>IF(Donnees[[#This Row],[Abonnés]]="","",Donnees[[#This Row],[Vues]]/Donnees[[#This Row],[Abonnés]])</f>
        <v/>
      </c>
      <c r="AD115" s="40" t="s">
        <v>44</v>
      </c>
      <c r="AE115" s="43">
        <f>SUMPRODUCT((Donnees[Échantillon]=Donnees[[#This Row],[Échantillon]])*(Donnees[Engagement]&lt;Donnees[[#This Row],[Engagement]]))+(SUMPRODUCT((Donnees[Échantillon]=Donnees[[#This Row],[Échantillon]])*(Donnees[Engagement]=Donnees[[#This Row],[Engagement]]))+1)/2</f>
        <v>31</v>
      </c>
      <c r="AF115" s="43">
        <f>SUMPRODUCT((Donnees[Échantillon]=Donnees[[#This Row],[Échantillon]])*(Donnees[Vues]&lt;Donnees[[#This Row],[Vues]]))+(SUMPRODUCT((Donnees[Échantillon]=Donnees[[#This Row],[Échantillon]])*(Donnees[Vues]=Donnees[[#This Row],[Vues]]))+1)/2</f>
        <v>87</v>
      </c>
      <c r="AG115" s="43">
        <f>SUMPRODUCT((Donnees[Échantillon]=Donnees[[#This Row],[Échantillon]])*(Donnees[Durée (s)]&lt;Donnees[[#This Row],[Durée (s)]]))+(SUMPRODUCT((Donnees[Échantillon]=Donnees[[#This Row],[Échantillon]])*(Donnees[Durée (s)]=Donnees[[#This Row],[Durée (s)]]))+1)/2</f>
        <v>23</v>
      </c>
      <c r="AH115" s="43">
        <f>SUMPRODUCT((Donnees[Échantillon]=Donnees[[#This Row],[Échantillon]])*(Donnees[Nb hashtags]&lt;Donnees[[#This Row],[Nb hashtags]]))+(SUMPRODUCT((Donnees[Échantillon]=Donnees[[#This Row],[Échantillon]])*(Donnees[Nb hashtags]=Donnees[[#This Row],[Nb hashtags]]))+1)/2</f>
        <v>45.5</v>
      </c>
      <c r="AI115" s="43">
        <f>SUMPRODUCT((Donnees[Échantillon]=Donnees[[#This Row],[Échantillon]])*(Donnees[Longueur du texte]&lt;Donnees[[#This Row],[Longueur du texte]]))+(SUMPRODUCT((Donnees[Échantillon]=Donnees[[#This Row],[Échantillon]])*(Donnees[Longueur du texte]=Donnees[[#This Row],[Longueur du texte]]))+1)/2</f>
        <v>6</v>
      </c>
      <c r="AJ115" s="43" t="str">
        <f>IF(Donnees[[#This Row],[Abonnés]]="","",SUMPRODUCT((Donnees[Échantillon]=Donnees[[#This Row],[Échantillon]])*(Donnees[Abonnés]&lt;Donnees[[#This Row],[Abonnés]]))+(SUMPRODUCT((Donnees[Échantillon]=Donnees[[#This Row],[Échantillon]])*(Donnees[Abonnés]=Donnees[[#This Row],[Abonnés]]))+1)/2)</f>
        <v/>
      </c>
      <c r="AK11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16" spans="1:37" x14ac:dyDescent="0.2">
      <c r="A116" s="40" t="s">
        <v>145</v>
      </c>
      <c r="B116" s="40" t="s">
        <v>158</v>
      </c>
      <c r="C116" s="40" t="s">
        <v>46</v>
      </c>
      <c r="D116" s="40">
        <v>89</v>
      </c>
      <c r="E116" s="40" t="s">
        <v>71</v>
      </c>
      <c r="F116" s="40" t="str">
        <f>IF(OR(Donnees[[#This Row],[Jour]]="samedi",Donnees[[#This Row],[Jour]]="dimanche"),"Oui","Non")</f>
        <v>Non</v>
      </c>
      <c r="G116" s="40">
        <v>11</v>
      </c>
      <c r="H116" s="40" t="str">
        <f>IF(Donnees[[#This Row],[Heure UTC]]&lt;6,"0-5 h",IF(Donnees[[#This Row],[Heure UTC]]&lt;12,"6-11 h",IF(Donnees[[#This Row],[Heure UTC]]&lt;18,"12-17 h","18-23 h")))</f>
        <v>6-11 h</v>
      </c>
      <c r="I116" s="40">
        <v>50</v>
      </c>
      <c r="J116" s="40" t="str">
        <f>IF(Donnees[[#This Row],[Durée (s)]]&lt;=10,"1. ≤ 10 s",IF(Donnees[[#This Row],[Durée (s)]]&lt;=15,"2. 11-15 s",IF(Donnees[[#This Row],[Durée (s)]]&lt;=30,"3. 16-30 s",IF(Donnees[[#This Row],[Durée (s)]]&lt;=60,"4. 31-60 s","5. &gt; 60 s"))))</f>
        <v>4. 31-60 s</v>
      </c>
      <c r="K116" s="40" t="str">
        <f>IF(Donnees[[#This Row],[Durée (s)]]&gt;15,"Oui","Non")</f>
        <v>Oui</v>
      </c>
      <c r="L116" s="40">
        <v>2</v>
      </c>
      <c r="M116" s="40" t="s">
        <v>41</v>
      </c>
      <c r="N116" s="40">
        <v>51</v>
      </c>
      <c r="O116" s="40" t="s">
        <v>41</v>
      </c>
      <c r="P116" s="40" t="s">
        <v>44</v>
      </c>
      <c r="Q116" s="40" t="s">
        <v>41</v>
      </c>
      <c r="R116" s="40"/>
      <c r="S116" s="40"/>
      <c r="T116" s="41"/>
      <c r="U116" s="40" t="str">
        <f>IF(Donnees[[#This Row],[Abonnés]]="","",IF(Donnees[[#This Row],[Abonnés]]&lt;1000000,"1. &lt; 1 M",IF(Donnees[[#This Row],[Abonnés]]&lt;3000000,"2. 1-3 M",IF(Donnees[[#This Row],[Abonnés]]&lt;8000000,"3. 3-8 M","4. ≥ 8 M"))))</f>
        <v/>
      </c>
      <c r="V116" s="41"/>
      <c r="W116" s="41">
        <v>25400000</v>
      </c>
      <c r="X116" s="41">
        <v>2000000</v>
      </c>
      <c r="Y116" s="41">
        <v>44500</v>
      </c>
      <c r="Z116" s="41">
        <v>7653</v>
      </c>
      <c r="AA116" s="42">
        <f>(Donnees[[#This Row],[Likes]]+Donnees[[#This Row],[Commentaires]]+Donnees[[#This Row],[Partages]])/Donnees[[#This Row],[Vues]]</f>
        <v>8.0793425196850399E-2</v>
      </c>
      <c r="AB116" s="40">
        <f>IF(Donnees[[#This Row],[Engagement]]&gt;=VLOOKUP(Donnees[[#This Row],[Échantillon]],'Méthode &amp; limites'!$B$9:$D$11,2,FALSE),1,0)</f>
        <v>0</v>
      </c>
      <c r="AC116" s="43" t="str">
        <f>IF(Donnees[[#This Row],[Abonnés]]="","",Donnees[[#This Row],[Vues]]/Donnees[[#This Row],[Abonnés]])</f>
        <v/>
      </c>
      <c r="AD116" s="40" t="s">
        <v>44</v>
      </c>
      <c r="AE116" s="43">
        <f>SUMPRODUCT((Donnees[Échantillon]=Donnees[[#This Row],[Échantillon]])*(Donnees[Engagement]&lt;Donnees[[#This Row],[Engagement]]))+(SUMPRODUCT((Donnees[Échantillon]=Donnees[[#This Row],[Échantillon]])*(Donnees[Engagement]=Donnees[[#This Row],[Engagement]]))+1)/2</f>
        <v>11</v>
      </c>
      <c r="AF116" s="43">
        <f>SUMPRODUCT((Donnees[Échantillon]=Donnees[[#This Row],[Échantillon]])*(Donnees[Vues]&lt;Donnees[[#This Row],[Vues]]))+(SUMPRODUCT((Donnees[Échantillon]=Donnees[[#This Row],[Échantillon]])*(Donnees[Vues]=Donnees[[#This Row],[Vues]]))+1)/2</f>
        <v>86</v>
      </c>
      <c r="AG116" s="43">
        <f>SUMPRODUCT((Donnees[Échantillon]=Donnees[[#This Row],[Échantillon]])*(Donnees[Durée (s)]&lt;Donnees[[#This Row],[Durée (s)]]))+(SUMPRODUCT((Donnees[Échantillon]=Donnees[[#This Row],[Échantillon]])*(Donnees[Durée (s)]=Donnees[[#This Row],[Durée (s)]]))+1)/2</f>
        <v>88.5</v>
      </c>
      <c r="AH116" s="43">
        <f>SUMPRODUCT((Donnees[Échantillon]=Donnees[[#This Row],[Échantillon]])*(Donnees[Nb hashtags]&lt;Donnees[[#This Row],[Nb hashtags]]))+(SUMPRODUCT((Donnees[Échantillon]=Donnees[[#This Row],[Échantillon]])*(Donnees[Nb hashtags]=Donnees[[#This Row],[Nb hashtags]]))+1)/2</f>
        <v>61</v>
      </c>
      <c r="AI116" s="43">
        <f>SUMPRODUCT((Donnees[Échantillon]=Donnees[[#This Row],[Échantillon]])*(Donnees[Longueur du texte]&lt;Donnees[[#This Row],[Longueur du texte]]))+(SUMPRODUCT((Donnees[Échantillon]=Donnees[[#This Row],[Échantillon]])*(Donnees[Longueur du texte]=Donnees[[#This Row],[Longueur du texte]]))+1)/2</f>
        <v>70.5</v>
      </c>
      <c r="AJ116" s="43" t="str">
        <f>IF(Donnees[[#This Row],[Abonnés]]="","",SUMPRODUCT((Donnees[Échantillon]=Donnees[[#This Row],[Échantillon]])*(Donnees[Abonnés]&lt;Donnees[[#This Row],[Abonnés]]))+(SUMPRODUCT((Donnees[Échantillon]=Donnees[[#This Row],[Échantillon]])*(Donnees[Abonnés]=Donnees[[#This Row],[Abonnés]]))+1)/2)</f>
        <v/>
      </c>
      <c r="AK11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17" spans="1:37" x14ac:dyDescent="0.2">
      <c r="A117" s="40" t="s">
        <v>145</v>
      </c>
      <c r="B117" s="40" t="s">
        <v>159</v>
      </c>
      <c r="C117" s="40" t="s">
        <v>50</v>
      </c>
      <c r="D117" s="40">
        <v>99</v>
      </c>
      <c r="E117" s="40" t="s">
        <v>68</v>
      </c>
      <c r="F117" s="40" t="str">
        <f>IF(OR(Donnees[[#This Row],[Jour]]="samedi",Donnees[[#This Row],[Jour]]="dimanche"),"Oui","Non")</f>
        <v>Non</v>
      </c>
      <c r="G117" s="40">
        <v>19</v>
      </c>
      <c r="H117" s="40" t="str">
        <f>IF(Donnees[[#This Row],[Heure UTC]]&lt;6,"0-5 h",IF(Donnees[[#This Row],[Heure UTC]]&lt;12,"6-11 h",IF(Donnees[[#This Row],[Heure UTC]]&lt;18,"12-17 h","18-23 h")))</f>
        <v>18-23 h</v>
      </c>
      <c r="I117" s="40">
        <v>58</v>
      </c>
      <c r="J117" s="40" t="str">
        <f>IF(Donnees[[#This Row],[Durée (s)]]&lt;=10,"1. ≤ 10 s",IF(Donnees[[#This Row],[Durée (s)]]&lt;=15,"2. 11-15 s",IF(Donnees[[#This Row],[Durée (s)]]&lt;=30,"3. 16-30 s",IF(Donnees[[#This Row],[Durée (s)]]&lt;=60,"4. 31-60 s","5. &gt; 60 s"))))</f>
        <v>4. 31-60 s</v>
      </c>
      <c r="K117" s="40" t="str">
        <f>IF(Donnees[[#This Row],[Durée (s)]]&gt;15,"Oui","Non")</f>
        <v>Oui</v>
      </c>
      <c r="L117" s="40">
        <v>6</v>
      </c>
      <c r="M117" s="40" t="s">
        <v>44</v>
      </c>
      <c r="N117" s="40">
        <v>51</v>
      </c>
      <c r="O117" s="40" t="s">
        <v>41</v>
      </c>
      <c r="P117" s="40" t="s">
        <v>44</v>
      </c>
      <c r="Q117" s="40" t="s">
        <v>44</v>
      </c>
      <c r="R117" s="40"/>
      <c r="S117" s="40"/>
      <c r="T117" s="41"/>
      <c r="U117" s="40" t="str">
        <f>IF(Donnees[[#This Row],[Abonnés]]="","",IF(Donnees[[#This Row],[Abonnés]]&lt;1000000,"1. &lt; 1 M",IF(Donnees[[#This Row],[Abonnés]]&lt;3000000,"2. 1-3 M",IF(Donnees[[#This Row],[Abonnés]]&lt;8000000,"3. 3-8 M","4. ≥ 8 M"))))</f>
        <v/>
      </c>
      <c r="V117" s="41"/>
      <c r="W117" s="41">
        <v>23000000</v>
      </c>
      <c r="X117" s="41">
        <v>3600000</v>
      </c>
      <c r="Y117" s="41">
        <v>107800</v>
      </c>
      <c r="Z117" s="41">
        <v>99300</v>
      </c>
      <c r="AA117" s="42">
        <f>(Donnees[[#This Row],[Likes]]+Donnees[[#This Row],[Commentaires]]+Donnees[[#This Row],[Partages]])/Donnees[[#This Row],[Vues]]</f>
        <v>0.16552608695652174</v>
      </c>
      <c r="AB117" s="40">
        <f>IF(Donnees[[#This Row],[Engagement]]&gt;=VLOOKUP(Donnees[[#This Row],[Échantillon]],'Méthode &amp; limites'!$B$9:$D$11,2,FALSE),1,0)</f>
        <v>0</v>
      </c>
      <c r="AC117" s="43" t="str">
        <f>IF(Donnees[[#This Row],[Abonnés]]="","",Donnees[[#This Row],[Vues]]/Donnees[[#This Row],[Abonnés]])</f>
        <v/>
      </c>
      <c r="AD117" s="40" t="s">
        <v>44</v>
      </c>
      <c r="AE117" s="43">
        <f>SUMPRODUCT((Donnees[Échantillon]=Donnees[[#This Row],[Échantillon]])*(Donnees[Engagement]&lt;Donnees[[#This Row],[Engagement]]))+(SUMPRODUCT((Donnees[Échantillon]=Donnees[[#This Row],[Échantillon]])*(Donnees[Engagement]=Donnees[[#This Row],[Engagement]]))+1)/2</f>
        <v>43</v>
      </c>
      <c r="AF117" s="43">
        <f>SUMPRODUCT((Donnees[Échantillon]=Donnees[[#This Row],[Échantillon]])*(Donnees[Vues]&lt;Donnees[[#This Row],[Vues]]))+(SUMPRODUCT((Donnees[Échantillon]=Donnees[[#This Row],[Échantillon]])*(Donnees[Vues]=Donnees[[#This Row],[Vues]]))+1)/2</f>
        <v>85</v>
      </c>
      <c r="AG117" s="43">
        <f>SUMPRODUCT((Donnees[Échantillon]=Donnees[[#This Row],[Échantillon]])*(Donnees[Durée (s)]&lt;Donnees[[#This Row],[Durée (s)]]))+(SUMPRODUCT((Donnees[Échantillon]=Donnees[[#This Row],[Échantillon]])*(Donnees[Durée (s)]=Donnees[[#This Row],[Durée (s)]]))+1)/2</f>
        <v>93.5</v>
      </c>
      <c r="AH117" s="43">
        <f>SUMPRODUCT((Donnees[Échantillon]=Donnees[[#This Row],[Échantillon]])*(Donnees[Nb hashtags]&lt;Donnees[[#This Row],[Nb hashtags]]))+(SUMPRODUCT((Donnees[Échantillon]=Donnees[[#This Row],[Échantillon]])*(Donnees[Nb hashtags]=Donnees[[#This Row],[Nb hashtags]]))+1)/2</f>
        <v>94.5</v>
      </c>
      <c r="AI117" s="43">
        <f>SUMPRODUCT((Donnees[Échantillon]=Donnees[[#This Row],[Échantillon]])*(Donnees[Longueur du texte]&lt;Donnees[[#This Row],[Longueur du texte]]))+(SUMPRODUCT((Donnees[Échantillon]=Donnees[[#This Row],[Échantillon]])*(Donnees[Longueur du texte]=Donnees[[#This Row],[Longueur du texte]]))+1)/2</f>
        <v>70.5</v>
      </c>
      <c r="AJ117" s="43" t="str">
        <f>IF(Donnees[[#This Row],[Abonnés]]="","",SUMPRODUCT((Donnees[Échantillon]=Donnees[[#This Row],[Échantillon]])*(Donnees[Abonnés]&lt;Donnees[[#This Row],[Abonnés]]))+(SUMPRODUCT((Donnees[Échantillon]=Donnees[[#This Row],[Échantillon]])*(Donnees[Abonnés]=Donnees[[#This Row],[Abonnés]]))+1)/2)</f>
        <v/>
      </c>
      <c r="AK11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18" spans="1:37" x14ac:dyDescent="0.2">
      <c r="A118" s="40" t="s">
        <v>145</v>
      </c>
      <c r="B118" s="40" t="s">
        <v>160</v>
      </c>
      <c r="C118" s="40" t="s">
        <v>39</v>
      </c>
      <c r="D118" s="40">
        <v>135</v>
      </c>
      <c r="E118" s="40" t="s">
        <v>47</v>
      </c>
      <c r="F118" s="40" t="str">
        <f>IF(OR(Donnees[[#This Row],[Jour]]="samedi",Donnees[[#This Row],[Jour]]="dimanche"),"Oui","Non")</f>
        <v>Non</v>
      </c>
      <c r="G118" s="40">
        <v>19</v>
      </c>
      <c r="H118" s="40" t="str">
        <f>IF(Donnees[[#This Row],[Heure UTC]]&lt;6,"0-5 h",IF(Donnees[[#This Row],[Heure UTC]]&lt;12,"6-11 h",IF(Donnees[[#This Row],[Heure UTC]]&lt;18,"12-17 h","18-23 h")))</f>
        <v>18-23 h</v>
      </c>
      <c r="I118" s="40">
        <v>9</v>
      </c>
      <c r="J118" s="40" t="str">
        <f>IF(Donnees[[#This Row],[Durée (s)]]&lt;=10,"1. ≤ 10 s",IF(Donnees[[#This Row],[Durée (s)]]&lt;=15,"2. 11-15 s",IF(Donnees[[#This Row],[Durée (s)]]&lt;=30,"3. 16-30 s",IF(Donnees[[#This Row],[Durée (s)]]&lt;=60,"4. 31-60 s","5. &gt; 60 s"))))</f>
        <v>1. ≤ 10 s</v>
      </c>
      <c r="K118" s="40" t="str">
        <f>IF(Donnees[[#This Row],[Durée (s)]]&gt;15,"Oui","Non")</f>
        <v>Non</v>
      </c>
      <c r="L118" s="40">
        <v>0</v>
      </c>
      <c r="M118" s="40" t="s">
        <v>41</v>
      </c>
      <c r="N118" s="40">
        <v>60</v>
      </c>
      <c r="O118" s="40" t="s">
        <v>41</v>
      </c>
      <c r="P118" s="40" t="s">
        <v>41</v>
      </c>
      <c r="Q118" s="40" t="s">
        <v>44</v>
      </c>
      <c r="R118" s="40"/>
      <c r="S118" s="40"/>
      <c r="T118" s="41"/>
      <c r="U118" s="40" t="str">
        <f>IF(Donnees[[#This Row],[Abonnés]]="","",IF(Donnees[[#This Row],[Abonnés]]&lt;1000000,"1. &lt; 1 M",IF(Donnees[[#This Row],[Abonnés]]&lt;3000000,"2. 1-3 M",IF(Donnees[[#This Row],[Abonnés]]&lt;8000000,"3. 3-8 M","4. ≥ 8 M"))))</f>
        <v/>
      </c>
      <c r="V118" s="41"/>
      <c r="W118" s="41">
        <v>22900000</v>
      </c>
      <c r="X118" s="41">
        <v>5200000</v>
      </c>
      <c r="Y118" s="41">
        <v>96600</v>
      </c>
      <c r="Z118" s="41">
        <v>112600</v>
      </c>
      <c r="AA118" s="42">
        <f>(Donnees[[#This Row],[Likes]]+Donnees[[#This Row],[Commentaires]]+Donnees[[#This Row],[Partages]])/Donnees[[#This Row],[Vues]]</f>
        <v>0.23620960698689955</v>
      </c>
      <c r="AB118" s="40">
        <f>IF(Donnees[[#This Row],[Engagement]]&gt;=VLOOKUP(Donnees[[#This Row],[Échantillon]],'Méthode &amp; limites'!$B$9:$D$11,2,FALSE),1,0)</f>
        <v>0</v>
      </c>
      <c r="AC118" s="43" t="str">
        <f>IF(Donnees[[#This Row],[Abonnés]]="","",Donnees[[#This Row],[Vues]]/Donnees[[#This Row],[Abonnés]])</f>
        <v/>
      </c>
      <c r="AD118" s="40" t="s">
        <v>44</v>
      </c>
      <c r="AE118" s="43">
        <f>SUMPRODUCT((Donnees[Échantillon]=Donnees[[#This Row],[Échantillon]])*(Donnees[Engagement]&lt;Donnees[[#This Row],[Engagement]]))+(SUMPRODUCT((Donnees[Échantillon]=Donnees[[#This Row],[Échantillon]])*(Donnees[Engagement]=Donnees[[#This Row],[Engagement]]))+1)/2</f>
        <v>71</v>
      </c>
      <c r="AF118" s="43">
        <f>SUMPRODUCT((Donnees[Échantillon]=Donnees[[#This Row],[Échantillon]])*(Donnees[Vues]&lt;Donnees[[#This Row],[Vues]]))+(SUMPRODUCT((Donnees[Échantillon]=Donnees[[#This Row],[Échantillon]])*(Donnees[Vues]=Donnees[[#This Row],[Vues]]))+1)/2</f>
        <v>84</v>
      </c>
      <c r="AG118" s="43">
        <f>SUMPRODUCT((Donnees[Échantillon]=Donnees[[#This Row],[Échantillon]])*(Donnees[Durée (s)]&lt;Donnees[[#This Row],[Durée (s)]]))+(SUMPRODUCT((Donnees[Échantillon]=Donnees[[#This Row],[Échantillon]])*(Donnees[Durée (s)]=Donnees[[#This Row],[Durée (s)]]))+1)/2</f>
        <v>6</v>
      </c>
      <c r="AH118" s="43">
        <f>SUMPRODUCT((Donnees[Échantillon]=Donnees[[#This Row],[Échantillon]])*(Donnees[Nb hashtags]&lt;Donnees[[#This Row],[Nb hashtags]]))+(SUMPRODUCT((Donnees[Échantillon]=Donnees[[#This Row],[Échantillon]])*(Donnees[Nb hashtags]=Donnees[[#This Row],[Nb hashtags]]))+1)/2</f>
        <v>18.5</v>
      </c>
      <c r="AI118" s="43">
        <f>SUMPRODUCT((Donnees[Échantillon]=Donnees[[#This Row],[Échantillon]])*(Donnees[Longueur du texte]&lt;Donnees[[#This Row],[Longueur du texte]]))+(SUMPRODUCT((Donnees[Échantillon]=Donnees[[#This Row],[Échantillon]])*(Donnees[Longueur du texte]=Donnees[[#This Row],[Longueur du texte]]))+1)/2</f>
        <v>78</v>
      </c>
      <c r="AJ118" s="43" t="str">
        <f>IF(Donnees[[#This Row],[Abonnés]]="","",SUMPRODUCT((Donnees[Échantillon]=Donnees[[#This Row],[Échantillon]])*(Donnees[Abonnés]&lt;Donnees[[#This Row],[Abonnés]]))+(SUMPRODUCT((Donnees[Échantillon]=Donnees[[#This Row],[Échantillon]])*(Donnees[Abonnés]=Donnees[[#This Row],[Abonnés]]))+1)/2)</f>
        <v/>
      </c>
      <c r="AK11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19" spans="1:37" x14ac:dyDescent="0.2">
      <c r="A119" s="40" t="s">
        <v>145</v>
      </c>
      <c r="B119" s="40" t="s">
        <v>161</v>
      </c>
      <c r="C119" s="40" t="s">
        <v>39</v>
      </c>
      <c r="D119" s="40">
        <v>162</v>
      </c>
      <c r="E119" s="40" t="s">
        <v>68</v>
      </c>
      <c r="F119" s="40" t="str">
        <f>IF(OR(Donnees[[#This Row],[Jour]]="samedi",Donnees[[#This Row],[Jour]]="dimanche"),"Oui","Non")</f>
        <v>Non</v>
      </c>
      <c r="G119" s="40">
        <v>2</v>
      </c>
      <c r="H119" s="40" t="str">
        <f>IF(Donnees[[#This Row],[Heure UTC]]&lt;6,"0-5 h",IF(Donnees[[#This Row],[Heure UTC]]&lt;12,"6-11 h",IF(Donnees[[#This Row],[Heure UTC]]&lt;18,"12-17 h","18-23 h")))</f>
        <v>0-5 h</v>
      </c>
      <c r="I119" s="40">
        <v>30</v>
      </c>
      <c r="J119" s="40" t="str">
        <f>IF(Donnees[[#This Row],[Durée (s)]]&lt;=10,"1. ≤ 10 s",IF(Donnees[[#This Row],[Durée (s)]]&lt;=15,"2. 11-15 s",IF(Donnees[[#This Row],[Durée (s)]]&lt;=30,"3. 16-30 s",IF(Donnees[[#This Row],[Durée (s)]]&lt;=60,"4. 31-60 s","5. &gt; 60 s"))))</f>
        <v>3. 16-30 s</v>
      </c>
      <c r="K119" s="40" t="str">
        <f>IF(Donnees[[#This Row],[Durée (s)]]&gt;15,"Oui","Non")</f>
        <v>Oui</v>
      </c>
      <c r="L119" s="40">
        <v>3</v>
      </c>
      <c r="M119" s="40" t="s">
        <v>41</v>
      </c>
      <c r="N119" s="40">
        <v>23</v>
      </c>
      <c r="O119" s="40" t="s">
        <v>41</v>
      </c>
      <c r="P119" s="40" t="s">
        <v>41</v>
      </c>
      <c r="Q119" s="40" t="s">
        <v>44</v>
      </c>
      <c r="R119" s="40"/>
      <c r="S119" s="40"/>
      <c r="T119" s="41"/>
      <c r="U119" s="40" t="str">
        <f>IF(Donnees[[#This Row],[Abonnés]]="","",IF(Donnees[[#This Row],[Abonnés]]&lt;1000000,"1. &lt; 1 M",IF(Donnees[[#This Row],[Abonnés]]&lt;3000000,"2. 1-3 M",IF(Donnees[[#This Row],[Abonnés]]&lt;8000000,"3. 3-8 M","4. ≥ 8 M"))))</f>
        <v/>
      </c>
      <c r="V119" s="41"/>
      <c r="W119" s="41">
        <v>21700000</v>
      </c>
      <c r="X119" s="41">
        <v>3800000</v>
      </c>
      <c r="Y119" s="41">
        <v>100300</v>
      </c>
      <c r="Z119" s="41">
        <v>112500</v>
      </c>
      <c r="AA119" s="42">
        <f>(Donnees[[#This Row],[Likes]]+Donnees[[#This Row],[Commentaires]]+Donnees[[#This Row],[Partages]])/Donnees[[#This Row],[Vues]]</f>
        <v>0.1849216589861751</v>
      </c>
      <c r="AB119" s="40">
        <f>IF(Donnees[[#This Row],[Engagement]]&gt;=VLOOKUP(Donnees[[#This Row],[Échantillon]],'Méthode &amp; limites'!$B$9:$D$11,2,FALSE),1,0)</f>
        <v>0</v>
      </c>
      <c r="AC119" s="43" t="str">
        <f>IF(Donnees[[#This Row],[Abonnés]]="","",Donnees[[#This Row],[Vues]]/Donnees[[#This Row],[Abonnés]])</f>
        <v/>
      </c>
      <c r="AD119" s="40" t="s">
        <v>44</v>
      </c>
      <c r="AE119" s="43">
        <f>SUMPRODUCT((Donnees[Échantillon]=Donnees[[#This Row],[Échantillon]])*(Donnees[Engagement]&lt;Donnees[[#This Row],[Engagement]]))+(SUMPRODUCT((Donnees[Échantillon]=Donnees[[#This Row],[Échantillon]])*(Donnees[Engagement]=Donnees[[#This Row],[Engagement]]))+1)/2</f>
        <v>51</v>
      </c>
      <c r="AF119" s="43">
        <f>SUMPRODUCT((Donnees[Échantillon]=Donnees[[#This Row],[Échantillon]])*(Donnees[Vues]&lt;Donnees[[#This Row],[Vues]]))+(SUMPRODUCT((Donnees[Échantillon]=Donnees[[#This Row],[Échantillon]])*(Donnees[Vues]=Donnees[[#This Row],[Vues]]))+1)/2</f>
        <v>83</v>
      </c>
      <c r="AG119" s="43">
        <f>SUMPRODUCT((Donnees[Échantillon]=Donnees[[#This Row],[Échantillon]])*(Donnees[Durée (s)]&lt;Donnees[[#This Row],[Durée (s)]]))+(SUMPRODUCT((Donnees[Échantillon]=Donnees[[#This Row],[Échantillon]])*(Donnees[Durée (s)]=Donnees[[#This Row],[Durée (s)]]))+1)/2</f>
        <v>73.5</v>
      </c>
      <c r="AH119" s="43">
        <f>SUMPRODUCT((Donnees[Échantillon]=Donnees[[#This Row],[Échantillon]])*(Donnees[Nb hashtags]&lt;Donnees[[#This Row],[Nb hashtags]]))+(SUMPRODUCT((Donnees[Échantillon]=Donnees[[#This Row],[Échantillon]])*(Donnees[Nb hashtags]=Donnees[[#This Row],[Nb hashtags]]))+1)/2</f>
        <v>74</v>
      </c>
      <c r="AI119" s="43">
        <f>SUMPRODUCT((Donnees[Échantillon]=Donnees[[#This Row],[Échantillon]])*(Donnees[Longueur du texte]&lt;Donnees[[#This Row],[Longueur du texte]]))+(SUMPRODUCT((Donnees[Échantillon]=Donnees[[#This Row],[Échantillon]])*(Donnees[Longueur du texte]=Donnees[[#This Row],[Longueur du texte]]))+1)/2</f>
        <v>35.5</v>
      </c>
      <c r="AJ119" s="43" t="str">
        <f>IF(Donnees[[#This Row],[Abonnés]]="","",SUMPRODUCT((Donnees[Échantillon]=Donnees[[#This Row],[Échantillon]])*(Donnees[Abonnés]&lt;Donnees[[#This Row],[Abonnés]]))+(SUMPRODUCT((Donnees[Échantillon]=Donnees[[#This Row],[Échantillon]])*(Donnees[Abonnés]=Donnees[[#This Row],[Abonnés]]))+1)/2)</f>
        <v/>
      </c>
      <c r="AK11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20" spans="1:37" x14ac:dyDescent="0.2">
      <c r="A120" s="40" t="s">
        <v>145</v>
      </c>
      <c r="B120" s="40" t="s">
        <v>162</v>
      </c>
      <c r="C120" s="40" t="s">
        <v>39</v>
      </c>
      <c r="D120" s="40">
        <v>177</v>
      </c>
      <c r="E120" s="40" t="s">
        <v>47</v>
      </c>
      <c r="F120" s="40" t="str">
        <f>IF(OR(Donnees[[#This Row],[Jour]]="samedi",Donnees[[#This Row],[Jour]]="dimanche"),"Oui","Non")</f>
        <v>Non</v>
      </c>
      <c r="G120" s="40">
        <v>0</v>
      </c>
      <c r="H120" s="40" t="str">
        <f>IF(Donnees[[#This Row],[Heure UTC]]&lt;6,"0-5 h",IF(Donnees[[#This Row],[Heure UTC]]&lt;12,"6-11 h",IF(Donnees[[#This Row],[Heure UTC]]&lt;18,"12-17 h","18-23 h")))</f>
        <v>0-5 h</v>
      </c>
      <c r="I120" s="40">
        <v>9</v>
      </c>
      <c r="J120" s="40" t="str">
        <f>IF(Donnees[[#This Row],[Durée (s)]]&lt;=10,"1. ≤ 10 s",IF(Donnees[[#This Row],[Durée (s)]]&lt;=15,"2. 11-15 s",IF(Donnees[[#This Row],[Durée (s)]]&lt;=30,"3. 16-30 s",IF(Donnees[[#This Row],[Durée (s)]]&lt;=60,"4. 31-60 s","5. &gt; 60 s"))))</f>
        <v>1. ≤ 10 s</v>
      </c>
      <c r="K120" s="40" t="str">
        <f>IF(Donnees[[#This Row],[Durée (s)]]&gt;15,"Oui","Non")</f>
        <v>Non</v>
      </c>
      <c r="L120" s="40">
        <v>0</v>
      </c>
      <c r="M120" s="40" t="s">
        <v>41</v>
      </c>
      <c r="N120" s="40">
        <v>0</v>
      </c>
      <c r="O120" s="40" t="s">
        <v>44</v>
      </c>
      <c r="P120" s="40" t="s">
        <v>41</v>
      </c>
      <c r="Q120" s="40" t="s">
        <v>41</v>
      </c>
      <c r="R120" s="40"/>
      <c r="S120" s="40"/>
      <c r="T120" s="41"/>
      <c r="U120" s="40" t="str">
        <f>IF(Donnees[[#This Row],[Abonnés]]="","",IF(Donnees[[#This Row],[Abonnés]]&lt;1000000,"1. &lt; 1 M",IF(Donnees[[#This Row],[Abonnés]]&lt;3000000,"2. 1-3 M",IF(Donnees[[#This Row],[Abonnés]]&lt;8000000,"3. 3-8 M","4. ≥ 8 M"))))</f>
        <v/>
      </c>
      <c r="V120" s="41"/>
      <c r="W120" s="41">
        <v>21500000</v>
      </c>
      <c r="X120" s="41">
        <v>3600000</v>
      </c>
      <c r="Y120" s="41">
        <v>81300</v>
      </c>
      <c r="Z120" s="41">
        <v>334400</v>
      </c>
      <c r="AA120" s="42">
        <f>(Donnees[[#This Row],[Likes]]+Donnees[[#This Row],[Commentaires]]+Donnees[[#This Row],[Partages]])/Donnees[[#This Row],[Vues]]</f>
        <v>0.18677674418604651</v>
      </c>
      <c r="AB120" s="40">
        <f>IF(Donnees[[#This Row],[Engagement]]&gt;=VLOOKUP(Donnees[[#This Row],[Échantillon]],'Méthode &amp; limites'!$B$9:$D$11,2,FALSE),1,0)</f>
        <v>0</v>
      </c>
      <c r="AC120" s="43" t="str">
        <f>IF(Donnees[[#This Row],[Abonnés]]="","",Donnees[[#This Row],[Vues]]/Donnees[[#This Row],[Abonnés]])</f>
        <v/>
      </c>
      <c r="AD120" s="40" t="s">
        <v>44</v>
      </c>
      <c r="AE120" s="43">
        <f>SUMPRODUCT((Donnees[Échantillon]=Donnees[[#This Row],[Échantillon]])*(Donnees[Engagement]&lt;Donnees[[#This Row],[Engagement]]))+(SUMPRODUCT((Donnees[Échantillon]=Donnees[[#This Row],[Échantillon]])*(Donnees[Engagement]=Donnees[[#This Row],[Engagement]]))+1)/2</f>
        <v>53</v>
      </c>
      <c r="AF120" s="43">
        <f>SUMPRODUCT((Donnees[Échantillon]=Donnees[[#This Row],[Échantillon]])*(Donnees[Vues]&lt;Donnees[[#This Row],[Vues]]))+(SUMPRODUCT((Donnees[Échantillon]=Donnees[[#This Row],[Échantillon]])*(Donnees[Vues]=Donnees[[#This Row],[Vues]]))+1)/2</f>
        <v>82</v>
      </c>
      <c r="AG120" s="43">
        <f>SUMPRODUCT((Donnees[Échantillon]=Donnees[[#This Row],[Échantillon]])*(Donnees[Durée (s)]&lt;Donnees[[#This Row],[Durée (s)]]))+(SUMPRODUCT((Donnees[Échantillon]=Donnees[[#This Row],[Échantillon]])*(Donnees[Durée (s)]=Donnees[[#This Row],[Durée (s)]]))+1)/2</f>
        <v>6</v>
      </c>
      <c r="AH120" s="43">
        <f>SUMPRODUCT((Donnees[Échantillon]=Donnees[[#This Row],[Échantillon]])*(Donnees[Nb hashtags]&lt;Donnees[[#This Row],[Nb hashtags]]))+(SUMPRODUCT((Donnees[Échantillon]=Donnees[[#This Row],[Échantillon]])*(Donnees[Nb hashtags]=Donnees[[#This Row],[Nb hashtags]]))+1)/2</f>
        <v>18.5</v>
      </c>
      <c r="AI120" s="43">
        <f>SUMPRODUCT((Donnees[Échantillon]=Donnees[[#This Row],[Échantillon]])*(Donnees[Longueur du texte]&lt;Donnees[[#This Row],[Longueur du texte]]))+(SUMPRODUCT((Donnees[Échantillon]=Donnees[[#This Row],[Échantillon]])*(Donnees[Longueur du texte]=Donnees[[#This Row],[Longueur du texte]]))+1)/2</f>
        <v>6</v>
      </c>
      <c r="AJ120" s="43" t="str">
        <f>IF(Donnees[[#This Row],[Abonnés]]="","",SUMPRODUCT((Donnees[Échantillon]=Donnees[[#This Row],[Échantillon]])*(Donnees[Abonnés]&lt;Donnees[[#This Row],[Abonnés]]))+(SUMPRODUCT((Donnees[Échantillon]=Donnees[[#This Row],[Échantillon]])*(Donnees[Abonnés]=Donnees[[#This Row],[Abonnés]]))+1)/2)</f>
        <v/>
      </c>
      <c r="AK12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21" spans="1:37" x14ac:dyDescent="0.2">
      <c r="A121" s="40" t="s">
        <v>145</v>
      </c>
      <c r="B121" s="40" t="s">
        <v>163</v>
      </c>
      <c r="C121" s="40" t="s">
        <v>39</v>
      </c>
      <c r="D121" s="40">
        <v>160</v>
      </c>
      <c r="E121" s="40" t="s">
        <v>56</v>
      </c>
      <c r="F121" s="40" t="str">
        <f>IF(OR(Donnees[[#This Row],[Jour]]="samedi",Donnees[[#This Row],[Jour]]="dimanche"),"Oui","Non")</f>
        <v>Oui</v>
      </c>
      <c r="G121" s="40">
        <v>23</v>
      </c>
      <c r="H121" s="40" t="str">
        <f>IF(Donnees[[#This Row],[Heure UTC]]&lt;6,"0-5 h",IF(Donnees[[#This Row],[Heure UTC]]&lt;12,"6-11 h",IF(Donnees[[#This Row],[Heure UTC]]&lt;18,"12-17 h","18-23 h")))</f>
        <v>18-23 h</v>
      </c>
      <c r="I121" s="40">
        <v>12</v>
      </c>
      <c r="J121" s="40" t="str">
        <f>IF(Donnees[[#This Row],[Durée (s)]]&lt;=10,"1. ≤ 10 s",IF(Donnees[[#This Row],[Durée (s)]]&lt;=15,"2. 11-15 s",IF(Donnees[[#This Row],[Durée (s)]]&lt;=30,"3. 16-30 s",IF(Donnees[[#This Row],[Durée (s)]]&lt;=60,"4. 31-60 s","5. &gt; 60 s"))))</f>
        <v>2. 11-15 s</v>
      </c>
      <c r="K121" s="40" t="str">
        <f>IF(Donnees[[#This Row],[Durée (s)]]&gt;15,"Oui","Non")</f>
        <v>Non</v>
      </c>
      <c r="L121" s="40">
        <v>3</v>
      </c>
      <c r="M121" s="40" t="s">
        <v>44</v>
      </c>
      <c r="N121" s="40">
        <v>27</v>
      </c>
      <c r="O121" s="40" t="s">
        <v>41</v>
      </c>
      <c r="P121" s="40" t="s">
        <v>41</v>
      </c>
      <c r="Q121" s="40" t="s">
        <v>41</v>
      </c>
      <c r="R121" s="40"/>
      <c r="S121" s="40"/>
      <c r="T121" s="41"/>
      <c r="U121" s="40" t="str">
        <f>IF(Donnees[[#This Row],[Abonnés]]="","",IF(Donnees[[#This Row],[Abonnés]]&lt;1000000,"1. &lt; 1 M",IF(Donnees[[#This Row],[Abonnés]]&lt;3000000,"2. 1-3 M",IF(Donnees[[#This Row],[Abonnés]]&lt;8000000,"3. 3-8 M","4. ≥ 8 M"))))</f>
        <v/>
      </c>
      <c r="V121" s="41"/>
      <c r="W121" s="41">
        <v>20600000</v>
      </c>
      <c r="X121" s="41">
        <v>4700000</v>
      </c>
      <c r="Y121" s="41">
        <v>80400</v>
      </c>
      <c r="Z121" s="41">
        <v>186100</v>
      </c>
      <c r="AA121" s="42">
        <f>(Donnees[[#This Row],[Likes]]+Donnees[[#This Row],[Commentaires]]+Donnees[[#This Row],[Partages]])/Donnees[[#This Row],[Vues]]</f>
        <v>0.24109223300970875</v>
      </c>
      <c r="AB121" s="40">
        <f>IF(Donnees[[#This Row],[Engagement]]&gt;=VLOOKUP(Donnees[[#This Row],[Échantillon]],'Méthode &amp; limites'!$B$9:$D$11,2,FALSE),1,0)</f>
        <v>0</v>
      </c>
      <c r="AC121" s="43" t="str">
        <f>IF(Donnees[[#This Row],[Abonnés]]="","",Donnees[[#This Row],[Vues]]/Donnees[[#This Row],[Abonnés]])</f>
        <v/>
      </c>
      <c r="AD121" s="40" t="s">
        <v>44</v>
      </c>
      <c r="AE121" s="43">
        <f>SUMPRODUCT((Donnees[Échantillon]=Donnees[[#This Row],[Échantillon]])*(Donnees[Engagement]&lt;Donnees[[#This Row],[Engagement]]))+(SUMPRODUCT((Donnees[Échantillon]=Donnees[[#This Row],[Échantillon]])*(Donnees[Engagement]=Donnees[[#This Row],[Engagement]]))+1)/2</f>
        <v>74</v>
      </c>
      <c r="AF121" s="43">
        <f>SUMPRODUCT((Donnees[Échantillon]=Donnees[[#This Row],[Échantillon]])*(Donnees[Vues]&lt;Donnees[[#This Row],[Vues]]))+(SUMPRODUCT((Donnees[Échantillon]=Donnees[[#This Row],[Échantillon]])*(Donnees[Vues]=Donnees[[#This Row],[Vues]]))+1)/2</f>
        <v>81</v>
      </c>
      <c r="AG121" s="43">
        <f>SUMPRODUCT((Donnees[Échantillon]=Donnees[[#This Row],[Échantillon]])*(Donnees[Durée (s)]&lt;Donnees[[#This Row],[Durée (s)]]))+(SUMPRODUCT((Donnees[Échantillon]=Donnees[[#This Row],[Échantillon]])*(Donnees[Durée (s)]=Donnees[[#This Row],[Durée (s)]]))+1)/2</f>
        <v>23</v>
      </c>
      <c r="AH121" s="43">
        <f>SUMPRODUCT((Donnees[Échantillon]=Donnees[[#This Row],[Échantillon]])*(Donnees[Nb hashtags]&lt;Donnees[[#This Row],[Nb hashtags]]))+(SUMPRODUCT((Donnees[Échantillon]=Donnees[[#This Row],[Échantillon]])*(Donnees[Nb hashtags]=Donnees[[#This Row],[Nb hashtags]]))+1)/2</f>
        <v>74</v>
      </c>
      <c r="AI121" s="43">
        <f>SUMPRODUCT((Donnees[Échantillon]=Donnees[[#This Row],[Échantillon]])*(Donnees[Longueur du texte]&lt;Donnees[[#This Row],[Longueur du texte]]))+(SUMPRODUCT((Donnees[Échantillon]=Donnees[[#This Row],[Échantillon]])*(Donnees[Longueur du texte]=Donnees[[#This Row],[Longueur du texte]]))+1)/2</f>
        <v>43.5</v>
      </c>
      <c r="AJ121" s="43" t="str">
        <f>IF(Donnees[[#This Row],[Abonnés]]="","",SUMPRODUCT((Donnees[Échantillon]=Donnees[[#This Row],[Échantillon]])*(Donnees[Abonnés]&lt;Donnees[[#This Row],[Abonnés]]))+(SUMPRODUCT((Donnees[Échantillon]=Donnees[[#This Row],[Échantillon]])*(Donnees[Abonnés]=Donnees[[#This Row],[Abonnés]]))+1)/2)</f>
        <v/>
      </c>
      <c r="AK12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22" spans="1:37" x14ac:dyDescent="0.2">
      <c r="A122" s="40" t="s">
        <v>145</v>
      </c>
      <c r="B122" s="40" t="s">
        <v>164</v>
      </c>
      <c r="C122" s="40" t="s">
        <v>67</v>
      </c>
      <c r="D122" s="40">
        <v>114</v>
      </c>
      <c r="E122" s="40" t="s">
        <v>47</v>
      </c>
      <c r="F122" s="40" t="str">
        <f>IF(OR(Donnees[[#This Row],[Jour]]="samedi",Donnees[[#This Row],[Jour]]="dimanche"),"Oui","Non")</f>
        <v>Non</v>
      </c>
      <c r="G122" s="40">
        <v>23</v>
      </c>
      <c r="H122" s="40" t="str">
        <f>IF(Donnees[[#This Row],[Heure UTC]]&lt;6,"0-5 h",IF(Donnees[[#This Row],[Heure UTC]]&lt;12,"6-11 h",IF(Donnees[[#This Row],[Heure UTC]]&lt;18,"12-17 h","18-23 h")))</f>
        <v>18-23 h</v>
      </c>
      <c r="I122" s="40">
        <v>15</v>
      </c>
      <c r="J122" s="40" t="str">
        <f>IF(Donnees[[#This Row],[Durée (s)]]&lt;=10,"1. ≤ 10 s",IF(Donnees[[#This Row],[Durée (s)]]&lt;=15,"2. 11-15 s",IF(Donnees[[#This Row],[Durée (s)]]&lt;=30,"3. 16-30 s",IF(Donnees[[#This Row],[Durée (s)]]&lt;=60,"4. 31-60 s","5. &gt; 60 s"))))</f>
        <v>2. 11-15 s</v>
      </c>
      <c r="K122" s="40" t="str">
        <f>IF(Donnees[[#This Row],[Durée (s)]]&gt;15,"Oui","Non")</f>
        <v>Non</v>
      </c>
      <c r="L122" s="40">
        <v>6</v>
      </c>
      <c r="M122" s="40" t="s">
        <v>44</v>
      </c>
      <c r="N122" s="40">
        <v>0</v>
      </c>
      <c r="O122" s="40" t="s">
        <v>41</v>
      </c>
      <c r="P122" s="40" t="s">
        <v>44</v>
      </c>
      <c r="Q122" s="40" t="s">
        <v>41</v>
      </c>
      <c r="R122" s="40"/>
      <c r="S122" s="40"/>
      <c r="T122" s="41"/>
      <c r="U122" s="40" t="str">
        <f>IF(Donnees[[#This Row],[Abonnés]]="","",IF(Donnees[[#This Row],[Abonnés]]&lt;1000000,"1. &lt; 1 M",IF(Donnees[[#This Row],[Abonnés]]&lt;3000000,"2. 1-3 M",IF(Donnees[[#This Row],[Abonnés]]&lt;8000000,"3. 3-8 M","4. ≥ 8 M"))))</f>
        <v/>
      </c>
      <c r="V122" s="41"/>
      <c r="W122" s="41">
        <v>19500000</v>
      </c>
      <c r="X122" s="41">
        <v>5300000</v>
      </c>
      <c r="Y122" s="41">
        <v>74900</v>
      </c>
      <c r="Z122" s="41">
        <v>208800</v>
      </c>
      <c r="AA122" s="42">
        <f>(Donnees[[#This Row],[Likes]]+Donnees[[#This Row],[Commentaires]]+Donnees[[#This Row],[Partages]])/Donnees[[#This Row],[Vues]]</f>
        <v>0.28634358974358975</v>
      </c>
      <c r="AB122" s="40">
        <f>IF(Donnees[[#This Row],[Engagement]]&gt;=VLOOKUP(Donnees[[#This Row],[Échantillon]],'Méthode &amp; limites'!$B$9:$D$11,2,FALSE),1,0)</f>
        <v>1</v>
      </c>
      <c r="AC122" s="43" t="str">
        <f>IF(Donnees[[#This Row],[Abonnés]]="","",Donnees[[#This Row],[Vues]]/Donnees[[#This Row],[Abonnés]])</f>
        <v/>
      </c>
      <c r="AD122" s="40" t="s">
        <v>44</v>
      </c>
      <c r="AE122" s="43">
        <f>SUMPRODUCT((Donnees[Échantillon]=Donnees[[#This Row],[Échantillon]])*(Donnees[Engagement]&lt;Donnees[[#This Row],[Engagement]]))+(SUMPRODUCT((Donnees[Échantillon]=Donnees[[#This Row],[Échantillon]])*(Donnees[Engagement]=Donnees[[#This Row],[Engagement]]))+1)/2</f>
        <v>91</v>
      </c>
      <c r="AF122" s="43">
        <f>SUMPRODUCT((Donnees[Échantillon]=Donnees[[#This Row],[Échantillon]])*(Donnees[Vues]&lt;Donnees[[#This Row],[Vues]]))+(SUMPRODUCT((Donnees[Échantillon]=Donnees[[#This Row],[Échantillon]])*(Donnees[Vues]=Donnees[[#This Row],[Vues]]))+1)/2</f>
        <v>80</v>
      </c>
      <c r="AG122" s="43">
        <f>SUMPRODUCT((Donnees[Échantillon]=Donnees[[#This Row],[Échantillon]])*(Donnees[Durée (s)]&lt;Donnees[[#This Row],[Durée (s)]]))+(SUMPRODUCT((Donnees[Échantillon]=Donnees[[#This Row],[Échantillon]])*(Donnees[Durée (s)]=Donnees[[#This Row],[Durée (s)]]))+1)/2</f>
        <v>43.5</v>
      </c>
      <c r="AH122" s="43">
        <f>SUMPRODUCT((Donnees[Échantillon]=Donnees[[#This Row],[Échantillon]])*(Donnees[Nb hashtags]&lt;Donnees[[#This Row],[Nb hashtags]]))+(SUMPRODUCT((Donnees[Échantillon]=Donnees[[#This Row],[Échantillon]])*(Donnees[Nb hashtags]=Donnees[[#This Row],[Nb hashtags]]))+1)/2</f>
        <v>94.5</v>
      </c>
      <c r="AI122" s="43">
        <f>SUMPRODUCT((Donnees[Échantillon]=Donnees[[#This Row],[Échantillon]])*(Donnees[Longueur du texte]&lt;Donnees[[#This Row],[Longueur du texte]]))+(SUMPRODUCT((Donnees[Échantillon]=Donnees[[#This Row],[Échantillon]])*(Donnees[Longueur du texte]=Donnees[[#This Row],[Longueur du texte]]))+1)/2</f>
        <v>6</v>
      </c>
      <c r="AJ122" s="43" t="str">
        <f>IF(Donnees[[#This Row],[Abonnés]]="","",SUMPRODUCT((Donnees[Échantillon]=Donnees[[#This Row],[Échantillon]])*(Donnees[Abonnés]&lt;Donnees[[#This Row],[Abonnés]]))+(SUMPRODUCT((Donnees[Échantillon]=Donnees[[#This Row],[Échantillon]])*(Donnees[Abonnés]=Donnees[[#This Row],[Abonnés]]))+1)/2)</f>
        <v/>
      </c>
      <c r="AK12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23" spans="1:37" x14ac:dyDescent="0.2">
      <c r="A123" s="40" t="s">
        <v>145</v>
      </c>
      <c r="B123" s="40" t="s">
        <v>165</v>
      </c>
      <c r="C123" s="40" t="s">
        <v>67</v>
      </c>
      <c r="D123" s="40">
        <v>108</v>
      </c>
      <c r="E123" s="40" t="s">
        <v>59</v>
      </c>
      <c r="F123" s="40" t="str">
        <f>IF(OR(Donnees[[#This Row],[Jour]]="samedi",Donnees[[#This Row],[Jour]]="dimanche"),"Oui","Non")</f>
        <v>Non</v>
      </c>
      <c r="G123" s="40">
        <v>16</v>
      </c>
      <c r="H123" s="40" t="str">
        <f>IF(Donnees[[#This Row],[Heure UTC]]&lt;6,"0-5 h",IF(Donnees[[#This Row],[Heure UTC]]&lt;12,"6-11 h",IF(Donnees[[#This Row],[Heure UTC]]&lt;18,"12-17 h","18-23 h")))</f>
        <v>12-17 h</v>
      </c>
      <c r="I123" s="40">
        <v>43</v>
      </c>
      <c r="J123" s="40" t="str">
        <f>IF(Donnees[[#This Row],[Durée (s)]]&lt;=10,"1. ≤ 10 s",IF(Donnees[[#This Row],[Durée (s)]]&lt;=15,"2. 11-15 s",IF(Donnees[[#This Row],[Durée (s)]]&lt;=30,"3. 16-30 s",IF(Donnees[[#This Row],[Durée (s)]]&lt;=60,"4. 31-60 s","5. &gt; 60 s"))))</f>
        <v>4. 31-60 s</v>
      </c>
      <c r="K123" s="40" t="str">
        <f>IF(Donnees[[#This Row],[Durée (s)]]&gt;15,"Oui","Non")</f>
        <v>Oui</v>
      </c>
      <c r="L123" s="40">
        <v>1</v>
      </c>
      <c r="M123" s="40" t="s">
        <v>41</v>
      </c>
      <c r="N123" s="40">
        <v>35</v>
      </c>
      <c r="O123" s="40" t="s">
        <v>41</v>
      </c>
      <c r="P123" s="40" t="s">
        <v>41</v>
      </c>
      <c r="Q123" s="40" t="s">
        <v>44</v>
      </c>
      <c r="R123" s="40"/>
      <c r="S123" s="40"/>
      <c r="T123" s="41"/>
      <c r="U123" s="40" t="str">
        <f>IF(Donnees[[#This Row],[Abonnés]]="","",IF(Donnees[[#This Row],[Abonnés]]&lt;1000000,"1. &lt; 1 M",IF(Donnees[[#This Row],[Abonnés]]&lt;3000000,"2. 1-3 M",IF(Donnees[[#This Row],[Abonnés]]&lt;8000000,"3. 3-8 M","4. ≥ 8 M"))))</f>
        <v/>
      </c>
      <c r="V123" s="41"/>
      <c r="W123" s="41">
        <v>17800000</v>
      </c>
      <c r="X123" s="41">
        <v>5300000</v>
      </c>
      <c r="Y123" s="41">
        <v>108600</v>
      </c>
      <c r="Z123" s="41">
        <v>409900</v>
      </c>
      <c r="AA123" s="42">
        <f>(Donnees[[#This Row],[Likes]]+Donnees[[#This Row],[Commentaires]]+Donnees[[#This Row],[Partages]])/Donnees[[#This Row],[Vues]]</f>
        <v>0.32688202247191012</v>
      </c>
      <c r="AB123" s="40">
        <f>IF(Donnees[[#This Row],[Engagement]]&gt;=VLOOKUP(Donnees[[#This Row],[Échantillon]],'Méthode &amp; limites'!$B$9:$D$11,2,FALSE),1,0)</f>
        <v>1</v>
      </c>
      <c r="AC123" s="43" t="str">
        <f>IF(Donnees[[#This Row],[Abonnés]]="","",Donnees[[#This Row],[Vues]]/Donnees[[#This Row],[Abonnés]])</f>
        <v/>
      </c>
      <c r="AD123" s="40" t="s">
        <v>44</v>
      </c>
      <c r="AE123" s="43">
        <f>SUMPRODUCT((Donnees[Échantillon]=Donnees[[#This Row],[Échantillon]])*(Donnees[Engagement]&lt;Donnees[[#This Row],[Engagement]]))+(SUMPRODUCT((Donnees[Échantillon]=Donnees[[#This Row],[Échantillon]])*(Donnees[Engagement]=Donnees[[#This Row],[Engagement]]))+1)/2</f>
        <v>96</v>
      </c>
      <c r="AF123" s="43">
        <f>SUMPRODUCT((Donnees[Échantillon]=Donnees[[#This Row],[Échantillon]])*(Donnees[Vues]&lt;Donnees[[#This Row],[Vues]]))+(SUMPRODUCT((Donnees[Échantillon]=Donnees[[#This Row],[Échantillon]])*(Donnees[Vues]=Donnees[[#This Row],[Vues]]))+1)/2</f>
        <v>79</v>
      </c>
      <c r="AG123" s="43">
        <f>SUMPRODUCT((Donnees[Échantillon]=Donnees[[#This Row],[Échantillon]])*(Donnees[Durée (s)]&lt;Donnees[[#This Row],[Durée (s)]]))+(SUMPRODUCT((Donnees[Échantillon]=Donnees[[#This Row],[Échantillon]])*(Donnees[Durée (s)]=Donnees[[#This Row],[Durée (s)]]))+1)/2</f>
        <v>82</v>
      </c>
      <c r="AH123" s="43">
        <f>SUMPRODUCT((Donnees[Échantillon]=Donnees[[#This Row],[Échantillon]])*(Donnees[Nb hashtags]&lt;Donnees[[#This Row],[Nb hashtags]]))+(SUMPRODUCT((Donnees[Échantillon]=Donnees[[#This Row],[Échantillon]])*(Donnees[Nb hashtags]=Donnees[[#This Row],[Nb hashtags]]))+1)/2</f>
        <v>45.5</v>
      </c>
      <c r="AI123" s="43">
        <f>SUMPRODUCT((Donnees[Échantillon]=Donnees[[#This Row],[Échantillon]])*(Donnees[Longueur du texte]&lt;Donnees[[#This Row],[Longueur du texte]]))+(SUMPRODUCT((Donnees[Échantillon]=Donnees[[#This Row],[Échantillon]])*(Donnees[Longueur du texte]=Donnees[[#This Row],[Longueur du texte]]))+1)/2</f>
        <v>52.5</v>
      </c>
      <c r="AJ123" s="43" t="str">
        <f>IF(Donnees[[#This Row],[Abonnés]]="","",SUMPRODUCT((Donnees[Échantillon]=Donnees[[#This Row],[Échantillon]])*(Donnees[Abonnés]&lt;Donnees[[#This Row],[Abonnés]]))+(SUMPRODUCT((Donnees[Échantillon]=Donnees[[#This Row],[Échantillon]])*(Donnees[Abonnés]=Donnees[[#This Row],[Abonnés]]))+1)/2)</f>
        <v/>
      </c>
      <c r="AK12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24" spans="1:37" x14ac:dyDescent="0.2">
      <c r="A124" s="40" t="s">
        <v>145</v>
      </c>
      <c r="B124" s="40" t="s">
        <v>166</v>
      </c>
      <c r="C124" s="40" t="s">
        <v>67</v>
      </c>
      <c r="D124" s="40">
        <v>31</v>
      </c>
      <c r="E124" s="40" t="s">
        <v>59</v>
      </c>
      <c r="F124" s="40" t="str">
        <f>IF(OR(Donnees[[#This Row],[Jour]]="samedi",Donnees[[#This Row],[Jour]]="dimanche"),"Oui","Non")</f>
        <v>Non</v>
      </c>
      <c r="G124" s="40">
        <v>1</v>
      </c>
      <c r="H124" s="40" t="str">
        <f>IF(Donnees[[#This Row],[Heure UTC]]&lt;6,"0-5 h",IF(Donnees[[#This Row],[Heure UTC]]&lt;12,"6-11 h",IF(Donnees[[#This Row],[Heure UTC]]&lt;18,"12-17 h","18-23 h")))</f>
        <v>0-5 h</v>
      </c>
      <c r="I124" s="40">
        <v>17</v>
      </c>
      <c r="J124" s="40" t="str">
        <f>IF(Donnees[[#This Row],[Durée (s)]]&lt;=10,"1. ≤ 10 s",IF(Donnees[[#This Row],[Durée (s)]]&lt;=15,"2. 11-15 s",IF(Donnees[[#This Row],[Durée (s)]]&lt;=30,"3. 16-30 s",IF(Donnees[[#This Row],[Durée (s)]]&lt;=60,"4. 31-60 s","5. &gt; 60 s"))))</f>
        <v>3. 16-30 s</v>
      </c>
      <c r="K124" s="40" t="str">
        <f>IF(Donnees[[#This Row],[Durée (s)]]&gt;15,"Oui","Non")</f>
        <v>Oui</v>
      </c>
      <c r="L124" s="40">
        <v>0</v>
      </c>
      <c r="M124" s="40" t="s">
        <v>41</v>
      </c>
      <c r="N124" s="40">
        <v>19</v>
      </c>
      <c r="O124" s="40" t="s">
        <v>41</v>
      </c>
      <c r="P124" s="40" t="s">
        <v>44</v>
      </c>
      <c r="Q124" s="40" t="s">
        <v>44</v>
      </c>
      <c r="R124" s="40"/>
      <c r="S124" s="40"/>
      <c r="T124" s="41"/>
      <c r="U124" s="40" t="str">
        <f>IF(Donnees[[#This Row],[Abonnés]]="","",IF(Donnees[[#This Row],[Abonnés]]&lt;1000000,"1. &lt; 1 M",IF(Donnees[[#This Row],[Abonnés]]&lt;3000000,"2. 1-3 M",IF(Donnees[[#This Row],[Abonnés]]&lt;8000000,"3. 3-8 M","4. ≥ 8 M"))))</f>
        <v/>
      </c>
      <c r="V124" s="41"/>
      <c r="W124" s="41">
        <v>14400000</v>
      </c>
      <c r="X124" s="41">
        <v>3400000</v>
      </c>
      <c r="Y124" s="41">
        <v>36000</v>
      </c>
      <c r="Z124" s="41">
        <v>30900</v>
      </c>
      <c r="AA124" s="42">
        <f>(Donnees[[#This Row],[Likes]]+Donnees[[#This Row],[Commentaires]]+Donnees[[#This Row],[Partages]])/Donnees[[#This Row],[Vues]]</f>
        <v>0.24075694444444445</v>
      </c>
      <c r="AB124" s="40">
        <f>IF(Donnees[[#This Row],[Engagement]]&gt;=VLOOKUP(Donnees[[#This Row],[Échantillon]],'Méthode &amp; limites'!$B$9:$D$11,2,FALSE),1,0)</f>
        <v>0</v>
      </c>
      <c r="AC124" s="43" t="str">
        <f>IF(Donnees[[#This Row],[Abonnés]]="","",Donnees[[#This Row],[Vues]]/Donnees[[#This Row],[Abonnés]])</f>
        <v/>
      </c>
      <c r="AD124" s="40" t="s">
        <v>44</v>
      </c>
      <c r="AE124" s="43">
        <f>SUMPRODUCT((Donnees[Échantillon]=Donnees[[#This Row],[Échantillon]])*(Donnees[Engagement]&lt;Donnees[[#This Row],[Engagement]]))+(SUMPRODUCT((Donnees[Échantillon]=Donnees[[#This Row],[Échantillon]])*(Donnees[Engagement]=Donnees[[#This Row],[Engagement]]))+1)/2</f>
        <v>73</v>
      </c>
      <c r="AF124" s="43">
        <f>SUMPRODUCT((Donnees[Échantillon]=Donnees[[#This Row],[Échantillon]])*(Donnees[Vues]&lt;Donnees[[#This Row],[Vues]]))+(SUMPRODUCT((Donnees[Échantillon]=Donnees[[#This Row],[Échantillon]])*(Donnees[Vues]=Donnees[[#This Row],[Vues]]))+1)/2</f>
        <v>77.5</v>
      </c>
      <c r="AG124" s="43">
        <f>SUMPRODUCT((Donnees[Échantillon]=Donnees[[#This Row],[Échantillon]])*(Donnees[Durée (s)]&lt;Donnees[[#This Row],[Durée (s)]]))+(SUMPRODUCT((Donnees[Échantillon]=Donnees[[#This Row],[Échantillon]])*(Donnees[Durée (s)]=Donnees[[#This Row],[Durée (s)]]))+1)/2</f>
        <v>53.5</v>
      </c>
      <c r="AH124" s="43">
        <f>SUMPRODUCT((Donnees[Échantillon]=Donnees[[#This Row],[Échantillon]])*(Donnees[Nb hashtags]&lt;Donnees[[#This Row],[Nb hashtags]]))+(SUMPRODUCT((Donnees[Échantillon]=Donnees[[#This Row],[Échantillon]])*(Donnees[Nb hashtags]=Donnees[[#This Row],[Nb hashtags]]))+1)/2</f>
        <v>18.5</v>
      </c>
      <c r="AI124" s="43">
        <f>SUMPRODUCT((Donnees[Échantillon]=Donnees[[#This Row],[Échantillon]])*(Donnees[Longueur du texte]&lt;Donnees[[#This Row],[Longueur du texte]]))+(SUMPRODUCT((Donnees[Échantillon]=Donnees[[#This Row],[Échantillon]])*(Donnees[Longueur du texte]=Donnees[[#This Row],[Longueur du texte]]))+1)/2</f>
        <v>29.5</v>
      </c>
      <c r="AJ124" s="43" t="str">
        <f>IF(Donnees[[#This Row],[Abonnés]]="","",SUMPRODUCT((Donnees[Échantillon]=Donnees[[#This Row],[Échantillon]])*(Donnees[Abonnés]&lt;Donnees[[#This Row],[Abonnés]]))+(SUMPRODUCT((Donnees[Échantillon]=Donnees[[#This Row],[Échantillon]])*(Donnees[Abonnés]=Donnees[[#This Row],[Abonnés]]))+1)/2)</f>
        <v/>
      </c>
      <c r="AK12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25" spans="1:37" x14ac:dyDescent="0.2">
      <c r="A125" s="40" t="s">
        <v>145</v>
      </c>
      <c r="B125" s="40" t="s">
        <v>167</v>
      </c>
      <c r="C125" s="40" t="s">
        <v>50</v>
      </c>
      <c r="D125" s="40">
        <v>78</v>
      </c>
      <c r="E125" s="40" t="s">
        <v>68</v>
      </c>
      <c r="F125" s="40" t="str">
        <f>IF(OR(Donnees[[#This Row],[Jour]]="samedi",Donnees[[#This Row],[Jour]]="dimanche"),"Oui","Non")</f>
        <v>Non</v>
      </c>
      <c r="G125" s="40">
        <v>22</v>
      </c>
      <c r="H125" s="40" t="str">
        <f>IF(Donnees[[#This Row],[Heure UTC]]&lt;6,"0-5 h",IF(Donnees[[#This Row],[Heure UTC]]&lt;12,"6-11 h",IF(Donnees[[#This Row],[Heure UTC]]&lt;18,"12-17 h","18-23 h")))</f>
        <v>18-23 h</v>
      </c>
      <c r="I125" s="40">
        <v>14</v>
      </c>
      <c r="J125" s="40" t="str">
        <f>IF(Donnees[[#This Row],[Durée (s)]]&lt;=10,"1. ≤ 10 s",IF(Donnees[[#This Row],[Durée (s)]]&lt;=15,"2. 11-15 s",IF(Donnees[[#This Row],[Durée (s)]]&lt;=30,"3. 16-30 s",IF(Donnees[[#This Row],[Durée (s)]]&lt;=60,"4. 31-60 s","5. &gt; 60 s"))))</f>
        <v>2. 11-15 s</v>
      </c>
      <c r="K125" s="40" t="str">
        <f>IF(Donnees[[#This Row],[Durée (s)]]&gt;15,"Oui","Non")</f>
        <v>Non</v>
      </c>
      <c r="L125" s="40">
        <v>8</v>
      </c>
      <c r="M125" s="40" t="s">
        <v>41</v>
      </c>
      <c r="N125" s="40">
        <v>43</v>
      </c>
      <c r="O125" s="40" t="s">
        <v>41</v>
      </c>
      <c r="P125" s="40" t="s">
        <v>41</v>
      </c>
      <c r="Q125" s="40" t="s">
        <v>41</v>
      </c>
      <c r="R125" s="40"/>
      <c r="S125" s="40"/>
      <c r="T125" s="41"/>
      <c r="U125" s="40" t="str">
        <f>IF(Donnees[[#This Row],[Abonnés]]="","",IF(Donnees[[#This Row],[Abonnés]]&lt;1000000,"1. &lt; 1 M",IF(Donnees[[#This Row],[Abonnés]]&lt;3000000,"2. 1-3 M",IF(Donnees[[#This Row],[Abonnés]]&lt;8000000,"3. 3-8 M","4. ≥ 8 M"))))</f>
        <v/>
      </c>
      <c r="V125" s="41"/>
      <c r="W125" s="41">
        <v>14400000</v>
      </c>
      <c r="X125" s="41">
        <v>2100000</v>
      </c>
      <c r="Y125" s="41">
        <v>12400</v>
      </c>
      <c r="Z125" s="41">
        <v>67200</v>
      </c>
      <c r="AA125" s="42">
        <f>(Donnees[[#This Row],[Likes]]+Donnees[[#This Row],[Commentaires]]+Donnees[[#This Row],[Partages]])/Donnees[[#This Row],[Vues]]</f>
        <v>0.15136111111111111</v>
      </c>
      <c r="AB125" s="40">
        <f>IF(Donnees[[#This Row],[Engagement]]&gt;=VLOOKUP(Donnees[[#This Row],[Échantillon]],'Méthode &amp; limites'!$B$9:$D$11,2,FALSE),1,0)</f>
        <v>0</v>
      </c>
      <c r="AC125" s="43" t="str">
        <f>IF(Donnees[[#This Row],[Abonnés]]="","",Donnees[[#This Row],[Vues]]/Donnees[[#This Row],[Abonnés]])</f>
        <v/>
      </c>
      <c r="AD125" s="40" t="s">
        <v>44</v>
      </c>
      <c r="AE125" s="43">
        <f>SUMPRODUCT((Donnees[Échantillon]=Donnees[[#This Row],[Échantillon]])*(Donnees[Engagement]&lt;Donnees[[#This Row],[Engagement]]))+(SUMPRODUCT((Donnees[Échantillon]=Donnees[[#This Row],[Échantillon]])*(Donnees[Engagement]=Donnees[[#This Row],[Engagement]]))+1)/2</f>
        <v>34</v>
      </c>
      <c r="AF125" s="43">
        <f>SUMPRODUCT((Donnees[Échantillon]=Donnees[[#This Row],[Échantillon]])*(Donnees[Vues]&lt;Donnees[[#This Row],[Vues]]))+(SUMPRODUCT((Donnees[Échantillon]=Donnees[[#This Row],[Échantillon]])*(Donnees[Vues]=Donnees[[#This Row],[Vues]]))+1)/2</f>
        <v>77.5</v>
      </c>
      <c r="AG125" s="43">
        <f>SUMPRODUCT((Donnees[Échantillon]=Donnees[[#This Row],[Échantillon]])*(Donnees[Durée (s)]&lt;Donnees[[#This Row],[Durée (s)]]))+(SUMPRODUCT((Donnees[Échantillon]=Donnees[[#This Row],[Échantillon]])*(Donnees[Durée (s)]=Donnees[[#This Row],[Durée (s)]]))+1)/2</f>
        <v>31.5</v>
      </c>
      <c r="AH125" s="43">
        <f>SUMPRODUCT((Donnees[Échantillon]=Donnees[[#This Row],[Échantillon]])*(Donnees[Nb hashtags]&lt;Donnees[[#This Row],[Nb hashtags]]))+(SUMPRODUCT((Donnees[Échantillon]=Donnees[[#This Row],[Échantillon]])*(Donnees[Nb hashtags]=Donnees[[#This Row],[Nb hashtags]]))+1)/2</f>
        <v>97.5</v>
      </c>
      <c r="AI125" s="43">
        <f>SUMPRODUCT((Donnees[Échantillon]=Donnees[[#This Row],[Échantillon]])*(Donnees[Longueur du texte]&lt;Donnees[[#This Row],[Longueur du texte]]))+(SUMPRODUCT((Donnees[Échantillon]=Donnees[[#This Row],[Échantillon]])*(Donnees[Longueur du texte]=Donnees[[#This Row],[Longueur du texte]]))+1)/2</f>
        <v>62</v>
      </c>
      <c r="AJ125" s="43" t="str">
        <f>IF(Donnees[[#This Row],[Abonnés]]="","",SUMPRODUCT((Donnees[Échantillon]=Donnees[[#This Row],[Échantillon]])*(Donnees[Abonnés]&lt;Donnees[[#This Row],[Abonnés]]))+(SUMPRODUCT((Donnees[Échantillon]=Donnees[[#This Row],[Échantillon]])*(Donnees[Abonnés]=Donnees[[#This Row],[Abonnés]]))+1)/2)</f>
        <v/>
      </c>
      <c r="AK12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26" spans="1:37" x14ac:dyDescent="0.2">
      <c r="A126" s="40" t="s">
        <v>145</v>
      </c>
      <c r="B126" s="40" t="s">
        <v>168</v>
      </c>
      <c r="C126" s="40" t="s">
        <v>39</v>
      </c>
      <c r="D126" s="40">
        <v>122</v>
      </c>
      <c r="E126" s="40" t="s">
        <v>59</v>
      </c>
      <c r="F126" s="40" t="str">
        <f>IF(OR(Donnees[[#This Row],[Jour]]="samedi",Donnees[[#This Row],[Jour]]="dimanche"),"Oui","Non")</f>
        <v>Non</v>
      </c>
      <c r="G126" s="40">
        <v>17</v>
      </c>
      <c r="H126" s="40" t="str">
        <f>IF(Donnees[[#This Row],[Heure UTC]]&lt;6,"0-5 h",IF(Donnees[[#This Row],[Heure UTC]]&lt;12,"6-11 h",IF(Donnees[[#This Row],[Heure UTC]]&lt;18,"12-17 h","18-23 h")))</f>
        <v>12-17 h</v>
      </c>
      <c r="I126" s="40">
        <v>15</v>
      </c>
      <c r="J126" s="40" t="str">
        <f>IF(Donnees[[#This Row],[Durée (s)]]&lt;=10,"1. ≤ 10 s",IF(Donnees[[#This Row],[Durée (s)]]&lt;=15,"2. 11-15 s",IF(Donnees[[#This Row],[Durée (s)]]&lt;=30,"3. 16-30 s",IF(Donnees[[#This Row],[Durée (s)]]&lt;=60,"4. 31-60 s","5. &gt; 60 s"))))</f>
        <v>2. 11-15 s</v>
      </c>
      <c r="K126" s="40" t="str">
        <f>IF(Donnees[[#This Row],[Durée (s)]]&gt;15,"Oui","Non")</f>
        <v>Non</v>
      </c>
      <c r="L126" s="40">
        <v>0</v>
      </c>
      <c r="M126" s="40" t="s">
        <v>41</v>
      </c>
      <c r="N126" s="40">
        <v>15</v>
      </c>
      <c r="O126" s="40" t="s">
        <v>41</v>
      </c>
      <c r="P126" s="40" t="s">
        <v>41</v>
      </c>
      <c r="Q126" s="40" t="s">
        <v>41</v>
      </c>
      <c r="R126" s="40"/>
      <c r="S126" s="40"/>
      <c r="T126" s="41"/>
      <c r="U126" s="40" t="str">
        <f>IF(Donnees[[#This Row],[Abonnés]]="","",IF(Donnees[[#This Row],[Abonnés]]&lt;1000000,"1. &lt; 1 M",IF(Donnees[[#This Row],[Abonnés]]&lt;3000000,"2. 1-3 M",IF(Donnees[[#This Row],[Abonnés]]&lt;8000000,"3. 3-8 M","4. ≥ 8 M"))))</f>
        <v/>
      </c>
      <c r="V126" s="41"/>
      <c r="W126" s="41">
        <v>13300000</v>
      </c>
      <c r="X126" s="41">
        <v>4200000</v>
      </c>
      <c r="Y126" s="41">
        <v>88300</v>
      </c>
      <c r="Z126" s="41">
        <v>213700</v>
      </c>
      <c r="AA126" s="42">
        <f>(Donnees[[#This Row],[Likes]]+Donnees[[#This Row],[Commentaires]]+Donnees[[#This Row],[Partages]])/Donnees[[#This Row],[Vues]]</f>
        <v>0.33849624060150374</v>
      </c>
      <c r="AB126" s="40">
        <f>IF(Donnees[[#This Row],[Engagement]]&gt;=VLOOKUP(Donnees[[#This Row],[Échantillon]],'Méthode &amp; limites'!$B$9:$D$11,2,FALSE),1,0)</f>
        <v>1</v>
      </c>
      <c r="AC126" s="43" t="str">
        <f>IF(Donnees[[#This Row],[Abonnés]]="","",Donnees[[#This Row],[Vues]]/Donnees[[#This Row],[Abonnés]])</f>
        <v/>
      </c>
      <c r="AD126" s="40" t="s">
        <v>44</v>
      </c>
      <c r="AE126" s="43">
        <f>SUMPRODUCT((Donnees[Échantillon]=Donnees[[#This Row],[Échantillon]])*(Donnees[Engagement]&lt;Donnees[[#This Row],[Engagement]]))+(SUMPRODUCT((Donnees[Échantillon]=Donnees[[#This Row],[Échantillon]])*(Donnees[Engagement]=Donnees[[#This Row],[Engagement]]))+1)/2</f>
        <v>99</v>
      </c>
      <c r="AF126" s="43">
        <f>SUMPRODUCT((Donnees[Échantillon]=Donnees[[#This Row],[Échantillon]])*(Donnees[Vues]&lt;Donnees[[#This Row],[Vues]]))+(SUMPRODUCT((Donnees[Échantillon]=Donnees[[#This Row],[Échantillon]])*(Donnees[Vues]=Donnees[[#This Row],[Vues]]))+1)/2</f>
        <v>76</v>
      </c>
      <c r="AG126" s="43">
        <f>SUMPRODUCT((Donnees[Échantillon]=Donnees[[#This Row],[Échantillon]])*(Donnees[Durée (s)]&lt;Donnees[[#This Row],[Durée (s)]]))+(SUMPRODUCT((Donnees[Échantillon]=Donnees[[#This Row],[Échantillon]])*(Donnees[Durée (s)]=Donnees[[#This Row],[Durée (s)]]))+1)/2</f>
        <v>43.5</v>
      </c>
      <c r="AH126" s="43">
        <f>SUMPRODUCT((Donnees[Échantillon]=Donnees[[#This Row],[Échantillon]])*(Donnees[Nb hashtags]&lt;Donnees[[#This Row],[Nb hashtags]]))+(SUMPRODUCT((Donnees[Échantillon]=Donnees[[#This Row],[Échantillon]])*(Donnees[Nb hashtags]=Donnees[[#This Row],[Nb hashtags]]))+1)/2</f>
        <v>18.5</v>
      </c>
      <c r="AI126" s="43">
        <f>SUMPRODUCT((Donnees[Échantillon]=Donnees[[#This Row],[Échantillon]])*(Donnees[Longueur du texte]&lt;Donnees[[#This Row],[Longueur du texte]]))+(SUMPRODUCT((Donnees[Échantillon]=Donnees[[#This Row],[Échantillon]])*(Donnees[Longueur du texte]=Donnees[[#This Row],[Longueur du texte]]))+1)/2</f>
        <v>22.5</v>
      </c>
      <c r="AJ126" s="43" t="str">
        <f>IF(Donnees[[#This Row],[Abonnés]]="","",SUMPRODUCT((Donnees[Échantillon]=Donnees[[#This Row],[Échantillon]])*(Donnees[Abonnés]&lt;Donnees[[#This Row],[Abonnés]]))+(SUMPRODUCT((Donnees[Échantillon]=Donnees[[#This Row],[Échantillon]])*(Donnees[Abonnés]=Donnees[[#This Row],[Abonnés]]))+1)/2)</f>
        <v/>
      </c>
      <c r="AK12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27" spans="1:37" x14ac:dyDescent="0.2">
      <c r="A127" s="40" t="s">
        <v>145</v>
      </c>
      <c r="B127" s="40" t="s">
        <v>169</v>
      </c>
      <c r="C127" s="40" t="s">
        <v>39</v>
      </c>
      <c r="D127" s="40">
        <v>118</v>
      </c>
      <c r="E127" s="40" t="s">
        <v>56</v>
      </c>
      <c r="F127" s="40" t="str">
        <f>IF(OR(Donnees[[#This Row],[Jour]]="samedi",Donnees[[#This Row],[Jour]]="dimanche"),"Oui","Non")</f>
        <v>Oui</v>
      </c>
      <c r="G127" s="40">
        <v>4</v>
      </c>
      <c r="H127" s="40" t="str">
        <f>IF(Donnees[[#This Row],[Heure UTC]]&lt;6,"0-5 h",IF(Donnees[[#This Row],[Heure UTC]]&lt;12,"6-11 h",IF(Donnees[[#This Row],[Heure UTC]]&lt;18,"12-17 h","18-23 h")))</f>
        <v>0-5 h</v>
      </c>
      <c r="I127" s="40">
        <v>23</v>
      </c>
      <c r="J127" s="40" t="str">
        <f>IF(Donnees[[#This Row],[Durée (s)]]&lt;=10,"1. ≤ 10 s",IF(Donnees[[#This Row],[Durée (s)]]&lt;=15,"2. 11-15 s",IF(Donnees[[#This Row],[Durée (s)]]&lt;=30,"3. 16-30 s",IF(Donnees[[#This Row],[Durée (s)]]&lt;=60,"4. 31-60 s","5. &gt; 60 s"))))</f>
        <v>3. 16-30 s</v>
      </c>
      <c r="K127" s="40" t="str">
        <f>IF(Donnees[[#This Row],[Durée (s)]]&gt;15,"Oui","Non")</f>
        <v>Oui</v>
      </c>
      <c r="L127" s="40">
        <v>1</v>
      </c>
      <c r="M127" s="40" t="s">
        <v>41</v>
      </c>
      <c r="N127" s="40">
        <v>16</v>
      </c>
      <c r="O127" s="40" t="s">
        <v>41</v>
      </c>
      <c r="P127" s="40" t="s">
        <v>44</v>
      </c>
      <c r="Q127" s="40" t="s">
        <v>41</v>
      </c>
      <c r="R127" s="40"/>
      <c r="S127" s="40"/>
      <c r="T127" s="41"/>
      <c r="U127" s="40" t="str">
        <f>IF(Donnees[[#This Row],[Abonnés]]="","",IF(Donnees[[#This Row],[Abonnés]]&lt;1000000,"1. &lt; 1 M",IF(Donnees[[#This Row],[Abonnés]]&lt;3000000,"2. 1-3 M",IF(Donnees[[#This Row],[Abonnés]]&lt;8000000,"3. 3-8 M","4. ≥ 8 M"))))</f>
        <v/>
      </c>
      <c r="V127" s="41"/>
      <c r="W127" s="41">
        <v>13100000</v>
      </c>
      <c r="X127" s="41">
        <v>3300000</v>
      </c>
      <c r="Y127" s="41">
        <v>40700</v>
      </c>
      <c r="Z127" s="41">
        <v>30400</v>
      </c>
      <c r="AA127" s="42">
        <f>(Donnees[[#This Row],[Likes]]+Donnees[[#This Row],[Commentaires]]+Donnees[[#This Row],[Partages]])/Donnees[[#This Row],[Vues]]</f>
        <v>0.25733587786259543</v>
      </c>
      <c r="AB127" s="40">
        <f>IF(Donnees[[#This Row],[Engagement]]&gt;=VLOOKUP(Donnees[[#This Row],[Échantillon]],'Méthode &amp; limites'!$B$9:$D$11,2,FALSE),1,0)</f>
        <v>1</v>
      </c>
      <c r="AC127" s="43" t="str">
        <f>IF(Donnees[[#This Row],[Abonnés]]="","",Donnees[[#This Row],[Vues]]/Donnees[[#This Row],[Abonnés]])</f>
        <v/>
      </c>
      <c r="AD127" s="40" t="s">
        <v>44</v>
      </c>
      <c r="AE127" s="43">
        <f>SUMPRODUCT((Donnees[Échantillon]=Donnees[[#This Row],[Échantillon]])*(Donnees[Engagement]&lt;Donnees[[#This Row],[Engagement]]))+(SUMPRODUCT((Donnees[Échantillon]=Donnees[[#This Row],[Échantillon]])*(Donnees[Engagement]=Donnees[[#This Row],[Engagement]]))+1)/2</f>
        <v>82</v>
      </c>
      <c r="AF127" s="43">
        <f>SUMPRODUCT((Donnees[Échantillon]=Donnees[[#This Row],[Échantillon]])*(Donnees[Vues]&lt;Donnees[[#This Row],[Vues]]))+(SUMPRODUCT((Donnees[Échantillon]=Donnees[[#This Row],[Échantillon]])*(Donnees[Vues]=Donnees[[#This Row],[Vues]]))+1)/2</f>
        <v>75</v>
      </c>
      <c r="AG127" s="43">
        <f>SUMPRODUCT((Donnees[Échantillon]=Donnees[[#This Row],[Échantillon]])*(Donnees[Durée (s)]&lt;Donnees[[#This Row],[Durée (s)]]))+(SUMPRODUCT((Donnees[Échantillon]=Donnees[[#This Row],[Échantillon]])*(Donnees[Durée (s)]=Donnees[[#This Row],[Durée (s)]]))+1)/2</f>
        <v>62.5</v>
      </c>
      <c r="AH127" s="43">
        <f>SUMPRODUCT((Donnees[Échantillon]=Donnees[[#This Row],[Échantillon]])*(Donnees[Nb hashtags]&lt;Donnees[[#This Row],[Nb hashtags]]))+(SUMPRODUCT((Donnees[Échantillon]=Donnees[[#This Row],[Échantillon]])*(Donnees[Nb hashtags]=Donnees[[#This Row],[Nb hashtags]]))+1)/2</f>
        <v>45.5</v>
      </c>
      <c r="AI127" s="43">
        <f>SUMPRODUCT((Donnees[Échantillon]=Donnees[[#This Row],[Échantillon]])*(Donnees[Longueur du texte]&lt;Donnees[[#This Row],[Longueur du texte]]))+(SUMPRODUCT((Donnees[Échantillon]=Donnees[[#This Row],[Échantillon]])*(Donnees[Longueur du texte]=Donnees[[#This Row],[Longueur du texte]]))+1)/2</f>
        <v>24</v>
      </c>
      <c r="AJ127" s="43" t="str">
        <f>IF(Donnees[[#This Row],[Abonnés]]="","",SUMPRODUCT((Donnees[Échantillon]=Donnees[[#This Row],[Échantillon]])*(Donnees[Abonnés]&lt;Donnees[[#This Row],[Abonnés]]))+(SUMPRODUCT((Donnees[Échantillon]=Donnees[[#This Row],[Échantillon]])*(Donnees[Abonnés]=Donnees[[#This Row],[Abonnés]]))+1)/2)</f>
        <v/>
      </c>
      <c r="AK12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28" spans="1:37" x14ac:dyDescent="0.2">
      <c r="A128" s="40" t="s">
        <v>145</v>
      </c>
      <c r="B128" s="40" t="s">
        <v>170</v>
      </c>
      <c r="C128" s="40" t="s">
        <v>39</v>
      </c>
      <c r="D128" s="40">
        <v>155</v>
      </c>
      <c r="E128" s="40" t="s">
        <v>68</v>
      </c>
      <c r="F128" s="40" t="str">
        <f>IF(OR(Donnees[[#This Row],[Jour]]="samedi",Donnees[[#This Row],[Jour]]="dimanche"),"Oui","Non")</f>
        <v>Non</v>
      </c>
      <c r="G128" s="40">
        <v>22</v>
      </c>
      <c r="H128" s="40" t="str">
        <f>IF(Donnees[[#This Row],[Heure UTC]]&lt;6,"0-5 h",IF(Donnees[[#This Row],[Heure UTC]]&lt;12,"6-11 h",IF(Donnees[[#This Row],[Heure UTC]]&lt;18,"12-17 h","18-23 h")))</f>
        <v>18-23 h</v>
      </c>
      <c r="I128" s="40">
        <v>11</v>
      </c>
      <c r="J128" s="40" t="str">
        <f>IF(Donnees[[#This Row],[Durée (s)]]&lt;=10,"1. ≤ 10 s",IF(Donnees[[#This Row],[Durée (s)]]&lt;=15,"2. 11-15 s",IF(Donnees[[#This Row],[Durée (s)]]&lt;=30,"3. 16-30 s",IF(Donnees[[#This Row],[Durée (s)]]&lt;=60,"4. 31-60 s","5. &gt; 60 s"))))</f>
        <v>2. 11-15 s</v>
      </c>
      <c r="K128" s="40" t="str">
        <f>IF(Donnees[[#This Row],[Durée (s)]]&gt;15,"Oui","Non")</f>
        <v>Non</v>
      </c>
      <c r="L128" s="40">
        <v>0</v>
      </c>
      <c r="M128" s="40" t="s">
        <v>41</v>
      </c>
      <c r="N128" s="40">
        <v>24</v>
      </c>
      <c r="O128" s="40" t="s">
        <v>41</v>
      </c>
      <c r="P128" s="40" t="s">
        <v>44</v>
      </c>
      <c r="Q128" s="40" t="s">
        <v>41</v>
      </c>
      <c r="R128" s="40"/>
      <c r="S128" s="40"/>
      <c r="T128" s="41"/>
      <c r="U128" s="40" t="str">
        <f>IF(Donnees[[#This Row],[Abonnés]]="","",IF(Donnees[[#This Row],[Abonnés]]&lt;1000000,"1. &lt; 1 M",IF(Donnees[[#This Row],[Abonnés]]&lt;3000000,"2. 1-3 M",IF(Donnees[[#This Row],[Abonnés]]&lt;8000000,"3. 3-8 M","4. ≥ 8 M"))))</f>
        <v/>
      </c>
      <c r="V128" s="41"/>
      <c r="W128" s="41">
        <v>12900000</v>
      </c>
      <c r="X128" s="41">
        <v>3100000</v>
      </c>
      <c r="Y128" s="41">
        <v>15800</v>
      </c>
      <c r="Z128" s="41">
        <v>11200</v>
      </c>
      <c r="AA128" s="42">
        <f>(Donnees[[#This Row],[Likes]]+Donnees[[#This Row],[Commentaires]]+Donnees[[#This Row],[Partages]])/Donnees[[#This Row],[Vues]]</f>
        <v>0.24240310077519381</v>
      </c>
      <c r="AB128" s="40">
        <f>IF(Donnees[[#This Row],[Engagement]]&gt;=VLOOKUP(Donnees[[#This Row],[Échantillon]],'Méthode &amp; limites'!$B$9:$D$11,2,FALSE),1,0)</f>
        <v>0</v>
      </c>
      <c r="AC128" s="43" t="str">
        <f>IF(Donnees[[#This Row],[Abonnés]]="","",Donnees[[#This Row],[Vues]]/Donnees[[#This Row],[Abonnés]])</f>
        <v/>
      </c>
      <c r="AD128" s="40" t="s">
        <v>44</v>
      </c>
      <c r="AE128" s="43">
        <f>SUMPRODUCT((Donnees[Échantillon]=Donnees[[#This Row],[Échantillon]])*(Donnees[Engagement]&lt;Donnees[[#This Row],[Engagement]]))+(SUMPRODUCT((Donnees[Échantillon]=Donnees[[#This Row],[Échantillon]])*(Donnees[Engagement]=Donnees[[#This Row],[Engagement]]))+1)/2</f>
        <v>75</v>
      </c>
      <c r="AF128" s="43">
        <f>SUMPRODUCT((Donnees[Échantillon]=Donnees[[#This Row],[Échantillon]])*(Donnees[Vues]&lt;Donnees[[#This Row],[Vues]]))+(SUMPRODUCT((Donnees[Échantillon]=Donnees[[#This Row],[Échantillon]])*(Donnees[Vues]=Donnees[[#This Row],[Vues]]))+1)/2</f>
        <v>74</v>
      </c>
      <c r="AG128" s="43">
        <f>SUMPRODUCT((Donnees[Échantillon]=Donnees[[#This Row],[Échantillon]])*(Donnees[Durée (s)]&lt;Donnees[[#This Row],[Durée (s)]]))+(SUMPRODUCT((Donnees[Échantillon]=Donnees[[#This Row],[Échantillon]])*(Donnees[Durée (s)]=Donnees[[#This Row],[Durée (s)]]))+1)/2</f>
        <v>18</v>
      </c>
      <c r="AH128" s="43">
        <f>SUMPRODUCT((Donnees[Échantillon]=Donnees[[#This Row],[Échantillon]])*(Donnees[Nb hashtags]&lt;Donnees[[#This Row],[Nb hashtags]]))+(SUMPRODUCT((Donnees[Échantillon]=Donnees[[#This Row],[Échantillon]])*(Donnees[Nb hashtags]=Donnees[[#This Row],[Nb hashtags]]))+1)/2</f>
        <v>18.5</v>
      </c>
      <c r="AI128" s="43">
        <f>SUMPRODUCT((Donnees[Échantillon]=Donnees[[#This Row],[Échantillon]])*(Donnees[Longueur du texte]&lt;Donnees[[#This Row],[Longueur du texte]]))+(SUMPRODUCT((Donnees[Échantillon]=Donnees[[#This Row],[Échantillon]])*(Donnees[Longueur du texte]=Donnees[[#This Row],[Longueur du texte]]))+1)/2</f>
        <v>38.5</v>
      </c>
      <c r="AJ128" s="43" t="str">
        <f>IF(Donnees[[#This Row],[Abonnés]]="","",SUMPRODUCT((Donnees[Échantillon]=Donnees[[#This Row],[Échantillon]])*(Donnees[Abonnés]&lt;Donnees[[#This Row],[Abonnés]]))+(SUMPRODUCT((Donnees[Échantillon]=Donnees[[#This Row],[Échantillon]])*(Donnees[Abonnés]=Donnees[[#This Row],[Abonnés]]))+1)/2)</f>
        <v/>
      </c>
      <c r="AK12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29" spans="1:37" x14ac:dyDescent="0.2">
      <c r="A129" s="40" t="s">
        <v>145</v>
      </c>
      <c r="B129" s="40" t="s">
        <v>171</v>
      </c>
      <c r="C129" s="40" t="s">
        <v>39</v>
      </c>
      <c r="D129" s="40">
        <v>52</v>
      </c>
      <c r="E129" s="40" t="s">
        <v>59</v>
      </c>
      <c r="F129" s="40" t="str">
        <f>IF(OR(Donnees[[#This Row],[Jour]]="samedi",Donnees[[#This Row],[Jour]]="dimanche"),"Oui","Non")</f>
        <v>Non</v>
      </c>
      <c r="G129" s="40">
        <v>17</v>
      </c>
      <c r="H129" s="40" t="str">
        <f>IF(Donnees[[#This Row],[Heure UTC]]&lt;6,"0-5 h",IF(Donnees[[#This Row],[Heure UTC]]&lt;12,"6-11 h",IF(Donnees[[#This Row],[Heure UTC]]&lt;18,"12-17 h","18-23 h")))</f>
        <v>12-17 h</v>
      </c>
      <c r="I129" s="40">
        <v>14</v>
      </c>
      <c r="J129" s="40" t="str">
        <f>IF(Donnees[[#This Row],[Durée (s)]]&lt;=10,"1. ≤ 10 s",IF(Donnees[[#This Row],[Durée (s)]]&lt;=15,"2. 11-15 s",IF(Donnees[[#This Row],[Durée (s)]]&lt;=30,"3. 16-30 s",IF(Donnees[[#This Row],[Durée (s)]]&lt;=60,"4. 31-60 s","5. &gt; 60 s"))))</f>
        <v>2. 11-15 s</v>
      </c>
      <c r="K129" s="40" t="str">
        <f>IF(Donnees[[#This Row],[Durée (s)]]&gt;15,"Oui","Non")</f>
        <v>Non</v>
      </c>
      <c r="L129" s="40">
        <v>0</v>
      </c>
      <c r="M129" s="40" t="s">
        <v>41</v>
      </c>
      <c r="N129" s="40">
        <v>23</v>
      </c>
      <c r="O129" s="40" t="s">
        <v>41</v>
      </c>
      <c r="P129" s="40" t="s">
        <v>44</v>
      </c>
      <c r="Q129" s="40" t="s">
        <v>41</v>
      </c>
      <c r="R129" s="40"/>
      <c r="S129" s="40"/>
      <c r="T129" s="41"/>
      <c r="U129" s="40" t="str">
        <f>IF(Donnees[[#This Row],[Abonnés]]="","",IF(Donnees[[#This Row],[Abonnés]]&lt;1000000,"1. &lt; 1 M",IF(Donnees[[#This Row],[Abonnés]]&lt;3000000,"2. 1-3 M",IF(Donnees[[#This Row],[Abonnés]]&lt;8000000,"3. 3-8 M","4. ≥ 8 M"))))</f>
        <v/>
      </c>
      <c r="V129" s="41"/>
      <c r="W129" s="41">
        <v>12300000</v>
      </c>
      <c r="X129" s="41">
        <v>1200000</v>
      </c>
      <c r="Y129" s="41">
        <v>11400</v>
      </c>
      <c r="Z129" s="41">
        <v>5580</v>
      </c>
      <c r="AA129" s="42">
        <f>(Donnees[[#This Row],[Likes]]+Donnees[[#This Row],[Commentaires]]+Donnees[[#This Row],[Partages]])/Donnees[[#This Row],[Vues]]</f>
        <v>9.894146341463414E-2</v>
      </c>
      <c r="AB129" s="40">
        <f>IF(Donnees[[#This Row],[Engagement]]&gt;=VLOOKUP(Donnees[[#This Row],[Échantillon]],'Méthode &amp; limites'!$B$9:$D$11,2,FALSE),1,0)</f>
        <v>0</v>
      </c>
      <c r="AC129" s="43" t="str">
        <f>IF(Donnees[[#This Row],[Abonnés]]="","",Donnees[[#This Row],[Vues]]/Donnees[[#This Row],[Abonnés]])</f>
        <v/>
      </c>
      <c r="AD129" s="40" t="s">
        <v>44</v>
      </c>
      <c r="AE129" s="43">
        <f>SUMPRODUCT((Donnees[Échantillon]=Donnees[[#This Row],[Échantillon]])*(Donnees[Engagement]&lt;Donnees[[#This Row],[Engagement]]))+(SUMPRODUCT((Donnees[Échantillon]=Donnees[[#This Row],[Échantillon]])*(Donnees[Engagement]=Donnees[[#This Row],[Engagement]]))+1)/2</f>
        <v>20</v>
      </c>
      <c r="AF129" s="43">
        <f>SUMPRODUCT((Donnees[Échantillon]=Donnees[[#This Row],[Échantillon]])*(Donnees[Vues]&lt;Donnees[[#This Row],[Vues]]))+(SUMPRODUCT((Donnees[Échantillon]=Donnees[[#This Row],[Échantillon]])*(Donnees[Vues]=Donnees[[#This Row],[Vues]]))+1)/2</f>
        <v>73</v>
      </c>
      <c r="AG129" s="43">
        <f>SUMPRODUCT((Donnees[Échantillon]=Donnees[[#This Row],[Échantillon]])*(Donnees[Durée (s)]&lt;Donnees[[#This Row],[Durée (s)]]))+(SUMPRODUCT((Donnees[Échantillon]=Donnees[[#This Row],[Échantillon]])*(Donnees[Durée (s)]=Donnees[[#This Row],[Durée (s)]]))+1)/2</f>
        <v>31.5</v>
      </c>
      <c r="AH129" s="43">
        <f>SUMPRODUCT((Donnees[Échantillon]=Donnees[[#This Row],[Échantillon]])*(Donnees[Nb hashtags]&lt;Donnees[[#This Row],[Nb hashtags]]))+(SUMPRODUCT((Donnees[Échantillon]=Donnees[[#This Row],[Échantillon]])*(Donnees[Nb hashtags]=Donnees[[#This Row],[Nb hashtags]]))+1)/2</f>
        <v>18.5</v>
      </c>
      <c r="AI129" s="43">
        <f>SUMPRODUCT((Donnees[Échantillon]=Donnees[[#This Row],[Échantillon]])*(Donnees[Longueur du texte]&lt;Donnees[[#This Row],[Longueur du texte]]))+(SUMPRODUCT((Donnees[Échantillon]=Donnees[[#This Row],[Échantillon]])*(Donnees[Longueur du texte]=Donnees[[#This Row],[Longueur du texte]]))+1)/2</f>
        <v>35.5</v>
      </c>
      <c r="AJ129" s="43" t="str">
        <f>IF(Donnees[[#This Row],[Abonnés]]="","",SUMPRODUCT((Donnees[Échantillon]=Donnees[[#This Row],[Échantillon]])*(Donnees[Abonnés]&lt;Donnees[[#This Row],[Abonnés]]))+(SUMPRODUCT((Donnees[Échantillon]=Donnees[[#This Row],[Échantillon]])*(Donnees[Abonnés]=Donnees[[#This Row],[Abonnés]]))+1)/2)</f>
        <v/>
      </c>
      <c r="AK12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30" spans="1:37" x14ac:dyDescent="0.2">
      <c r="A130" s="40" t="s">
        <v>145</v>
      </c>
      <c r="B130" s="40" t="s">
        <v>172</v>
      </c>
      <c r="C130" s="40" t="s">
        <v>39</v>
      </c>
      <c r="D130" s="40">
        <v>19</v>
      </c>
      <c r="E130" s="40" t="s">
        <v>71</v>
      </c>
      <c r="F130" s="40" t="str">
        <f>IF(OR(Donnees[[#This Row],[Jour]]="samedi",Donnees[[#This Row],[Jour]]="dimanche"),"Oui","Non")</f>
        <v>Non</v>
      </c>
      <c r="G130" s="40">
        <v>18</v>
      </c>
      <c r="H130" s="40" t="str">
        <f>IF(Donnees[[#This Row],[Heure UTC]]&lt;6,"0-5 h",IF(Donnees[[#This Row],[Heure UTC]]&lt;12,"6-11 h",IF(Donnees[[#This Row],[Heure UTC]]&lt;18,"12-17 h","18-23 h")))</f>
        <v>18-23 h</v>
      </c>
      <c r="I130" s="40">
        <v>14</v>
      </c>
      <c r="J130" s="40" t="str">
        <f>IF(Donnees[[#This Row],[Durée (s)]]&lt;=10,"1. ≤ 10 s",IF(Donnees[[#This Row],[Durée (s)]]&lt;=15,"2. 11-15 s",IF(Donnees[[#This Row],[Durée (s)]]&lt;=30,"3. 16-30 s",IF(Donnees[[#This Row],[Durée (s)]]&lt;=60,"4. 31-60 s","5. &gt; 60 s"))))</f>
        <v>2. 11-15 s</v>
      </c>
      <c r="K130" s="40" t="str">
        <f>IF(Donnees[[#This Row],[Durée (s)]]&gt;15,"Oui","Non")</f>
        <v>Non</v>
      </c>
      <c r="L130" s="40">
        <v>0</v>
      </c>
      <c r="M130" s="40" t="s">
        <v>41</v>
      </c>
      <c r="N130" s="40">
        <v>1</v>
      </c>
      <c r="O130" s="40" t="s">
        <v>41</v>
      </c>
      <c r="P130" s="40" t="s">
        <v>41</v>
      </c>
      <c r="Q130" s="40" t="s">
        <v>41</v>
      </c>
      <c r="R130" s="40"/>
      <c r="S130" s="40"/>
      <c r="T130" s="41"/>
      <c r="U130" s="40" t="str">
        <f>IF(Donnees[[#This Row],[Abonnés]]="","",IF(Donnees[[#This Row],[Abonnés]]&lt;1000000,"1. &lt; 1 M",IF(Donnees[[#This Row],[Abonnés]]&lt;3000000,"2. 1-3 M",IF(Donnees[[#This Row],[Abonnés]]&lt;8000000,"3. 3-8 M","4. ≥ 8 M"))))</f>
        <v/>
      </c>
      <c r="V130" s="41"/>
      <c r="W130" s="41">
        <v>11000000</v>
      </c>
      <c r="X130" s="41">
        <v>2500000</v>
      </c>
      <c r="Y130" s="41">
        <v>40600</v>
      </c>
      <c r="Z130" s="41">
        <v>95600</v>
      </c>
      <c r="AA130" s="42">
        <f>(Donnees[[#This Row],[Likes]]+Donnees[[#This Row],[Commentaires]]+Donnees[[#This Row],[Partages]])/Donnees[[#This Row],[Vues]]</f>
        <v>0.23965454545454545</v>
      </c>
      <c r="AB130" s="40">
        <f>IF(Donnees[[#This Row],[Engagement]]&gt;=VLOOKUP(Donnees[[#This Row],[Échantillon]],'Méthode &amp; limites'!$B$9:$D$11,2,FALSE),1,0)</f>
        <v>0</v>
      </c>
      <c r="AC130" s="43" t="str">
        <f>IF(Donnees[[#This Row],[Abonnés]]="","",Donnees[[#This Row],[Vues]]/Donnees[[#This Row],[Abonnés]])</f>
        <v/>
      </c>
      <c r="AD130" s="40" t="s">
        <v>44</v>
      </c>
      <c r="AE130" s="43">
        <f>SUMPRODUCT((Donnees[Échantillon]=Donnees[[#This Row],[Échantillon]])*(Donnees[Engagement]&lt;Donnees[[#This Row],[Engagement]]))+(SUMPRODUCT((Donnees[Échantillon]=Donnees[[#This Row],[Échantillon]])*(Donnees[Engagement]=Donnees[[#This Row],[Engagement]]))+1)/2</f>
        <v>72</v>
      </c>
      <c r="AF130" s="43">
        <f>SUMPRODUCT((Donnees[Échantillon]=Donnees[[#This Row],[Échantillon]])*(Donnees[Vues]&lt;Donnees[[#This Row],[Vues]]))+(SUMPRODUCT((Donnees[Échantillon]=Donnees[[#This Row],[Échantillon]])*(Donnees[Vues]=Donnees[[#This Row],[Vues]]))+1)/2</f>
        <v>71.5</v>
      </c>
      <c r="AG130" s="43">
        <f>SUMPRODUCT((Donnees[Échantillon]=Donnees[[#This Row],[Échantillon]])*(Donnees[Durée (s)]&lt;Donnees[[#This Row],[Durée (s)]]))+(SUMPRODUCT((Donnees[Échantillon]=Donnees[[#This Row],[Échantillon]])*(Donnees[Durée (s)]=Donnees[[#This Row],[Durée (s)]]))+1)/2</f>
        <v>31.5</v>
      </c>
      <c r="AH130" s="43">
        <f>SUMPRODUCT((Donnees[Échantillon]=Donnees[[#This Row],[Échantillon]])*(Donnees[Nb hashtags]&lt;Donnees[[#This Row],[Nb hashtags]]))+(SUMPRODUCT((Donnees[Échantillon]=Donnees[[#This Row],[Échantillon]])*(Donnees[Nb hashtags]=Donnees[[#This Row],[Nb hashtags]]))+1)/2</f>
        <v>18.5</v>
      </c>
      <c r="AI130" s="43">
        <f>SUMPRODUCT((Donnees[Échantillon]=Donnees[[#This Row],[Échantillon]])*(Donnees[Longueur du texte]&lt;Donnees[[#This Row],[Longueur du texte]]))+(SUMPRODUCT((Donnees[Échantillon]=Donnees[[#This Row],[Échantillon]])*(Donnees[Longueur du texte]=Donnees[[#This Row],[Longueur du texte]]))+1)/2</f>
        <v>12</v>
      </c>
      <c r="AJ130" s="43" t="str">
        <f>IF(Donnees[[#This Row],[Abonnés]]="","",SUMPRODUCT((Donnees[Échantillon]=Donnees[[#This Row],[Échantillon]])*(Donnees[Abonnés]&lt;Donnees[[#This Row],[Abonnés]]))+(SUMPRODUCT((Donnees[Échantillon]=Donnees[[#This Row],[Échantillon]])*(Donnees[Abonnés]=Donnees[[#This Row],[Abonnés]]))+1)/2)</f>
        <v/>
      </c>
      <c r="AK13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31" spans="1:37" x14ac:dyDescent="0.2">
      <c r="A131" s="40" t="s">
        <v>145</v>
      </c>
      <c r="B131" s="40" t="s">
        <v>173</v>
      </c>
      <c r="C131" s="40" t="s">
        <v>39</v>
      </c>
      <c r="D131" s="40">
        <v>117</v>
      </c>
      <c r="E131" s="40" t="s">
        <v>71</v>
      </c>
      <c r="F131" s="40" t="str">
        <f>IF(OR(Donnees[[#This Row],[Jour]]="samedi",Donnees[[#This Row],[Jour]]="dimanche"),"Oui","Non")</f>
        <v>Non</v>
      </c>
      <c r="G131" s="40">
        <v>19</v>
      </c>
      <c r="H131" s="40" t="str">
        <f>IF(Donnees[[#This Row],[Heure UTC]]&lt;6,"0-5 h",IF(Donnees[[#This Row],[Heure UTC]]&lt;12,"6-11 h",IF(Donnees[[#This Row],[Heure UTC]]&lt;18,"12-17 h","18-23 h")))</f>
        <v>18-23 h</v>
      </c>
      <c r="I131" s="40">
        <v>6</v>
      </c>
      <c r="J131" s="40" t="str">
        <f>IF(Donnees[[#This Row],[Durée (s)]]&lt;=10,"1. ≤ 10 s",IF(Donnees[[#This Row],[Durée (s)]]&lt;=15,"2. 11-15 s",IF(Donnees[[#This Row],[Durée (s)]]&lt;=30,"3. 16-30 s",IF(Donnees[[#This Row],[Durée (s)]]&lt;=60,"4. 31-60 s","5. &gt; 60 s"))))</f>
        <v>1. ≤ 10 s</v>
      </c>
      <c r="K131" s="40" t="str">
        <f>IF(Donnees[[#This Row],[Durée (s)]]&gt;15,"Oui","Non")</f>
        <v>Non</v>
      </c>
      <c r="L131" s="40">
        <v>3</v>
      </c>
      <c r="M131" s="40" t="s">
        <v>44</v>
      </c>
      <c r="N131" s="40">
        <v>12</v>
      </c>
      <c r="O131" s="40" t="s">
        <v>41</v>
      </c>
      <c r="P131" s="40" t="s">
        <v>41</v>
      </c>
      <c r="Q131" s="40" t="s">
        <v>41</v>
      </c>
      <c r="R131" s="40"/>
      <c r="S131" s="40"/>
      <c r="T131" s="41"/>
      <c r="U131" s="40" t="str">
        <f>IF(Donnees[[#This Row],[Abonnés]]="","",IF(Donnees[[#This Row],[Abonnés]]&lt;1000000,"1. &lt; 1 M",IF(Donnees[[#This Row],[Abonnés]]&lt;3000000,"2. 1-3 M",IF(Donnees[[#This Row],[Abonnés]]&lt;8000000,"3. 3-8 M","4. ≥ 8 M"))))</f>
        <v/>
      </c>
      <c r="V131" s="41"/>
      <c r="W131" s="41">
        <v>11000000</v>
      </c>
      <c r="X131" s="41">
        <v>1800000</v>
      </c>
      <c r="Y131" s="41">
        <v>24900</v>
      </c>
      <c r="Z131" s="41">
        <v>37700</v>
      </c>
      <c r="AA131" s="42">
        <f>(Donnees[[#This Row],[Likes]]+Donnees[[#This Row],[Commentaires]]+Donnees[[#This Row],[Partages]])/Donnees[[#This Row],[Vues]]</f>
        <v>0.16932727272727272</v>
      </c>
      <c r="AB131" s="40">
        <f>IF(Donnees[[#This Row],[Engagement]]&gt;=VLOOKUP(Donnees[[#This Row],[Échantillon]],'Méthode &amp; limites'!$B$9:$D$11,2,FALSE),1,0)</f>
        <v>0</v>
      </c>
      <c r="AC131" s="43" t="str">
        <f>IF(Donnees[[#This Row],[Abonnés]]="","",Donnees[[#This Row],[Vues]]/Donnees[[#This Row],[Abonnés]])</f>
        <v/>
      </c>
      <c r="AD131" s="40" t="s">
        <v>44</v>
      </c>
      <c r="AE131" s="43">
        <f>SUMPRODUCT((Donnees[Échantillon]=Donnees[[#This Row],[Échantillon]])*(Donnees[Engagement]&lt;Donnees[[#This Row],[Engagement]]))+(SUMPRODUCT((Donnees[Échantillon]=Donnees[[#This Row],[Échantillon]])*(Donnees[Engagement]=Donnees[[#This Row],[Engagement]]))+1)/2</f>
        <v>44</v>
      </c>
      <c r="AF131" s="43">
        <f>SUMPRODUCT((Donnees[Échantillon]=Donnees[[#This Row],[Échantillon]])*(Donnees[Vues]&lt;Donnees[[#This Row],[Vues]]))+(SUMPRODUCT((Donnees[Échantillon]=Donnees[[#This Row],[Échantillon]])*(Donnees[Vues]=Donnees[[#This Row],[Vues]]))+1)/2</f>
        <v>71.5</v>
      </c>
      <c r="AG131" s="43">
        <f>SUMPRODUCT((Donnees[Échantillon]=Donnees[[#This Row],[Échantillon]])*(Donnees[Durée (s)]&lt;Donnees[[#This Row],[Durée (s)]]))+(SUMPRODUCT((Donnees[Échantillon]=Donnees[[#This Row],[Échantillon]])*(Donnees[Durée (s)]=Donnees[[#This Row],[Durée (s)]]))+1)/2</f>
        <v>1</v>
      </c>
      <c r="AH131" s="43">
        <f>SUMPRODUCT((Donnees[Échantillon]=Donnees[[#This Row],[Échantillon]])*(Donnees[Nb hashtags]&lt;Donnees[[#This Row],[Nb hashtags]]))+(SUMPRODUCT((Donnees[Échantillon]=Donnees[[#This Row],[Échantillon]])*(Donnees[Nb hashtags]=Donnees[[#This Row],[Nb hashtags]]))+1)/2</f>
        <v>74</v>
      </c>
      <c r="AI131" s="43">
        <f>SUMPRODUCT((Donnees[Échantillon]=Donnees[[#This Row],[Échantillon]])*(Donnees[Longueur du texte]&lt;Donnees[[#This Row],[Longueur du texte]]))+(SUMPRODUCT((Donnees[Échantillon]=Donnees[[#This Row],[Échantillon]])*(Donnees[Longueur du texte]=Donnees[[#This Row],[Longueur du texte]]))+1)/2</f>
        <v>19</v>
      </c>
      <c r="AJ131" s="43" t="str">
        <f>IF(Donnees[[#This Row],[Abonnés]]="","",SUMPRODUCT((Donnees[Échantillon]=Donnees[[#This Row],[Échantillon]])*(Donnees[Abonnés]&lt;Donnees[[#This Row],[Abonnés]]))+(SUMPRODUCT((Donnees[Échantillon]=Donnees[[#This Row],[Échantillon]])*(Donnees[Abonnés]=Donnees[[#This Row],[Abonnés]]))+1)/2)</f>
        <v/>
      </c>
      <c r="AK13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32" spans="1:37" x14ac:dyDescent="0.2">
      <c r="A132" s="40" t="s">
        <v>145</v>
      </c>
      <c r="B132" s="40" t="s">
        <v>174</v>
      </c>
      <c r="C132" s="40" t="s">
        <v>39</v>
      </c>
      <c r="D132" s="40">
        <v>108</v>
      </c>
      <c r="E132" s="40" t="s">
        <v>59</v>
      </c>
      <c r="F132" s="40" t="str">
        <f>IF(OR(Donnees[[#This Row],[Jour]]="samedi",Donnees[[#This Row],[Jour]]="dimanche"),"Oui","Non")</f>
        <v>Non</v>
      </c>
      <c r="G132" s="40">
        <v>17</v>
      </c>
      <c r="H132" s="40" t="str">
        <f>IF(Donnees[[#This Row],[Heure UTC]]&lt;6,"0-5 h",IF(Donnees[[#This Row],[Heure UTC]]&lt;12,"6-11 h",IF(Donnees[[#This Row],[Heure UTC]]&lt;18,"12-17 h","18-23 h")))</f>
        <v>12-17 h</v>
      </c>
      <c r="I132" s="40">
        <v>10</v>
      </c>
      <c r="J132" s="40" t="str">
        <f>IF(Donnees[[#This Row],[Durée (s)]]&lt;=10,"1. ≤ 10 s",IF(Donnees[[#This Row],[Durée (s)]]&lt;=15,"2. 11-15 s",IF(Donnees[[#This Row],[Durée (s)]]&lt;=30,"3. 16-30 s",IF(Donnees[[#This Row],[Durée (s)]]&lt;=60,"4. 31-60 s","5. &gt; 60 s"))))</f>
        <v>1. ≤ 10 s</v>
      </c>
      <c r="K132" s="40" t="str">
        <f>IF(Donnees[[#This Row],[Durée (s)]]&gt;15,"Oui","Non")</f>
        <v>Non</v>
      </c>
      <c r="L132" s="40">
        <v>0</v>
      </c>
      <c r="M132" s="40" t="s">
        <v>41</v>
      </c>
      <c r="N132" s="40">
        <v>64</v>
      </c>
      <c r="O132" s="40" t="s">
        <v>41</v>
      </c>
      <c r="P132" s="40" t="s">
        <v>41</v>
      </c>
      <c r="Q132" s="40" t="s">
        <v>41</v>
      </c>
      <c r="R132" s="40"/>
      <c r="S132" s="40"/>
      <c r="T132" s="41"/>
      <c r="U132" s="40" t="str">
        <f>IF(Donnees[[#This Row],[Abonnés]]="","",IF(Donnees[[#This Row],[Abonnés]]&lt;1000000,"1. &lt; 1 M",IF(Donnees[[#This Row],[Abonnés]]&lt;3000000,"2. 1-3 M",IF(Donnees[[#This Row],[Abonnés]]&lt;8000000,"3. 3-8 M","4. ≥ 8 M"))))</f>
        <v/>
      </c>
      <c r="V132" s="41"/>
      <c r="W132" s="41">
        <v>10900000</v>
      </c>
      <c r="X132" s="41">
        <v>2900000</v>
      </c>
      <c r="Y132" s="41">
        <v>10700</v>
      </c>
      <c r="Z132" s="41">
        <v>10200</v>
      </c>
      <c r="AA132" s="42">
        <f>(Donnees[[#This Row],[Likes]]+Donnees[[#This Row],[Commentaires]]+Donnees[[#This Row],[Partages]])/Donnees[[#This Row],[Vues]]</f>
        <v>0.26797247706422017</v>
      </c>
      <c r="AB132" s="40">
        <f>IF(Donnees[[#This Row],[Engagement]]&gt;=VLOOKUP(Donnees[[#This Row],[Échantillon]],'Méthode &amp; limites'!$B$9:$D$11,2,FALSE),1,0)</f>
        <v>1</v>
      </c>
      <c r="AC132" s="43" t="str">
        <f>IF(Donnees[[#This Row],[Abonnés]]="","",Donnees[[#This Row],[Vues]]/Donnees[[#This Row],[Abonnés]])</f>
        <v/>
      </c>
      <c r="AD132" s="40" t="s">
        <v>44</v>
      </c>
      <c r="AE132" s="43">
        <f>SUMPRODUCT((Donnees[Échantillon]=Donnees[[#This Row],[Échantillon]])*(Donnees[Engagement]&lt;Donnees[[#This Row],[Engagement]]))+(SUMPRODUCT((Donnees[Échantillon]=Donnees[[#This Row],[Échantillon]])*(Donnees[Engagement]=Donnees[[#This Row],[Engagement]]))+1)/2</f>
        <v>88</v>
      </c>
      <c r="AF132" s="43">
        <f>SUMPRODUCT((Donnees[Échantillon]=Donnees[[#This Row],[Échantillon]])*(Donnees[Vues]&lt;Donnees[[#This Row],[Vues]]))+(SUMPRODUCT((Donnees[Échantillon]=Donnees[[#This Row],[Échantillon]])*(Donnees[Vues]=Donnees[[#This Row],[Vues]]))+1)/2</f>
        <v>70</v>
      </c>
      <c r="AG132" s="43">
        <f>SUMPRODUCT((Donnees[Échantillon]=Donnees[[#This Row],[Échantillon]])*(Donnees[Durée (s)]&lt;Donnees[[#This Row],[Durée (s)]]))+(SUMPRODUCT((Donnees[Échantillon]=Donnees[[#This Row],[Échantillon]])*(Donnees[Durée (s)]=Donnees[[#This Row],[Durée (s)]]))+1)/2</f>
        <v>11</v>
      </c>
      <c r="AH132" s="43">
        <f>SUMPRODUCT((Donnees[Échantillon]=Donnees[[#This Row],[Échantillon]])*(Donnees[Nb hashtags]&lt;Donnees[[#This Row],[Nb hashtags]]))+(SUMPRODUCT((Donnees[Échantillon]=Donnees[[#This Row],[Échantillon]])*(Donnees[Nb hashtags]=Donnees[[#This Row],[Nb hashtags]]))+1)/2</f>
        <v>18.5</v>
      </c>
      <c r="AI132" s="43">
        <f>SUMPRODUCT((Donnees[Échantillon]=Donnees[[#This Row],[Échantillon]])*(Donnees[Longueur du texte]&lt;Donnees[[#This Row],[Longueur du texte]]))+(SUMPRODUCT((Donnees[Échantillon]=Donnees[[#This Row],[Échantillon]])*(Donnees[Longueur du texte]=Donnees[[#This Row],[Longueur du texte]]))+1)/2</f>
        <v>81</v>
      </c>
      <c r="AJ132" s="43" t="str">
        <f>IF(Donnees[[#This Row],[Abonnés]]="","",SUMPRODUCT((Donnees[Échantillon]=Donnees[[#This Row],[Échantillon]])*(Donnees[Abonnés]&lt;Donnees[[#This Row],[Abonnés]]))+(SUMPRODUCT((Donnees[Échantillon]=Donnees[[#This Row],[Échantillon]])*(Donnees[Abonnés]=Donnees[[#This Row],[Abonnés]]))+1)/2)</f>
        <v/>
      </c>
      <c r="AK13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33" spans="1:37" x14ac:dyDescent="0.2">
      <c r="A133" s="40" t="s">
        <v>145</v>
      </c>
      <c r="B133" s="40" t="s">
        <v>175</v>
      </c>
      <c r="C133" s="40" t="s">
        <v>39</v>
      </c>
      <c r="D133" s="40">
        <v>175</v>
      </c>
      <c r="E133" s="40" t="s">
        <v>75</v>
      </c>
      <c r="F133" s="40" t="str">
        <f>IF(OR(Donnees[[#This Row],[Jour]]="samedi",Donnees[[#This Row],[Jour]]="dimanche"),"Oui","Non")</f>
        <v>Oui</v>
      </c>
      <c r="G133" s="40">
        <v>2</v>
      </c>
      <c r="H133" s="40" t="str">
        <f>IF(Donnees[[#This Row],[Heure UTC]]&lt;6,"0-5 h",IF(Donnees[[#This Row],[Heure UTC]]&lt;12,"6-11 h",IF(Donnees[[#This Row],[Heure UTC]]&lt;18,"12-17 h","18-23 h")))</f>
        <v>0-5 h</v>
      </c>
      <c r="I133" s="40">
        <v>13</v>
      </c>
      <c r="J133" s="40" t="str">
        <f>IF(Donnees[[#This Row],[Durée (s)]]&lt;=10,"1. ≤ 10 s",IF(Donnees[[#This Row],[Durée (s)]]&lt;=15,"2. 11-15 s",IF(Donnees[[#This Row],[Durée (s)]]&lt;=30,"3. 16-30 s",IF(Donnees[[#This Row],[Durée (s)]]&lt;=60,"4. 31-60 s","5. &gt; 60 s"))))</f>
        <v>2. 11-15 s</v>
      </c>
      <c r="K133" s="40" t="str">
        <f>IF(Donnees[[#This Row],[Durée (s)]]&gt;15,"Oui","Non")</f>
        <v>Non</v>
      </c>
      <c r="L133" s="40">
        <v>0</v>
      </c>
      <c r="M133" s="40" t="s">
        <v>41</v>
      </c>
      <c r="N133" s="40">
        <v>25</v>
      </c>
      <c r="O133" s="40" t="s">
        <v>41</v>
      </c>
      <c r="P133" s="40" t="s">
        <v>41</v>
      </c>
      <c r="Q133" s="40" t="s">
        <v>41</v>
      </c>
      <c r="R133" s="40"/>
      <c r="S133" s="40"/>
      <c r="T133" s="41"/>
      <c r="U133" s="40" t="str">
        <f>IF(Donnees[[#This Row],[Abonnés]]="","",IF(Donnees[[#This Row],[Abonnés]]&lt;1000000,"1. &lt; 1 M",IF(Donnees[[#This Row],[Abonnés]]&lt;3000000,"2. 1-3 M",IF(Donnees[[#This Row],[Abonnés]]&lt;8000000,"3. 3-8 M","4. ≥ 8 M"))))</f>
        <v/>
      </c>
      <c r="V133" s="41"/>
      <c r="W133" s="41">
        <v>10500000</v>
      </c>
      <c r="X133" s="41">
        <v>2000000</v>
      </c>
      <c r="Y133" s="41">
        <v>33600</v>
      </c>
      <c r="Z133" s="41">
        <v>66200</v>
      </c>
      <c r="AA133" s="42">
        <f>(Donnees[[#This Row],[Likes]]+Donnees[[#This Row],[Commentaires]]+Donnees[[#This Row],[Partages]])/Donnees[[#This Row],[Vues]]</f>
        <v>0.19998095238095237</v>
      </c>
      <c r="AB133" s="40">
        <f>IF(Donnees[[#This Row],[Engagement]]&gt;=VLOOKUP(Donnees[[#This Row],[Échantillon]],'Méthode &amp; limites'!$B$9:$D$11,2,FALSE),1,0)</f>
        <v>0</v>
      </c>
      <c r="AC133" s="43" t="str">
        <f>IF(Donnees[[#This Row],[Abonnés]]="","",Donnees[[#This Row],[Vues]]/Donnees[[#This Row],[Abonnés]])</f>
        <v/>
      </c>
      <c r="AD133" s="40" t="s">
        <v>44</v>
      </c>
      <c r="AE133" s="43">
        <f>SUMPRODUCT((Donnees[Échantillon]=Donnees[[#This Row],[Échantillon]])*(Donnees[Engagement]&lt;Donnees[[#This Row],[Engagement]]))+(SUMPRODUCT((Donnees[Échantillon]=Donnees[[#This Row],[Échantillon]])*(Donnees[Engagement]=Donnees[[#This Row],[Engagement]]))+1)/2</f>
        <v>58</v>
      </c>
      <c r="AF133" s="43">
        <f>SUMPRODUCT((Donnees[Échantillon]=Donnees[[#This Row],[Échantillon]])*(Donnees[Vues]&lt;Donnees[[#This Row],[Vues]]))+(SUMPRODUCT((Donnees[Échantillon]=Donnees[[#This Row],[Échantillon]])*(Donnees[Vues]=Donnees[[#This Row],[Vues]]))+1)/2</f>
        <v>68.5</v>
      </c>
      <c r="AG133" s="43">
        <f>SUMPRODUCT((Donnees[Échantillon]=Donnees[[#This Row],[Échantillon]])*(Donnees[Durée (s)]&lt;Donnees[[#This Row],[Durée (s)]]))+(SUMPRODUCT((Donnees[Échantillon]=Donnees[[#This Row],[Échantillon]])*(Donnees[Durée (s)]=Donnees[[#This Row],[Durée (s)]]))+1)/2</f>
        <v>26</v>
      </c>
      <c r="AH133" s="43">
        <f>SUMPRODUCT((Donnees[Échantillon]=Donnees[[#This Row],[Échantillon]])*(Donnees[Nb hashtags]&lt;Donnees[[#This Row],[Nb hashtags]]))+(SUMPRODUCT((Donnees[Échantillon]=Donnees[[#This Row],[Échantillon]])*(Donnees[Nb hashtags]=Donnees[[#This Row],[Nb hashtags]]))+1)/2</f>
        <v>18.5</v>
      </c>
      <c r="AI133" s="43">
        <f>SUMPRODUCT((Donnees[Échantillon]=Donnees[[#This Row],[Échantillon]])*(Donnees[Longueur du texte]&lt;Donnees[[#This Row],[Longueur du texte]]))+(SUMPRODUCT((Donnees[Échantillon]=Donnees[[#This Row],[Échantillon]])*(Donnees[Longueur du texte]=Donnees[[#This Row],[Longueur du texte]]))+1)/2</f>
        <v>40.5</v>
      </c>
      <c r="AJ133" s="43" t="str">
        <f>IF(Donnees[[#This Row],[Abonnés]]="","",SUMPRODUCT((Donnees[Échantillon]=Donnees[[#This Row],[Échantillon]])*(Donnees[Abonnés]&lt;Donnees[[#This Row],[Abonnés]]))+(SUMPRODUCT((Donnees[Échantillon]=Donnees[[#This Row],[Échantillon]])*(Donnees[Abonnés]=Donnees[[#This Row],[Abonnés]]))+1)/2)</f>
        <v/>
      </c>
      <c r="AK13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34" spans="1:37" x14ac:dyDescent="0.2">
      <c r="A134" s="40" t="s">
        <v>145</v>
      </c>
      <c r="B134" s="40" t="s">
        <v>176</v>
      </c>
      <c r="C134" s="40" t="s">
        <v>46</v>
      </c>
      <c r="D134" s="40">
        <v>181</v>
      </c>
      <c r="E134" s="40" t="s">
        <v>56</v>
      </c>
      <c r="F134" s="40" t="str">
        <f>IF(OR(Donnees[[#This Row],[Jour]]="samedi",Donnees[[#This Row],[Jour]]="dimanche"),"Oui","Non")</f>
        <v>Oui</v>
      </c>
      <c r="G134" s="40">
        <v>17</v>
      </c>
      <c r="H134" s="40" t="str">
        <f>IF(Donnees[[#This Row],[Heure UTC]]&lt;6,"0-5 h",IF(Donnees[[#This Row],[Heure UTC]]&lt;12,"6-11 h",IF(Donnees[[#This Row],[Heure UTC]]&lt;18,"12-17 h","18-23 h")))</f>
        <v>12-17 h</v>
      </c>
      <c r="I134" s="40">
        <v>46</v>
      </c>
      <c r="J134" s="40" t="str">
        <f>IF(Donnees[[#This Row],[Durée (s)]]&lt;=10,"1. ≤ 10 s",IF(Donnees[[#This Row],[Durée (s)]]&lt;=15,"2. 11-15 s",IF(Donnees[[#This Row],[Durée (s)]]&lt;=30,"3. 16-30 s",IF(Donnees[[#This Row],[Durée (s)]]&lt;=60,"4. 31-60 s","5. &gt; 60 s"))))</f>
        <v>4. 31-60 s</v>
      </c>
      <c r="K134" s="40" t="str">
        <f>IF(Donnees[[#This Row],[Durée (s)]]&gt;15,"Oui","Non")</f>
        <v>Oui</v>
      </c>
      <c r="L134" s="40">
        <v>3</v>
      </c>
      <c r="M134" s="40" t="s">
        <v>44</v>
      </c>
      <c r="N134" s="40">
        <v>22</v>
      </c>
      <c r="O134" s="40" t="s">
        <v>41</v>
      </c>
      <c r="P134" s="40" t="s">
        <v>44</v>
      </c>
      <c r="Q134" s="40" t="s">
        <v>44</v>
      </c>
      <c r="R134" s="40"/>
      <c r="S134" s="40"/>
      <c r="T134" s="41"/>
      <c r="U134" s="40" t="str">
        <f>IF(Donnees[[#This Row],[Abonnés]]="","",IF(Donnees[[#This Row],[Abonnés]]&lt;1000000,"1. &lt; 1 M",IF(Donnees[[#This Row],[Abonnés]]&lt;3000000,"2. 1-3 M",IF(Donnees[[#This Row],[Abonnés]]&lt;8000000,"3. 3-8 M","4. ≥ 8 M"))))</f>
        <v/>
      </c>
      <c r="V134" s="41"/>
      <c r="W134" s="41">
        <v>10500000</v>
      </c>
      <c r="X134" s="41">
        <v>1900000</v>
      </c>
      <c r="Y134" s="41">
        <v>12000</v>
      </c>
      <c r="Z134" s="41">
        <v>61500</v>
      </c>
      <c r="AA134" s="42">
        <f>(Donnees[[#This Row],[Likes]]+Donnees[[#This Row],[Commentaires]]+Donnees[[#This Row],[Partages]])/Donnees[[#This Row],[Vues]]</f>
        <v>0.18795238095238095</v>
      </c>
      <c r="AB134" s="40">
        <f>IF(Donnees[[#This Row],[Engagement]]&gt;=VLOOKUP(Donnees[[#This Row],[Échantillon]],'Méthode &amp; limites'!$B$9:$D$11,2,FALSE),1,0)</f>
        <v>0</v>
      </c>
      <c r="AC134" s="43" t="str">
        <f>IF(Donnees[[#This Row],[Abonnés]]="","",Donnees[[#This Row],[Vues]]/Donnees[[#This Row],[Abonnés]])</f>
        <v/>
      </c>
      <c r="AD134" s="40" t="s">
        <v>44</v>
      </c>
      <c r="AE134" s="43">
        <f>SUMPRODUCT((Donnees[Échantillon]=Donnees[[#This Row],[Échantillon]])*(Donnees[Engagement]&lt;Donnees[[#This Row],[Engagement]]))+(SUMPRODUCT((Donnees[Échantillon]=Donnees[[#This Row],[Échantillon]])*(Donnees[Engagement]=Donnees[[#This Row],[Engagement]]))+1)/2</f>
        <v>54</v>
      </c>
      <c r="AF134" s="43">
        <f>SUMPRODUCT((Donnees[Échantillon]=Donnees[[#This Row],[Échantillon]])*(Donnees[Vues]&lt;Donnees[[#This Row],[Vues]]))+(SUMPRODUCT((Donnees[Échantillon]=Donnees[[#This Row],[Échantillon]])*(Donnees[Vues]=Donnees[[#This Row],[Vues]]))+1)/2</f>
        <v>68.5</v>
      </c>
      <c r="AG134" s="43">
        <f>SUMPRODUCT((Donnees[Échantillon]=Donnees[[#This Row],[Échantillon]])*(Donnees[Durée (s)]&lt;Donnees[[#This Row],[Durée (s)]]))+(SUMPRODUCT((Donnees[Échantillon]=Donnees[[#This Row],[Échantillon]])*(Donnees[Durée (s)]=Donnees[[#This Row],[Durée (s)]]))+1)/2</f>
        <v>85.5</v>
      </c>
      <c r="AH134" s="43">
        <f>SUMPRODUCT((Donnees[Échantillon]=Donnees[[#This Row],[Échantillon]])*(Donnees[Nb hashtags]&lt;Donnees[[#This Row],[Nb hashtags]]))+(SUMPRODUCT((Donnees[Échantillon]=Donnees[[#This Row],[Échantillon]])*(Donnees[Nb hashtags]=Donnees[[#This Row],[Nb hashtags]]))+1)/2</f>
        <v>74</v>
      </c>
      <c r="AI134" s="43">
        <f>SUMPRODUCT((Donnees[Échantillon]=Donnees[[#This Row],[Échantillon]])*(Donnees[Longueur du texte]&lt;Donnees[[#This Row],[Longueur du texte]]))+(SUMPRODUCT((Donnees[Échantillon]=Donnees[[#This Row],[Échantillon]])*(Donnees[Longueur du texte]=Donnees[[#This Row],[Longueur du texte]]))+1)/2</f>
        <v>33</v>
      </c>
      <c r="AJ134" s="43" t="str">
        <f>IF(Donnees[[#This Row],[Abonnés]]="","",SUMPRODUCT((Donnees[Échantillon]=Donnees[[#This Row],[Échantillon]])*(Donnees[Abonnés]&lt;Donnees[[#This Row],[Abonnés]]))+(SUMPRODUCT((Donnees[Échantillon]=Donnees[[#This Row],[Échantillon]])*(Donnees[Abonnés]=Donnees[[#This Row],[Abonnés]]))+1)/2)</f>
        <v/>
      </c>
      <c r="AK13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35" spans="1:37" x14ac:dyDescent="0.2">
      <c r="A135" s="40" t="s">
        <v>145</v>
      </c>
      <c r="B135" s="40" t="s">
        <v>171</v>
      </c>
      <c r="C135" s="40" t="s">
        <v>39</v>
      </c>
      <c r="D135" s="40">
        <v>52</v>
      </c>
      <c r="E135" s="40" t="s">
        <v>59</v>
      </c>
      <c r="F135" s="40" t="str">
        <f>IF(OR(Donnees[[#This Row],[Jour]]="samedi",Donnees[[#This Row],[Jour]]="dimanche"),"Oui","Non")</f>
        <v>Non</v>
      </c>
      <c r="G135" s="40">
        <v>13</v>
      </c>
      <c r="H135" s="40" t="str">
        <f>IF(Donnees[[#This Row],[Heure UTC]]&lt;6,"0-5 h",IF(Donnees[[#This Row],[Heure UTC]]&lt;12,"6-11 h",IF(Donnees[[#This Row],[Heure UTC]]&lt;18,"12-17 h","18-23 h")))</f>
        <v>12-17 h</v>
      </c>
      <c r="I135" s="40">
        <v>14</v>
      </c>
      <c r="J135" s="40" t="str">
        <f>IF(Donnees[[#This Row],[Durée (s)]]&lt;=10,"1. ≤ 10 s",IF(Donnees[[#This Row],[Durée (s)]]&lt;=15,"2. 11-15 s",IF(Donnees[[#This Row],[Durée (s)]]&lt;=30,"3. 16-30 s",IF(Donnees[[#This Row],[Durée (s)]]&lt;=60,"4. 31-60 s","5. &gt; 60 s"))))</f>
        <v>2. 11-15 s</v>
      </c>
      <c r="K135" s="40" t="str">
        <f>IF(Donnees[[#This Row],[Durée (s)]]&gt;15,"Oui","Non")</f>
        <v>Non</v>
      </c>
      <c r="L135" s="40">
        <v>0</v>
      </c>
      <c r="M135" s="40" t="s">
        <v>41</v>
      </c>
      <c r="N135" s="40">
        <v>6</v>
      </c>
      <c r="O135" s="40" t="s">
        <v>41</v>
      </c>
      <c r="P135" s="40" t="s">
        <v>44</v>
      </c>
      <c r="Q135" s="40" t="s">
        <v>41</v>
      </c>
      <c r="R135" s="40"/>
      <c r="S135" s="40"/>
      <c r="T135" s="41"/>
      <c r="U135" s="40" t="str">
        <f>IF(Donnees[[#This Row],[Abonnés]]="","",IF(Donnees[[#This Row],[Abonnés]]&lt;1000000,"1. &lt; 1 M",IF(Donnees[[#This Row],[Abonnés]]&lt;3000000,"2. 1-3 M",IF(Donnees[[#This Row],[Abonnés]]&lt;8000000,"3. 3-8 M","4. ≥ 8 M"))))</f>
        <v/>
      </c>
      <c r="V135" s="41"/>
      <c r="W135" s="41">
        <v>9800000</v>
      </c>
      <c r="X135" s="41">
        <v>831100</v>
      </c>
      <c r="Y135" s="41">
        <v>6128</v>
      </c>
      <c r="Z135" s="41">
        <v>3263</v>
      </c>
      <c r="AA135" s="42">
        <f>(Donnees[[#This Row],[Likes]]+Donnees[[#This Row],[Commentaires]]+Donnees[[#This Row],[Partages]])/Donnees[[#This Row],[Vues]]</f>
        <v>8.5764387755102034E-2</v>
      </c>
      <c r="AB135" s="40">
        <f>IF(Donnees[[#This Row],[Engagement]]&gt;=VLOOKUP(Donnees[[#This Row],[Échantillon]],'Méthode &amp; limites'!$B$9:$D$11,2,FALSE),1,0)</f>
        <v>0</v>
      </c>
      <c r="AC135" s="43" t="str">
        <f>IF(Donnees[[#This Row],[Abonnés]]="","",Donnees[[#This Row],[Vues]]/Donnees[[#This Row],[Abonnés]])</f>
        <v/>
      </c>
      <c r="AD135" s="40" t="s">
        <v>44</v>
      </c>
      <c r="AE135" s="43">
        <f>SUMPRODUCT((Donnees[Échantillon]=Donnees[[#This Row],[Échantillon]])*(Donnees[Engagement]&lt;Donnees[[#This Row],[Engagement]]))+(SUMPRODUCT((Donnees[Échantillon]=Donnees[[#This Row],[Échantillon]])*(Donnees[Engagement]=Donnees[[#This Row],[Engagement]]))+1)/2</f>
        <v>13</v>
      </c>
      <c r="AF135" s="43">
        <f>SUMPRODUCT((Donnees[Échantillon]=Donnees[[#This Row],[Échantillon]])*(Donnees[Vues]&lt;Donnees[[#This Row],[Vues]]))+(SUMPRODUCT((Donnees[Échantillon]=Donnees[[#This Row],[Échantillon]])*(Donnees[Vues]=Donnees[[#This Row],[Vues]]))+1)/2</f>
        <v>67</v>
      </c>
      <c r="AG135" s="43">
        <f>SUMPRODUCT((Donnees[Échantillon]=Donnees[[#This Row],[Échantillon]])*(Donnees[Durée (s)]&lt;Donnees[[#This Row],[Durée (s)]]))+(SUMPRODUCT((Donnees[Échantillon]=Donnees[[#This Row],[Échantillon]])*(Donnees[Durée (s)]=Donnees[[#This Row],[Durée (s)]]))+1)/2</f>
        <v>31.5</v>
      </c>
      <c r="AH135" s="43">
        <f>SUMPRODUCT((Donnees[Échantillon]=Donnees[[#This Row],[Échantillon]])*(Donnees[Nb hashtags]&lt;Donnees[[#This Row],[Nb hashtags]]))+(SUMPRODUCT((Donnees[Échantillon]=Donnees[[#This Row],[Échantillon]])*(Donnees[Nb hashtags]=Donnees[[#This Row],[Nb hashtags]]))+1)/2</f>
        <v>18.5</v>
      </c>
      <c r="AI135" s="43">
        <f>SUMPRODUCT((Donnees[Échantillon]=Donnees[[#This Row],[Échantillon]])*(Donnees[Longueur du texte]&lt;Donnees[[#This Row],[Longueur du texte]]))+(SUMPRODUCT((Donnees[Échantillon]=Donnees[[#This Row],[Échantillon]])*(Donnees[Longueur du texte]=Donnees[[#This Row],[Longueur du texte]]))+1)/2</f>
        <v>15.5</v>
      </c>
      <c r="AJ135" s="43" t="str">
        <f>IF(Donnees[[#This Row],[Abonnés]]="","",SUMPRODUCT((Donnees[Échantillon]=Donnees[[#This Row],[Échantillon]])*(Donnees[Abonnés]&lt;Donnees[[#This Row],[Abonnés]]))+(SUMPRODUCT((Donnees[Échantillon]=Donnees[[#This Row],[Échantillon]])*(Donnees[Abonnés]=Donnees[[#This Row],[Abonnés]]))+1)/2)</f>
        <v/>
      </c>
      <c r="AK13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36" spans="1:37" x14ac:dyDescent="0.2">
      <c r="A136" s="40" t="s">
        <v>145</v>
      </c>
      <c r="B136" s="40" t="s">
        <v>177</v>
      </c>
      <c r="C136" s="40" t="s">
        <v>39</v>
      </c>
      <c r="D136" s="40">
        <v>128</v>
      </c>
      <c r="E136" s="40" t="s">
        <v>47</v>
      </c>
      <c r="F136" s="40" t="str">
        <f>IF(OR(Donnees[[#This Row],[Jour]]="samedi",Donnees[[#This Row],[Jour]]="dimanche"),"Oui","Non")</f>
        <v>Non</v>
      </c>
      <c r="G136" s="40">
        <v>6</v>
      </c>
      <c r="H136" s="40" t="str">
        <f>IF(Donnees[[#This Row],[Heure UTC]]&lt;6,"0-5 h",IF(Donnees[[#This Row],[Heure UTC]]&lt;12,"6-11 h",IF(Donnees[[#This Row],[Heure UTC]]&lt;18,"12-17 h","18-23 h")))</f>
        <v>6-11 h</v>
      </c>
      <c r="I136" s="40">
        <v>42</v>
      </c>
      <c r="J136" s="40" t="str">
        <f>IF(Donnees[[#This Row],[Durée (s)]]&lt;=10,"1. ≤ 10 s",IF(Donnees[[#This Row],[Durée (s)]]&lt;=15,"2. 11-15 s",IF(Donnees[[#This Row],[Durée (s)]]&lt;=30,"3. 16-30 s",IF(Donnees[[#This Row],[Durée (s)]]&lt;=60,"4. 31-60 s","5. &gt; 60 s"))))</f>
        <v>4. 31-60 s</v>
      </c>
      <c r="K136" s="40" t="str">
        <f>IF(Donnees[[#This Row],[Durée (s)]]&gt;15,"Oui","Non")</f>
        <v>Oui</v>
      </c>
      <c r="L136" s="40">
        <v>1</v>
      </c>
      <c r="M136" s="40" t="s">
        <v>41</v>
      </c>
      <c r="N136" s="40">
        <v>37</v>
      </c>
      <c r="O136" s="40" t="s">
        <v>41</v>
      </c>
      <c r="P136" s="40" t="s">
        <v>41</v>
      </c>
      <c r="Q136" s="40" t="s">
        <v>41</v>
      </c>
      <c r="R136" s="40"/>
      <c r="S136" s="40"/>
      <c r="T136" s="41"/>
      <c r="U136" s="40" t="str">
        <f>IF(Donnees[[#This Row],[Abonnés]]="","",IF(Donnees[[#This Row],[Abonnés]]&lt;1000000,"1. &lt; 1 M",IF(Donnees[[#This Row],[Abonnés]]&lt;3000000,"2. 1-3 M",IF(Donnees[[#This Row],[Abonnés]]&lt;8000000,"3. 3-8 M","4. ≥ 8 M"))))</f>
        <v/>
      </c>
      <c r="V136" s="41"/>
      <c r="W136" s="41">
        <v>9500000</v>
      </c>
      <c r="X136" s="41">
        <v>2100000</v>
      </c>
      <c r="Y136" s="41">
        <v>31000</v>
      </c>
      <c r="Z136" s="41">
        <v>26000</v>
      </c>
      <c r="AA136" s="42">
        <f>(Donnees[[#This Row],[Likes]]+Donnees[[#This Row],[Commentaires]]+Donnees[[#This Row],[Partages]])/Donnees[[#This Row],[Vues]]</f>
        <v>0.22705263157894737</v>
      </c>
      <c r="AB136" s="40">
        <f>IF(Donnees[[#This Row],[Engagement]]&gt;=VLOOKUP(Donnees[[#This Row],[Échantillon]],'Méthode &amp; limites'!$B$9:$D$11,2,FALSE),1,0)</f>
        <v>0</v>
      </c>
      <c r="AC136" s="43" t="str">
        <f>IF(Donnees[[#This Row],[Abonnés]]="","",Donnees[[#This Row],[Vues]]/Donnees[[#This Row],[Abonnés]])</f>
        <v/>
      </c>
      <c r="AD136" s="40" t="s">
        <v>44</v>
      </c>
      <c r="AE136" s="43">
        <f>SUMPRODUCT((Donnees[Échantillon]=Donnees[[#This Row],[Échantillon]])*(Donnees[Engagement]&lt;Donnees[[#This Row],[Engagement]]))+(SUMPRODUCT((Donnees[Échantillon]=Donnees[[#This Row],[Échantillon]])*(Donnees[Engagement]=Donnees[[#This Row],[Engagement]]))+1)/2</f>
        <v>66</v>
      </c>
      <c r="AF136" s="43">
        <f>SUMPRODUCT((Donnees[Échantillon]=Donnees[[#This Row],[Échantillon]])*(Donnees[Vues]&lt;Donnees[[#This Row],[Vues]]))+(SUMPRODUCT((Donnees[Échantillon]=Donnees[[#This Row],[Échantillon]])*(Donnees[Vues]=Donnees[[#This Row],[Vues]]))+1)/2</f>
        <v>66</v>
      </c>
      <c r="AG136" s="43">
        <f>SUMPRODUCT((Donnees[Échantillon]=Donnees[[#This Row],[Échantillon]])*(Donnees[Durée (s)]&lt;Donnees[[#This Row],[Durée (s)]]))+(SUMPRODUCT((Donnees[Échantillon]=Donnees[[#This Row],[Échantillon]])*(Donnees[Durée (s)]=Donnees[[#This Row],[Durée (s)]]))+1)/2</f>
        <v>81</v>
      </c>
      <c r="AH136" s="43">
        <f>SUMPRODUCT((Donnees[Échantillon]=Donnees[[#This Row],[Échantillon]])*(Donnees[Nb hashtags]&lt;Donnees[[#This Row],[Nb hashtags]]))+(SUMPRODUCT((Donnees[Échantillon]=Donnees[[#This Row],[Échantillon]])*(Donnees[Nb hashtags]=Donnees[[#This Row],[Nb hashtags]]))+1)/2</f>
        <v>45.5</v>
      </c>
      <c r="AI136" s="43">
        <f>SUMPRODUCT((Donnees[Échantillon]=Donnees[[#This Row],[Échantillon]])*(Donnees[Longueur du texte]&lt;Donnees[[#This Row],[Longueur du texte]]))+(SUMPRODUCT((Donnees[Échantillon]=Donnees[[#This Row],[Échantillon]])*(Donnees[Longueur du texte]=Donnees[[#This Row],[Longueur du texte]]))+1)/2</f>
        <v>56</v>
      </c>
      <c r="AJ136" s="43" t="str">
        <f>IF(Donnees[[#This Row],[Abonnés]]="","",SUMPRODUCT((Donnees[Échantillon]=Donnees[[#This Row],[Échantillon]])*(Donnees[Abonnés]&lt;Donnees[[#This Row],[Abonnés]]))+(SUMPRODUCT((Donnees[Échantillon]=Donnees[[#This Row],[Échantillon]])*(Donnees[Abonnés]=Donnees[[#This Row],[Abonnés]]))+1)/2)</f>
        <v/>
      </c>
      <c r="AK13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37" spans="1:37" x14ac:dyDescent="0.2">
      <c r="A137" s="40" t="s">
        <v>145</v>
      </c>
      <c r="B137" s="40" t="s">
        <v>178</v>
      </c>
      <c r="C137" s="40" t="s">
        <v>39</v>
      </c>
      <c r="D137" s="40">
        <v>89</v>
      </c>
      <c r="E137" s="40" t="s">
        <v>71</v>
      </c>
      <c r="F137" s="40" t="str">
        <f>IF(OR(Donnees[[#This Row],[Jour]]="samedi",Donnees[[#This Row],[Jour]]="dimanche"),"Oui","Non")</f>
        <v>Non</v>
      </c>
      <c r="G137" s="40">
        <v>18</v>
      </c>
      <c r="H137" s="40" t="str">
        <f>IF(Donnees[[#This Row],[Heure UTC]]&lt;6,"0-5 h",IF(Donnees[[#This Row],[Heure UTC]]&lt;12,"6-11 h",IF(Donnees[[#This Row],[Heure UTC]]&lt;18,"12-17 h","18-23 h")))</f>
        <v>18-23 h</v>
      </c>
      <c r="I137" s="40">
        <v>24</v>
      </c>
      <c r="J137" s="40" t="str">
        <f>IF(Donnees[[#This Row],[Durée (s)]]&lt;=10,"1. ≤ 10 s",IF(Donnees[[#This Row],[Durée (s)]]&lt;=15,"2. 11-15 s",IF(Donnees[[#This Row],[Durée (s)]]&lt;=30,"3. 16-30 s",IF(Donnees[[#This Row],[Durée (s)]]&lt;=60,"4. 31-60 s","5. &gt; 60 s"))))</f>
        <v>3. 16-30 s</v>
      </c>
      <c r="K137" s="40" t="str">
        <f>IF(Donnees[[#This Row],[Durée (s)]]&gt;15,"Oui","Non")</f>
        <v>Oui</v>
      </c>
      <c r="L137" s="40">
        <v>4</v>
      </c>
      <c r="M137" s="40" t="s">
        <v>44</v>
      </c>
      <c r="N137" s="40">
        <v>41</v>
      </c>
      <c r="O137" s="40" t="s">
        <v>41</v>
      </c>
      <c r="P137" s="40" t="s">
        <v>44</v>
      </c>
      <c r="Q137" s="40" t="s">
        <v>44</v>
      </c>
      <c r="R137" s="40"/>
      <c r="S137" s="40"/>
      <c r="T137" s="41"/>
      <c r="U137" s="40" t="str">
        <f>IF(Donnees[[#This Row],[Abonnés]]="","",IF(Donnees[[#This Row],[Abonnés]]&lt;1000000,"1. &lt; 1 M",IF(Donnees[[#This Row],[Abonnés]]&lt;3000000,"2. 1-3 M",IF(Donnees[[#This Row],[Abonnés]]&lt;8000000,"3. 3-8 M","4. ≥ 8 M"))))</f>
        <v/>
      </c>
      <c r="V137" s="41"/>
      <c r="W137" s="41">
        <v>9300000</v>
      </c>
      <c r="X137" s="41">
        <v>2200000</v>
      </c>
      <c r="Y137" s="41">
        <v>53800</v>
      </c>
      <c r="Z137" s="41">
        <v>50000</v>
      </c>
      <c r="AA137" s="42">
        <f>(Donnees[[#This Row],[Likes]]+Donnees[[#This Row],[Commentaires]]+Donnees[[#This Row],[Partages]])/Donnees[[#This Row],[Vues]]</f>
        <v>0.2477204301075269</v>
      </c>
      <c r="AB137" s="40">
        <f>IF(Donnees[[#This Row],[Engagement]]&gt;=VLOOKUP(Donnees[[#This Row],[Échantillon]],'Méthode &amp; limites'!$B$9:$D$11,2,FALSE),1,0)</f>
        <v>1</v>
      </c>
      <c r="AC137" s="43" t="str">
        <f>IF(Donnees[[#This Row],[Abonnés]]="","",Donnees[[#This Row],[Vues]]/Donnees[[#This Row],[Abonnés]])</f>
        <v/>
      </c>
      <c r="AD137" s="40" t="s">
        <v>44</v>
      </c>
      <c r="AE137" s="43">
        <f>SUMPRODUCT((Donnees[Échantillon]=Donnees[[#This Row],[Échantillon]])*(Donnees[Engagement]&lt;Donnees[[#This Row],[Engagement]]))+(SUMPRODUCT((Donnees[Échantillon]=Donnees[[#This Row],[Échantillon]])*(Donnees[Engagement]=Donnees[[#This Row],[Engagement]]))+1)/2</f>
        <v>78</v>
      </c>
      <c r="AF137" s="43">
        <f>SUMPRODUCT((Donnees[Échantillon]=Donnees[[#This Row],[Échantillon]])*(Donnees[Vues]&lt;Donnees[[#This Row],[Vues]]))+(SUMPRODUCT((Donnees[Échantillon]=Donnees[[#This Row],[Échantillon]])*(Donnees[Vues]=Donnees[[#This Row],[Vues]]))+1)/2</f>
        <v>64.5</v>
      </c>
      <c r="AG137" s="43">
        <f>SUMPRODUCT((Donnees[Échantillon]=Donnees[[#This Row],[Échantillon]])*(Donnees[Durée (s)]&lt;Donnees[[#This Row],[Durée (s)]]))+(SUMPRODUCT((Donnees[Échantillon]=Donnees[[#This Row],[Échantillon]])*(Donnees[Durée (s)]=Donnees[[#This Row],[Durée (s)]]))+1)/2</f>
        <v>65.5</v>
      </c>
      <c r="AH137" s="43">
        <f>SUMPRODUCT((Donnees[Échantillon]=Donnees[[#This Row],[Échantillon]])*(Donnees[Nb hashtags]&lt;Donnees[[#This Row],[Nb hashtags]]))+(SUMPRODUCT((Donnees[Échantillon]=Donnees[[#This Row],[Échantillon]])*(Donnees[Nb hashtags]=Donnees[[#This Row],[Nb hashtags]]))+1)/2</f>
        <v>84.5</v>
      </c>
      <c r="AI137" s="43">
        <f>SUMPRODUCT((Donnees[Échantillon]=Donnees[[#This Row],[Échantillon]])*(Donnees[Longueur du texte]&lt;Donnees[[#This Row],[Longueur du texte]]))+(SUMPRODUCT((Donnees[Échantillon]=Donnees[[#This Row],[Échantillon]])*(Donnees[Longueur du texte]=Donnees[[#This Row],[Longueur du texte]]))+1)/2</f>
        <v>60.5</v>
      </c>
      <c r="AJ137" s="43" t="str">
        <f>IF(Donnees[[#This Row],[Abonnés]]="","",SUMPRODUCT((Donnees[Échantillon]=Donnees[[#This Row],[Échantillon]])*(Donnees[Abonnés]&lt;Donnees[[#This Row],[Abonnés]]))+(SUMPRODUCT((Donnees[Échantillon]=Donnees[[#This Row],[Échantillon]])*(Donnees[Abonnés]=Donnees[[#This Row],[Abonnés]]))+1)/2)</f>
        <v/>
      </c>
      <c r="AK13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38" spans="1:37" x14ac:dyDescent="0.2">
      <c r="A138" s="40" t="s">
        <v>145</v>
      </c>
      <c r="B138" s="40" t="s">
        <v>179</v>
      </c>
      <c r="C138" s="40" t="s">
        <v>39</v>
      </c>
      <c r="D138" s="40">
        <v>121</v>
      </c>
      <c r="E138" s="40" t="s">
        <v>47</v>
      </c>
      <c r="F138" s="40" t="str">
        <f>IF(OR(Donnees[[#This Row],[Jour]]="samedi",Donnees[[#This Row],[Jour]]="dimanche"),"Oui","Non")</f>
        <v>Non</v>
      </c>
      <c r="G138" s="40">
        <v>4</v>
      </c>
      <c r="H138" s="40" t="str">
        <f>IF(Donnees[[#This Row],[Heure UTC]]&lt;6,"0-5 h",IF(Donnees[[#This Row],[Heure UTC]]&lt;12,"6-11 h",IF(Donnees[[#This Row],[Heure UTC]]&lt;18,"12-17 h","18-23 h")))</f>
        <v>0-5 h</v>
      </c>
      <c r="I138" s="40">
        <v>8</v>
      </c>
      <c r="J138" s="40" t="str">
        <f>IF(Donnees[[#This Row],[Durée (s)]]&lt;=10,"1. ≤ 10 s",IF(Donnees[[#This Row],[Durée (s)]]&lt;=15,"2. 11-15 s",IF(Donnees[[#This Row],[Durée (s)]]&lt;=30,"3. 16-30 s",IF(Donnees[[#This Row],[Durée (s)]]&lt;=60,"4. 31-60 s","5. &gt; 60 s"))))</f>
        <v>1. ≤ 10 s</v>
      </c>
      <c r="K138" s="40" t="str">
        <f>IF(Donnees[[#This Row],[Durée (s)]]&gt;15,"Oui","Non")</f>
        <v>Non</v>
      </c>
      <c r="L138" s="40">
        <v>0</v>
      </c>
      <c r="M138" s="40" t="s">
        <v>41</v>
      </c>
      <c r="N138" s="40">
        <v>0</v>
      </c>
      <c r="O138" s="40" t="s">
        <v>44</v>
      </c>
      <c r="P138" s="40" t="s">
        <v>41</v>
      </c>
      <c r="Q138" s="40" t="s">
        <v>41</v>
      </c>
      <c r="R138" s="40"/>
      <c r="S138" s="40"/>
      <c r="T138" s="41"/>
      <c r="U138" s="40" t="str">
        <f>IF(Donnees[[#This Row],[Abonnés]]="","",IF(Donnees[[#This Row],[Abonnés]]&lt;1000000,"1. &lt; 1 M",IF(Donnees[[#This Row],[Abonnés]]&lt;3000000,"2. 1-3 M",IF(Donnees[[#This Row],[Abonnés]]&lt;8000000,"3. 3-8 M","4. ≥ 8 M"))))</f>
        <v/>
      </c>
      <c r="V138" s="41"/>
      <c r="W138" s="41">
        <v>9300000</v>
      </c>
      <c r="X138" s="41">
        <v>1500000</v>
      </c>
      <c r="Y138" s="41">
        <v>25200</v>
      </c>
      <c r="Z138" s="41">
        <v>62500</v>
      </c>
      <c r="AA138" s="42">
        <f>(Donnees[[#This Row],[Likes]]+Donnees[[#This Row],[Commentaires]]+Donnees[[#This Row],[Partages]])/Donnees[[#This Row],[Vues]]</f>
        <v>0.17072043010752688</v>
      </c>
      <c r="AB138" s="40">
        <f>IF(Donnees[[#This Row],[Engagement]]&gt;=VLOOKUP(Donnees[[#This Row],[Échantillon]],'Méthode &amp; limites'!$B$9:$D$11,2,FALSE),1,0)</f>
        <v>0</v>
      </c>
      <c r="AC138" s="43" t="str">
        <f>IF(Donnees[[#This Row],[Abonnés]]="","",Donnees[[#This Row],[Vues]]/Donnees[[#This Row],[Abonnés]])</f>
        <v/>
      </c>
      <c r="AD138" s="40" t="s">
        <v>44</v>
      </c>
      <c r="AE138" s="43">
        <f>SUMPRODUCT((Donnees[Échantillon]=Donnees[[#This Row],[Échantillon]])*(Donnees[Engagement]&lt;Donnees[[#This Row],[Engagement]]))+(SUMPRODUCT((Donnees[Échantillon]=Donnees[[#This Row],[Échantillon]])*(Donnees[Engagement]=Donnees[[#This Row],[Engagement]]))+1)/2</f>
        <v>46</v>
      </c>
      <c r="AF138" s="43">
        <f>SUMPRODUCT((Donnees[Échantillon]=Donnees[[#This Row],[Échantillon]])*(Donnees[Vues]&lt;Donnees[[#This Row],[Vues]]))+(SUMPRODUCT((Donnees[Échantillon]=Donnees[[#This Row],[Échantillon]])*(Donnees[Vues]=Donnees[[#This Row],[Vues]]))+1)/2</f>
        <v>64.5</v>
      </c>
      <c r="AG138" s="43">
        <f>SUMPRODUCT((Donnees[Échantillon]=Donnees[[#This Row],[Échantillon]])*(Donnees[Durée (s)]&lt;Donnees[[#This Row],[Durée (s)]]))+(SUMPRODUCT((Donnees[Échantillon]=Donnees[[#This Row],[Échantillon]])*(Donnees[Durée (s)]=Donnees[[#This Row],[Durée (s)]]))+1)/2</f>
        <v>3</v>
      </c>
      <c r="AH138" s="43">
        <f>SUMPRODUCT((Donnees[Échantillon]=Donnees[[#This Row],[Échantillon]])*(Donnees[Nb hashtags]&lt;Donnees[[#This Row],[Nb hashtags]]))+(SUMPRODUCT((Donnees[Échantillon]=Donnees[[#This Row],[Échantillon]])*(Donnees[Nb hashtags]=Donnees[[#This Row],[Nb hashtags]]))+1)/2</f>
        <v>18.5</v>
      </c>
      <c r="AI138" s="43">
        <f>SUMPRODUCT((Donnees[Échantillon]=Donnees[[#This Row],[Échantillon]])*(Donnees[Longueur du texte]&lt;Donnees[[#This Row],[Longueur du texte]]))+(SUMPRODUCT((Donnees[Échantillon]=Donnees[[#This Row],[Échantillon]])*(Donnees[Longueur du texte]=Donnees[[#This Row],[Longueur du texte]]))+1)/2</f>
        <v>6</v>
      </c>
      <c r="AJ138" s="43" t="str">
        <f>IF(Donnees[[#This Row],[Abonnés]]="","",SUMPRODUCT((Donnees[Échantillon]=Donnees[[#This Row],[Échantillon]])*(Donnees[Abonnés]&lt;Donnees[[#This Row],[Abonnés]]))+(SUMPRODUCT((Donnees[Échantillon]=Donnees[[#This Row],[Échantillon]])*(Donnees[Abonnés]=Donnees[[#This Row],[Abonnés]]))+1)/2)</f>
        <v/>
      </c>
      <c r="AK13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39" spans="1:37" x14ac:dyDescent="0.2">
      <c r="A139" s="40" t="s">
        <v>145</v>
      </c>
      <c r="B139" s="40" t="s">
        <v>180</v>
      </c>
      <c r="C139" s="40" t="s">
        <v>46</v>
      </c>
      <c r="D139" s="40">
        <v>134</v>
      </c>
      <c r="E139" s="40" t="s">
        <v>68</v>
      </c>
      <c r="F139" s="40" t="str">
        <f>IF(OR(Donnees[[#This Row],[Jour]]="samedi",Donnees[[#This Row],[Jour]]="dimanche"),"Oui","Non")</f>
        <v>Non</v>
      </c>
      <c r="G139" s="40">
        <v>17</v>
      </c>
      <c r="H139" s="40" t="str">
        <f>IF(Donnees[[#This Row],[Heure UTC]]&lt;6,"0-5 h",IF(Donnees[[#This Row],[Heure UTC]]&lt;12,"6-11 h",IF(Donnees[[#This Row],[Heure UTC]]&lt;18,"12-17 h","18-23 h")))</f>
        <v>12-17 h</v>
      </c>
      <c r="I139" s="40">
        <v>12</v>
      </c>
      <c r="J139" s="40" t="str">
        <f>IF(Donnees[[#This Row],[Durée (s)]]&lt;=10,"1. ≤ 10 s",IF(Donnees[[#This Row],[Durée (s)]]&lt;=15,"2. 11-15 s",IF(Donnees[[#This Row],[Durée (s)]]&lt;=30,"3. 16-30 s",IF(Donnees[[#This Row],[Durée (s)]]&lt;=60,"4. 31-60 s","5. &gt; 60 s"))))</f>
        <v>2. 11-15 s</v>
      </c>
      <c r="K139" s="40" t="str">
        <f>IF(Donnees[[#This Row],[Durée (s)]]&gt;15,"Oui","Non")</f>
        <v>Non</v>
      </c>
      <c r="L139" s="40">
        <v>11</v>
      </c>
      <c r="M139" s="40" t="s">
        <v>41</v>
      </c>
      <c r="N139" s="40">
        <v>0</v>
      </c>
      <c r="O139" s="40" t="s">
        <v>41</v>
      </c>
      <c r="P139" s="40" t="s">
        <v>41</v>
      </c>
      <c r="Q139" s="40" t="s">
        <v>41</v>
      </c>
      <c r="R139" s="40"/>
      <c r="S139" s="40"/>
      <c r="T139" s="41"/>
      <c r="U139" s="40" t="str">
        <f>IF(Donnees[[#This Row],[Abonnés]]="","",IF(Donnees[[#This Row],[Abonnés]]&lt;1000000,"1. &lt; 1 M",IF(Donnees[[#This Row],[Abonnés]]&lt;3000000,"2. 1-3 M",IF(Donnees[[#This Row],[Abonnés]]&lt;8000000,"3. 3-8 M","4. ≥ 8 M"))))</f>
        <v/>
      </c>
      <c r="V139" s="41"/>
      <c r="W139" s="41">
        <v>9000000</v>
      </c>
      <c r="X139" s="41">
        <v>2000000</v>
      </c>
      <c r="Y139" s="41">
        <v>4425</v>
      </c>
      <c r="Z139" s="41">
        <v>13600</v>
      </c>
      <c r="AA139" s="42">
        <f>(Donnees[[#This Row],[Likes]]+Donnees[[#This Row],[Commentaires]]+Donnees[[#This Row],[Partages]])/Donnees[[#This Row],[Vues]]</f>
        <v>0.22422500000000001</v>
      </c>
      <c r="AB139" s="40">
        <f>IF(Donnees[[#This Row],[Engagement]]&gt;=VLOOKUP(Donnees[[#This Row],[Échantillon]],'Méthode &amp; limites'!$B$9:$D$11,2,FALSE),1,0)</f>
        <v>0</v>
      </c>
      <c r="AC139" s="43" t="str">
        <f>IF(Donnees[[#This Row],[Abonnés]]="","",Donnees[[#This Row],[Vues]]/Donnees[[#This Row],[Abonnés]])</f>
        <v/>
      </c>
      <c r="AD139" s="40" t="s">
        <v>44</v>
      </c>
      <c r="AE139" s="43">
        <f>SUMPRODUCT((Donnees[Échantillon]=Donnees[[#This Row],[Échantillon]])*(Donnees[Engagement]&lt;Donnees[[#This Row],[Engagement]]))+(SUMPRODUCT((Donnees[Échantillon]=Donnees[[#This Row],[Échantillon]])*(Donnees[Engagement]=Donnees[[#This Row],[Engagement]]))+1)/2</f>
        <v>65</v>
      </c>
      <c r="AF139" s="43">
        <f>SUMPRODUCT((Donnees[Échantillon]=Donnees[[#This Row],[Échantillon]])*(Donnees[Vues]&lt;Donnees[[#This Row],[Vues]]))+(SUMPRODUCT((Donnees[Échantillon]=Donnees[[#This Row],[Échantillon]])*(Donnees[Vues]=Donnees[[#This Row],[Vues]]))+1)/2</f>
        <v>63</v>
      </c>
      <c r="AG139" s="43">
        <f>SUMPRODUCT((Donnees[Échantillon]=Donnees[[#This Row],[Échantillon]])*(Donnees[Durée (s)]&lt;Donnees[[#This Row],[Durée (s)]]))+(SUMPRODUCT((Donnees[Échantillon]=Donnees[[#This Row],[Échantillon]])*(Donnees[Durée (s)]=Donnees[[#This Row],[Durée (s)]]))+1)/2</f>
        <v>23</v>
      </c>
      <c r="AH139" s="43">
        <f>SUMPRODUCT((Donnees[Échantillon]=Donnees[[#This Row],[Échantillon]])*(Donnees[Nb hashtags]&lt;Donnees[[#This Row],[Nb hashtags]]))+(SUMPRODUCT((Donnees[Échantillon]=Donnees[[#This Row],[Échantillon]])*(Donnees[Nb hashtags]=Donnees[[#This Row],[Nb hashtags]]))+1)/2</f>
        <v>99</v>
      </c>
      <c r="AI139" s="43">
        <f>SUMPRODUCT((Donnees[Échantillon]=Donnees[[#This Row],[Échantillon]])*(Donnees[Longueur du texte]&lt;Donnees[[#This Row],[Longueur du texte]]))+(SUMPRODUCT((Donnees[Échantillon]=Donnees[[#This Row],[Échantillon]])*(Donnees[Longueur du texte]=Donnees[[#This Row],[Longueur du texte]]))+1)/2</f>
        <v>6</v>
      </c>
      <c r="AJ139" s="43" t="str">
        <f>IF(Donnees[[#This Row],[Abonnés]]="","",SUMPRODUCT((Donnees[Échantillon]=Donnees[[#This Row],[Échantillon]])*(Donnees[Abonnés]&lt;Donnees[[#This Row],[Abonnés]]))+(SUMPRODUCT((Donnees[Échantillon]=Donnees[[#This Row],[Échantillon]])*(Donnees[Abonnés]=Donnees[[#This Row],[Abonnés]]))+1)/2)</f>
        <v/>
      </c>
      <c r="AK13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40" spans="1:37" x14ac:dyDescent="0.2">
      <c r="A140" s="40" t="s">
        <v>145</v>
      </c>
      <c r="B140" s="40" t="s">
        <v>181</v>
      </c>
      <c r="C140" s="40" t="s">
        <v>39</v>
      </c>
      <c r="D140" s="40">
        <v>110</v>
      </c>
      <c r="E140" s="40" t="s">
        <v>71</v>
      </c>
      <c r="F140" s="40" t="str">
        <f>IF(OR(Donnees[[#This Row],[Jour]]="samedi",Donnees[[#This Row],[Jour]]="dimanche"),"Oui","Non")</f>
        <v>Non</v>
      </c>
      <c r="G140" s="40">
        <v>17</v>
      </c>
      <c r="H140" s="40" t="str">
        <f>IF(Donnees[[#This Row],[Heure UTC]]&lt;6,"0-5 h",IF(Donnees[[#This Row],[Heure UTC]]&lt;12,"6-11 h",IF(Donnees[[#This Row],[Heure UTC]]&lt;18,"12-17 h","18-23 h")))</f>
        <v>12-17 h</v>
      </c>
      <c r="I140" s="40">
        <v>15</v>
      </c>
      <c r="J140" s="40" t="str">
        <f>IF(Donnees[[#This Row],[Durée (s)]]&lt;=10,"1. ≤ 10 s",IF(Donnees[[#This Row],[Durée (s)]]&lt;=15,"2. 11-15 s",IF(Donnees[[#This Row],[Durée (s)]]&lt;=30,"3. 16-30 s",IF(Donnees[[#This Row],[Durée (s)]]&lt;=60,"4. 31-60 s","5. &gt; 60 s"))))</f>
        <v>2. 11-15 s</v>
      </c>
      <c r="K140" s="40" t="str">
        <f>IF(Donnees[[#This Row],[Durée (s)]]&gt;15,"Oui","Non")</f>
        <v>Non</v>
      </c>
      <c r="L140" s="40">
        <v>4</v>
      </c>
      <c r="M140" s="40" t="s">
        <v>44</v>
      </c>
      <c r="N140" s="40">
        <v>26</v>
      </c>
      <c r="O140" s="40" t="s">
        <v>41</v>
      </c>
      <c r="P140" s="40" t="s">
        <v>41</v>
      </c>
      <c r="Q140" s="40" t="s">
        <v>44</v>
      </c>
      <c r="R140" s="40"/>
      <c r="S140" s="40"/>
      <c r="T140" s="41"/>
      <c r="U140" s="40" t="str">
        <f>IF(Donnees[[#This Row],[Abonnés]]="","",IF(Donnees[[#This Row],[Abonnés]]&lt;1000000,"1. &lt; 1 M",IF(Donnees[[#This Row],[Abonnés]]&lt;3000000,"2. 1-3 M",IF(Donnees[[#This Row],[Abonnés]]&lt;8000000,"3. 3-8 M","4. ≥ 8 M"))))</f>
        <v/>
      </c>
      <c r="V140" s="41"/>
      <c r="W140" s="41">
        <v>8600000</v>
      </c>
      <c r="X140" s="41">
        <v>1300000</v>
      </c>
      <c r="Y140" s="41">
        <v>12700</v>
      </c>
      <c r="Z140" s="41">
        <v>41800</v>
      </c>
      <c r="AA140" s="42">
        <f>(Donnees[[#This Row],[Likes]]+Donnees[[#This Row],[Commentaires]]+Donnees[[#This Row],[Partages]])/Donnees[[#This Row],[Vues]]</f>
        <v>0.1575</v>
      </c>
      <c r="AB140" s="40">
        <f>IF(Donnees[[#This Row],[Engagement]]&gt;=VLOOKUP(Donnees[[#This Row],[Échantillon]],'Méthode &amp; limites'!$B$9:$D$11,2,FALSE),1,0)</f>
        <v>0</v>
      </c>
      <c r="AC140" s="43" t="str">
        <f>IF(Donnees[[#This Row],[Abonnés]]="","",Donnees[[#This Row],[Vues]]/Donnees[[#This Row],[Abonnés]])</f>
        <v/>
      </c>
      <c r="AD140" s="40" t="s">
        <v>44</v>
      </c>
      <c r="AE140" s="43">
        <f>SUMPRODUCT((Donnees[Échantillon]=Donnees[[#This Row],[Échantillon]])*(Donnees[Engagement]&lt;Donnees[[#This Row],[Engagement]]))+(SUMPRODUCT((Donnees[Échantillon]=Donnees[[#This Row],[Échantillon]])*(Donnees[Engagement]=Donnees[[#This Row],[Engagement]]))+1)/2</f>
        <v>36</v>
      </c>
      <c r="AF140" s="43">
        <f>SUMPRODUCT((Donnees[Échantillon]=Donnees[[#This Row],[Échantillon]])*(Donnees[Vues]&lt;Donnees[[#This Row],[Vues]]))+(SUMPRODUCT((Donnees[Échantillon]=Donnees[[#This Row],[Échantillon]])*(Donnees[Vues]=Donnees[[#This Row],[Vues]]))+1)/2</f>
        <v>62</v>
      </c>
      <c r="AG140" s="43">
        <f>SUMPRODUCT((Donnees[Échantillon]=Donnees[[#This Row],[Échantillon]])*(Donnees[Durée (s)]&lt;Donnees[[#This Row],[Durée (s)]]))+(SUMPRODUCT((Donnees[Échantillon]=Donnees[[#This Row],[Échantillon]])*(Donnees[Durée (s)]=Donnees[[#This Row],[Durée (s)]]))+1)/2</f>
        <v>43.5</v>
      </c>
      <c r="AH140" s="43">
        <f>SUMPRODUCT((Donnees[Échantillon]=Donnees[[#This Row],[Échantillon]])*(Donnees[Nb hashtags]&lt;Donnees[[#This Row],[Nb hashtags]]))+(SUMPRODUCT((Donnees[Échantillon]=Donnees[[#This Row],[Échantillon]])*(Donnees[Nb hashtags]=Donnees[[#This Row],[Nb hashtags]]))+1)/2</f>
        <v>84.5</v>
      </c>
      <c r="AI140" s="43">
        <f>SUMPRODUCT((Donnees[Échantillon]=Donnees[[#This Row],[Échantillon]])*(Donnees[Longueur du texte]&lt;Donnees[[#This Row],[Longueur du texte]]))+(SUMPRODUCT((Donnees[Échantillon]=Donnees[[#This Row],[Échantillon]])*(Donnees[Longueur du texte]=Donnees[[#This Row],[Longueur du texte]]))+1)/2</f>
        <v>42</v>
      </c>
      <c r="AJ140" s="43" t="str">
        <f>IF(Donnees[[#This Row],[Abonnés]]="","",SUMPRODUCT((Donnees[Échantillon]=Donnees[[#This Row],[Échantillon]])*(Donnees[Abonnés]&lt;Donnees[[#This Row],[Abonnés]]))+(SUMPRODUCT((Donnees[Échantillon]=Donnees[[#This Row],[Échantillon]])*(Donnees[Abonnés]=Donnees[[#This Row],[Abonnés]]))+1)/2)</f>
        <v/>
      </c>
      <c r="AK14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41" spans="1:37" x14ac:dyDescent="0.2">
      <c r="A141" s="40" t="s">
        <v>145</v>
      </c>
      <c r="B141" s="40" t="s">
        <v>182</v>
      </c>
      <c r="C141" s="40" t="s">
        <v>39</v>
      </c>
      <c r="D141" s="40">
        <v>192</v>
      </c>
      <c r="E141" s="40" t="s">
        <v>59</v>
      </c>
      <c r="F141" s="40" t="str">
        <f>IF(OR(Donnees[[#This Row],[Jour]]="samedi",Donnees[[#This Row],[Jour]]="dimanche"),"Oui","Non")</f>
        <v>Non</v>
      </c>
      <c r="G141" s="40">
        <v>2</v>
      </c>
      <c r="H141" s="40" t="str">
        <f>IF(Donnees[[#This Row],[Heure UTC]]&lt;6,"0-5 h",IF(Donnees[[#This Row],[Heure UTC]]&lt;12,"6-11 h",IF(Donnees[[#This Row],[Heure UTC]]&lt;18,"12-17 h","18-23 h")))</f>
        <v>0-5 h</v>
      </c>
      <c r="I141" s="40">
        <v>15</v>
      </c>
      <c r="J141" s="40" t="str">
        <f>IF(Donnees[[#This Row],[Durée (s)]]&lt;=10,"1. ≤ 10 s",IF(Donnees[[#This Row],[Durée (s)]]&lt;=15,"2. 11-15 s",IF(Donnees[[#This Row],[Durée (s)]]&lt;=30,"3. 16-30 s",IF(Donnees[[#This Row],[Durée (s)]]&lt;=60,"4. 31-60 s","5. &gt; 60 s"))))</f>
        <v>2. 11-15 s</v>
      </c>
      <c r="K141" s="40" t="str">
        <f>IF(Donnees[[#This Row],[Durée (s)]]&gt;15,"Oui","Non")</f>
        <v>Non</v>
      </c>
      <c r="L141" s="40">
        <v>1</v>
      </c>
      <c r="M141" s="40" t="s">
        <v>41</v>
      </c>
      <c r="N141" s="40">
        <v>35</v>
      </c>
      <c r="O141" s="40" t="s">
        <v>41</v>
      </c>
      <c r="P141" s="40" t="s">
        <v>44</v>
      </c>
      <c r="Q141" s="40" t="s">
        <v>41</v>
      </c>
      <c r="R141" s="40"/>
      <c r="S141" s="40"/>
      <c r="T141" s="41"/>
      <c r="U141" s="40" t="str">
        <f>IF(Donnees[[#This Row],[Abonnés]]="","",IF(Donnees[[#This Row],[Abonnés]]&lt;1000000,"1. &lt; 1 M",IF(Donnees[[#This Row],[Abonnés]]&lt;3000000,"2. 1-3 M",IF(Donnees[[#This Row],[Abonnés]]&lt;8000000,"3. 3-8 M","4. ≥ 8 M"))))</f>
        <v/>
      </c>
      <c r="V141" s="41"/>
      <c r="W141" s="41">
        <v>8100000</v>
      </c>
      <c r="X141" s="41">
        <v>2300000</v>
      </c>
      <c r="Y141" s="41">
        <v>55500</v>
      </c>
      <c r="Z141" s="41">
        <v>48000</v>
      </c>
      <c r="AA141" s="42">
        <f>(Donnees[[#This Row],[Likes]]+Donnees[[#This Row],[Commentaires]]+Donnees[[#This Row],[Partages]])/Donnees[[#This Row],[Vues]]</f>
        <v>0.29672839506172838</v>
      </c>
      <c r="AB141" s="40">
        <f>IF(Donnees[[#This Row],[Engagement]]&gt;=VLOOKUP(Donnees[[#This Row],[Échantillon]],'Méthode &amp; limites'!$B$9:$D$11,2,FALSE),1,0)</f>
        <v>1</v>
      </c>
      <c r="AC141" s="43" t="str">
        <f>IF(Donnees[[#This Row],[Abonnés]]="","",Donnees[[#This Row],[Vues]]/Donnees[[#This Row],[Abonnés]])</f>
        <v/>
      </c>
      <c r="AD141" s="40" t="s">
        <v>44</v>
      </c>
      <c r="AE141" s="43">
        <f>SUMPRODUCT((Donnees[Échantillon]=Donnees[[#This Row],[Échantillon]])*(Donnees[Engagement]&lt;Donnees[[#This Row],[Engagement]]))+(SUMPRODUCT((Donnees[Échantillon]=Donnees[[#This Row],[Échantillon]])*(Donnees[Engagement]=Donnees[[#This Row],[Engagement]]))+1)/2</f>
        <v>94</v>
      </c>
      <c r="AF141" s="43">
        <f>SUMPRODUCT((Donnees[Échantillon]=Donnees[[#This Row],[Échantillon]])*(Donnees[Vues]&lt;Donnees[[#This Row],[Vues]]))+(SUMPRODUCT((Donnees[Échantillon]=Donnees[[#This Row],[Échantillon]])*(Donnees[Vues]=Donnees[[#This Row],[Vues]]))+1)/2</f>
        <v>61</v>
      </c>
      <c r="AG141" s="43">
        <f>SUMPRODUCT((Donnees[Échantillon]=Donnees[[#This Row],[Échantillon]])*(Donnees[Durée (s)]&lt;Donnees[[#This Row],[Durée (s)]]))+(SUMPRODUCT((Donnees[Échantillon]=Donnees[[#This Row],[Échantillon]])*(Donnees[Durée (s)]=Donnees[[#This Row],[Durée (s)]]))+1)/2</f>
        <v>43.5</v>
      </c>
      <c r="AH141" s="43">
        <f>SUMPRODUCT((Donnees[Échantillon]=Donnees[[#This Row],[Échantillon]])*(Donnees[Nb hashtags]&lt;Donnees[[#This Row],[Nb hashtags]]))+(SUMPRODUCT((Donnees[Échantillon]=Donnees[[#This Row],[Échantillon]])*(Donnees[Nb hashtags]=Donnees[[#This Row],[Nb hashtags]]))+1)/2</f>
        <v>45.5</v>
      </c>
      <c r="AI141" s="43">
        <f>SUMPRODUCT((Donnees[Échantillon]=Donnees[[#This Row],[Échantillon]])*(Donnees[Longueur du texte]&lt;Donnees[[#This Row],[Longueur du texte]]))+(SUMPRODUCT((Donnees[Échantillon]=Donnees[[#This Row],[Échantillon]])*(Donnees[Longueur du texte]=Donnees[[#This Row],[Longueur du texte]]))+1)/2</f>
        <v>52.5</v>
      </c>
      <c r="AJ141" s="43" t="str">
        <f>IF(Donnees[[#This Row],[Abonnés]]="","",SUMPRODUCT((Donnees[Échantillon]=Donnees[[#This Row],[Échantillon]])*(Donnees[Abonnés]&lt;Donnees[[#This Row],[Abonnés]]))+(SUMPRODUCT((Donnees[Échantillon]=Donnees[[#This Row],[Échantillon]])*(Donnees[Abonnés]=Donnees[[#This Row],[Abonnés]]))+1)/2)</f>
        <v/>
      </c>
      <c r="AK14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42" spans="1:37" x14ac:dyDescent="0.2">
      <c r="A142" s="40" t="s">
        <v>145</v>
      </c>
      <c r="B142" s="40" t="s">
        <v>183</v>
      </c>
      <c r="C142" s="40" t="s">
        <v>39</v>
      </c>
      <c r="D142" s="40">
        <v>37</v>
      </c>
      <c r="E142" s="40" t="s">
        <v>47</v>
      </c>
      <c r="F142" s="40" t="str">
        <f>IF(OR(Donnees[[#This Row],[Jour]]="samedi",Donnees[[#This Row],[Jour]]="dimanche"),"Oui","Non")</f>
        <v>Non</v>
      </c>
      <c r="G142" s="40">
        <v>17</v>
      </c>
      <c r="H142" s="40" t="str">
        <f>IF(Donnees[[#This Row],[Heure UTC]]&lt;6,"0-5 h",IF(Donnees[[#This Row],[Heure UTC]]&lt;12,"6-11 h",IF(Donnees[[#This Row],[Heure UTC]]&lt;18,"12-17 h","18-23 h")))</f>
        <v>12-17 h</v>
      </c>
      <c r="I142" s="40">
        <v>23</v>
      </c>
      <c r="J142" s="40" t="str">
        <f>IF(Donnees[[#This Row],[Durée (s)]]&lt;=10,"1. ≤ 10 s",IF(Donnees[[#This Row],[Durée (s)]]&lt;=15,"2. 11-15 s",IF(Donnees[[#This Row],[Durée (s)]]&lt;=30,"3. 16-30 s",IF(Donnees[[#This Row],[Durée (s)]]&lt;=60,"4. 31-60 s","5. &gt; 60 s"))))</f>
        <v>3. 16-30 s</v>
      </c>
      <c r="K142" s="40" t="str">
        <f>IF(Donnees[[#This Row],[Durée (s)]]&gt;15,"Oui","Non")</f>
        <v>Oui</v>
      </c>
      <c r="L142" s="40">
        <v>2</v>
      </c>
      <c r="M142" s="40" t="s">
        <v>41</v>
      </c>
      <c r="N142" s="40">
        <v>86</v>
      </c>
      <c r="O142" s="40" t="s">
        <v>41</v>
      </c>
      <c r="P142" s="40" t="s">
        <v>41</v>
      </c>
      <c r="Q142" s="40" t="s">
        <v>41</v>
      </c>
      <c r="R142" s="40"/>
      <c r="S142" s="40"/>
      <c r="T142" s="41"/>
      <c r="U142" s="40" t="str">
        <f>IF(Donnees[[#This Row],[Abonnés]]="","",IF(Donnees[[#This Row],[Abonnés]]&lt;1000000,"1. &lt; 1 M",IF(Donnees[[#This Row],[Abonnés]]&lt;3000000,"2. 1-3 M",IF(Donnees[[#This Row],[Abonnés]]&lt;8000000,"3. 3-8 M","4. ≥ 8 M"))))</f>
        <v/>
      </c>
      <c r="V142" s="41"/>
      <c r="W142" s="41">
        <v>7500000</v>
      </c>
      <c r="X142" s="41">
        <v>897700</v>
      </c>
      <c r="Y142" s="41">
        <v>30100</v>
      </c>
      <c r="Z142" s="41">
        <v>5822</v>
      </c>
      <c r="AA142" s="42">
        <f>(Donnees[[#This Row],[Likes]]+Donnees[[#This Row],[Commentaires]]+Donnees[[#This Row],[Partages]])/Donnees[[#This Row],[Vues]]</f>
        <v>0.12448293333333334</v>
      </c>
      <c r="AB142" s="40">
        <f>IF(Donnees[[#This Row],[Engagement]]&gt;=VLOOKUP(Donnees[[#This Row],[Échantillon]],'Méthode &amp; limites'!$B$9:$D$11,2,FALSE),1,0)</f>
        <v>0</v>
      </c>
      <c r="AC142" s="43" t="str">
        <f>IF(Donnees[[#This Row],[Abonnés]]="","",Donnees[[#This Row],[Vues]]/Donnees[[#This Row],[Abonnés]])</f>
        <v/>
      </c>
      <c r="AD142" s="40" t="s">
        <v>44</v>
      </c>
      <c r="AE142" s="43">
        <f>SUMPRODUCT((Donnees[Échantillon]=Donnees[[#This Row],[Échantillon]])*(Donnees[Engagement]&lt;Donnees[[#This Row],[Engagement]]))+(SUMPRODUCT((Donnees[Échantillon]=Donnees[[#This Row],[Échantillon]])*(Donnees[Engagement]=Donnees[[#This Row],[Engagement]]))+1)/2</f>
        <v>27</v>
      </c>
      <c r="AF142" s="43">
        <f>SUMPRODUCT((Donnees[Échantillon]=Donnees[[#This Row],[Échantillon]])*(Donnees[Vues]&lt;Donnees[[#This Row],[Vues]]))+(SUMPRODUCT((Donnees[Échantillon]=Donnees[[#This Row],[Échantillon]])*(Donnees[Vues]=Donnees[[#This Row],[Vues]]))+1)/2</f>
        <v>60</v>
      </c>
      <c r="AG142" s="43">
        <f>SUMPRODUCT((Donnees[Échantillon]=Donnees[[#This Row],[Échantillon]])*(Donnees[Durée (s)]&lt;Donnees[[#This Row],[Durée (s)]]))+(SUMPRODUCT((Donnees[Échantillon]=Donnees[[#This Row],[Échantillon]])*(Donnees[Durée (s)]=Donnees[[#This Row],[Durée (s)]]))+1)/2</f>
        <v>62.5</v>
      </c>
      <c r="AH142" s="43">
        <f>SUMPRODUCT((Donnees[Échantillon]=Donnees[[#This Row],[Échantillon]])*(Donnees[Nb hashtags]&lt;Donnees[[#This Row],[Nb hashtags]]))+(SUMPRODUCT((Donnees[Échantillon]=Donnees[[#This Row],[Échantillon]])*(Donnees[Nb hashtags]=Donnees[[#This Row],[Nb hashtags]]))+1)/2</f>
        <v>61</v>
      </c>
      <c r="AI142" s="43">
        <f>SUMPRODUCT((Donnees[Échantillon]=Donnees[[#This Row],[Échantillon]])*(Donnees[Longueur du texte]&lt;Donnees[[#This Row],[Longueur du texte]]))+(SUMPRODUCT((Donnees[Échantillon]=Donnees[[#This Row],[Échantillon]])*(Donnees[Longueur du texte]=Donnees[[#This Row],[Longueur du texte]]))+1)/2</f>
        <v>88.5</v>
      </c>
      <c r="AJ142" s="43" t="str">
        <f>IF(Donnees[[#This Row],[Abonnés]]="","",SUMPRODUCT((Donnees[Échantillon]=Donnees[[#This Row],[Échantillon]])*(Donnees[Abonnés]&lt;Donnees[[#This Row],[Abonnés]]))+(SUMPRODUCT((Donnees[Échantillon]=Donnees[[#This Row],[Échantillon]])*(Donnees[Abonnés]=Donnees[[#This Row],[Abonnés]]))+1)/2)</f>
        <v/>
      </c>
      <c r="AK14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43" spans="1:37" x14ac:dyDescent="0.2">
      <c r="A143" s="40" t="s">
        <v>145</v>
      </c>
      <c r="B143" s="40" t="s">
        <v>157</v>
      </c>
      <c r="C143" s="40" t="s">
        <v>39</v>
      </c>
      <c r="D143" s="40">
        <v>78</v>
      </c>
      <c r="E143" s="40" t="s">
        <v>68</v>
      </c>
      <c r="F143" s="40" t="str">
        <f>IF(OR(Donnees[[#This Row],[Jour]]="samedi",Donnees[[#This Row],[Jour]]="dimanche"),"Oui","Non")</f>
        <v>Non</v>
      </c>
      <c r="G143" s="40">
        <v>6</v>
      </c>
      <c r="H143" s="40" t="str">
        <f>IF(Donnees[[#This Row],[Heure UTC]]&lt;6,"0-5 h",IF(Donnees[[#This Row],[Heure UTC]]&lt;12,"6-11 h",IF(Donnees[[#This Row],[Heure UTC]]&lt;18,"12-17 h","18-23 h")))</f>
        <v>6-11 h</v>
      </c>
      <c r="I143" s="40">
        <v>44</v>
      </c>
      <c r="J143" s="40" t="str">
        <f>IF(Donnees[[#This Row],[Durée (s)]]&lt;=10,"1. ≤ 10 s",IF(Donnees[[#This Row],[Durée (s)]]&lt;=15,"2. 11-15 s",IF(Donnees[[#This Row],[Durée (s)]]&lt;=30,"3. 16-30 s",IF(Donnees[[#This Row],[Durée (s)]]&lt;=60,"4. 31-60 s","5. &gt; 60 s"))))</f>
        <v>4. 31-60 s</v>
      </c>
      <c r="K143" s="40" t="str">
        <f>IF(Donnees[[#This Row],[Durée (s)]]&gt;15,"Oui","Non")</f>
        <v>Oui</v>
      </c>
      <c r="L143" s="40">
        <v>1</v>
      </c>
      <c r="M143" s="40" t="s">
        <v>41</v>
      </c>
      <c r="N143" s="40">
        <v>108</v>
      </c>
      <c r="O143" s="40" t="s">
        <v>41</v>
      </c>
      <c r="P143" s="40" t="s">
        <v>44</v>
      </c>
      <c r="Q143" s="40" t="s">
        <v>41</v>
      </c>
      <c r="R143" s="40"/>
      <c r="S143" s="40"/>
      <c r="T143" s="41"/>
      <c r="U143" s="40" t="str">
        <f>IF(Donnees[[#This Row],[Abonnés]]="","",IF(Donnees[[#This Row],[Abonnés]]&lt;1000000,"1. &lt; 1 M",IF(Donnees[[#This Row],[Abonnés]]&lt;3000000,"2. 1-3 M",IF(Donnees[[#This Row],[Abonnés]]&lt;8000000,"3. 3-8 M","4. ≥ 8 M"))))</f>
        <v/>
      </c>
      <c r="V143" s="41"/>
      <c r="W143" s="41">
        <v>7200000</v>
      </c>
      <c r="X143" s="41">
        <v>652700</v>
      </c>
      <c r="Y143" s="41">
        <v>12900</v>
      </c>
      <c r="Z143" s="41">
        <v>5041</v>
      </c>
      <c r="AA143" s="42">
        <f>(Donnees[[#This Row],[Likes]]+Donnees[[#This Row],[Commentaires]]+Donnees[[#This Row],[Partages]])/Donnees[[#This Row],[Vues]]</f>
        <v>9.3144583333333336E-2</v>
      </c>
      <c r="AB143" s="40">
        <f>IF(Donnees[[#This Row],[Engagement]]&gt;=VLOOKUP(Donnees[[#This Row],[Échantillon]],'Méthode &amp; limites'!$B$9:$D$11,2,FALSE),1,0)</f>
        <v>0</v>
      </c>
      <c r="AC143" s="43" t="str">
        <f>IF(Donnees[[#This Row],[Abonnés]]="","",Donnees[[#This Row],[Vues]]/Donnees[[#This Row],[Abonnés]])</f>
        <v/>
      </c>
      <c r="AD143" s="40" t="s">
        <v>44</v>
      </c>
      <c r="AE143" s="43">
        <f>SUMPRODUCT((Donnees[Échantillon]=Donnees[[#This Row],[Échantillon]])*(Donnees[Engagement]&lt;Donnees[[#This Row],[Engagement]]))+(SUMPRODUCT((Donnees[Échantillon]=Donnees[[#This Row],[Échantillon]])*(Donnees[Engagement]=Donnees[[#This Row],[Engagement]]))+1)/2</f>
        <v>17</v>
      </c>
      <c r="AF143" s="43">
        <f>SUMPRODUCT((Donnees[Échantillon]=Donnees[[#This Row],[Échantillon]])*(Donnees[Vues]&lt;Donnees[[#This Row],[Vues]]))+(SUMPRODUCT((Donnees[Échantillon]=Donnees[[#This Row],[Échantillon]])*(Donnees[Vues]=Donnees[[#This Row],[Vues]]))+1)/2</f>
        <v>59</v>
      </c>
      <c r="AG143" s="43">
        <f>SUMPRODUCT((Donnees[Échantillon]=Donnees[[#This Row],[Échantillon]])*(Donnees[Durée (s)]&lt;Donnees[[#This Row],[Durée (s)]]))+(SUMPRODUCT((Donnees[Échantillon]=Donnees[[#This Row],[Échantillon]])*(Donnees[Durée (s)]=Donnees[[#This Row],[Durée (s)]]))+1)/2</f>
        <v>83.5</v>
      </c>
      <c r="AH143" s="43">
        <f>SUMPRODUCT((Donnees[Échantillon]=Donnees[[#This Row],[Échantillon]])*(Donnees[Nb hashtags]&lt;Donnees[[#This Row],[Nb hashtags]]))+(SUMPRODUCT((Donnees[Échantillon]=Donnees[[#This Row],[Échantillon]])*(Donnees[Nb hashtags]=Donnees[[#This Row],[Nb hashtags]]))+1)/2</f>
        <v>45.5</v>
      </c>
      <c r="AI143" s="43">
        <f>SUMPRODUCT((Donnees[Échantillon]=Donnees[[#This Row],[Échantillon]])*(Donnees[Longueur du texte]&lt;Donnees[[#This Row],[Longueur du texte]]))+(SUMPRODUCT((Donnees[Échantillon]=Donnees[[#This Row],[Échantillon]])*(Donnees[Longueur du texte]=Donnees[[#This Row],[Longueur du texte]]))+1)/2</f>
        <v>95</v>
      </c>
      <c r="AJ143" s="43" t="str">
        <f>IF(Donnees[[#This Row],[Abonnés]]="","",SUMPRODUCT((Donnees[Échantillon]=Donnees[[#This Row],[Échantillon]])*(Donnees[Abonnés]&lt;Donnees[[#This Row],[Abonnés]]))+(SUMPRODUCT((Donnees[Échantillon]=Donnees[[#This Row],[Échantillon]])*(Donnees[Abonnés]=Donnees[[#This Row],[Abonnés]]))+1)/2)</f>
        <v/>
      </c>
      <c r="AK14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44" spans="1:37" x14ac:dyDescent="0.2">
      <c r="A144" s="40" t="s">
        <v>145</v>
      </c>
      <c r="B144" s="40" t="s">
        <v>184</v>
      </c>
      <c r="C144" s="40" t="s">
        <v>39</v>
      </c>
      <c r="D144" s="40">
        <v>170</v>
      </c>
      <c r="E144" s="40" t="s">
        <v>47</v>
      </c>
      <c r="F144" s="40" t="str">
        <f>IF(OR(Donnees[[#This Row],[Jour]]="samedi",Donnees[[#This Row],[Jour]]="dimanche"),"Oui","Non")</f>
        <v>Non</v>
      </c>
      <c r="G144" s="40">
        <v>19</v>
      </c>
      <c r="H144" s="40" t="str">
        <f>IF(Donnees[[#This Row],[Heure UTC]]&lt;6,"0-5 h",IF(Donnees[[#This Row],[Heure UTC]]&lt;12,"6-11 h",IF(Donnees[[#This Row],[Heure UTC]]&lt;18,"12-17 h","18-23 h")))</f>
        <v>18-23 h</v>
      </c>
      <c r="I144" s="40">
        <v>15</v>
      </c>
      <c r="J144" s="40" t="str">
        <f>IF(Donnees[[#This Row],[Durée (s)]]&lt;=10,"1. ≤ 10 s",IF(Donnees[[#This Row],[Durée (s)]]&lt;=15,"2. 11-15 s",IF(Donnees[[#This Row],[Durée (s)]]&lt;=30,"3. 16-30 s",IF(Donnees[[#This Row],[Durée (s)]]&lt;=60,"4. 31-60 s","5. &gt; 60 s"))))</f>
        <v>2. 11-15 s</v>
      </c>
      <c r="K144" s="40" t="str">
        <f>IF(Donnees[[#This Row],[Durée (s)]]&gt;15,"Oui","Non")</f>
        <v>Non</v>
      </c>
      <c r="L144" s="40">
        <v>3</v>
      </c>
      <c r="M144" s="40" t="s">
        <v>41</v>
      </c>
      <c r="N144" s="40">
        <v>100</v>
      </c>
      <c r="O144" s="40" t="s">
        <v>41</v>
      </c>
      <c r="P144" s="40" t="s">
        <v>44</v>
      </c>
      <c r="Q144" s="40" t="s">
        <v>41</v>
      </c>
      <c r="R144" s="40"/>
      <c r="S144" s="40"/>
      <c r="T144" s="41"/>
      <c r="U144" s="40" t="str">
        <f>IF(Donnees[[#This Row],[Abonnés]]="","",IF(Donnees[[#This Row],[Abonnés]]&lt;1000000,"1. &lt; 1 M",IF(Donnees[[#This Row],[Abonnés]]&lt;3000000,"2. 1-3 M",IF(Donnees[[#This Row],[Abonnés]]&lt;8000000,"3. 3-8 M","4. ≥ 8 M"))))</f>
        <v/>
      </c>
      <c r="V144" s="41"/>
      <c r="W144" s="41">
        <v>6900000</v>
      </c>
      <c r="X144" s="41">
        <v>1300000</v>
      </c>
      <c r="Y144" s="41">
        <v>12000</v>
      </c>
      <c r="Z144" s="41">
        <v>17800</v>
      </c>
      <c r="AA144" s="42">
        <f>(Donnees[[#This Row],[Likes]]+Donnees[[#This Row],[Commentaires]]+Donnees[[#This Row],[Partages]])/Donnees[[#This Row],[Vues]]</f>
        <v>0.19272463768115941</v>
      </c>
      <c r="AB144" s="40">
        <f>IF(Donnees[[#This Row],[Engagement]]&gt;=VLOOKUP(Donnees[[#This Row],[Échantillon]],'Méthode &amp; limites'!$B$9:$D$11,2,FALSE),1,0)</f>
        <v>0</v>
      </c>
      <c r="AC144" s="43" t="str">
        <f>IF(Donnees[[#This Row],[Abonnés]]="","",Donnees[[#This Row],[Vues]]/Donnees[[#This Row],[Abonnés]])</f>
        <v/>
      </c>
      <c r="AD144" s="40" t="s">
        <v>44</v>
      </c>
      <c r="AE144" s="43">
        <f>SUMPRODUCT((Donnees[Échantillon]=Donnees[[#This Row],[Échantillon]])*(Donnees[Engagement]&lt;Donnees[[#This Row],[Engagement]]))+(SUMPRODUCT((Donnees[Échantillon]=Donnees[[#This Row],[Échantillon]])*(Donnees[Engagement]=Donnees[[#This Row],[Engagement]]))+1)/2</f>
        <v>57</v>
      </c>
      <c r="AF144" s="43">
        <f>SUMPRODUCT((Donnees[Échantillon]=Donnees[[#This Row],[Échantillon]])*(Donnees[Vues]&lt;Donnees[[#This Row],[Vues]]))+(SUMPRODUCT((Donnees[Échantillon]=Donnees[[#This Row],[Échantillon]])*(Donnees[Vues]=Donnees[[#This Row],[Vues]]))+1)/2</f>
        <v>58</v>
      </c>
      <c r="AG144" s="43">
        <f>SUMPRODUCT((Donnees[Échantillon]=Donnees[[#This Row],[Échantillon]])*(Donnees[Durée (s)]&lt;Donnees[[#This Row],[Durée (s)]]))+(SUMPRODUCT((Donnees[Échantillon]=Donnees[[#This Row],[Échantillon]])*(Donnees[Durée (s)]=Donnees[[#This Row],[Durée (s)]]))+1)/2</f>
        <v>43.5</v>
      </c>
      <c r="AH144" s="43">
        <f>SUMPRODUCT((Donnees[Échantillon]=Donnees[[#This Row],[Échantillon]])*(Donnees[Nb hashtags]&lt;Donnees[[#This Row],[Nb hashtags]]))+(SUMPRODUCT((Donnees[Échantillon]=Donnees[[#This Row],[Échantillon]])*(Donnees[Nb hashtags]=Donnees[[#This Row],[Nb hashtags]]))+1)/2</f>
        <v>74</v>
      </c>
      <c r="AI144" s="43">
        <f>SUMPRODUCT((Donnees[Échantillon]=Donnees[[#This Row],[Échantillon]])*(Donnees[Longueur du texte]&lt;Donnees[[#This Row],[Longueur du texte]]))+(SUMPRODUCT((Donnees[Échantillon]=Donnees[[#This Row],[Échantillon]])*(Donnees[Longueur du texte]=Donnees[[#This Row],[Longueur du texte]]))+1)/2</f>
        <v>92</v>
      </c>
      <c r="AJ144" s="43" t="str">
        <f>IF(Donnees[[#This Row],[Abonnés]]="","",SUMPRODUCT((Donnees[Échantillon]=Donnees[[#This Row],[Échantillon]])*(Donnees[Abonnés]&lt;Donnees[[#This Row],[Abonnés]]))+(SUMPRODUCT((Donnees[Échantillon]=Donnees[[#This Row],[Échantillon]])*(Donnees[Abonnés]=Donnees[[#This Row],[Abonnés]]))+1)/2)</f>
        <v/>
      </c>
      <c r="AK14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45" spans="1:37" x14ac:dyDescent="0.2">
      <c r="A145" s="40" t="s">
        <v>145</v>
      </c>
      <c r="B145" s="40" t="s">
        <v>185</v>
      </c>
      <c r="C145" s="40" t="s">
        <v>62</v>
      </c>
      <c r="D145" s="40">
        <v>36</v>
      </c>
      <c r="E145" s="40" t="s">
        <v>68</v>
      </c>
      <c r="F145" s="40" t="str">
        <f>IF(OR(Donnees[[#This Row],[Jour]]="samedi",Donnees[[#This Row],[Jour]]="dimanche"),"Oui","Non")</f>
        <v>Non</v>
      </c>
      <c r="G145" s="40">
        <v>22</v>
      </c>
      <c r="H145" s="40" t="str">
        <f>IF(Donnees[[#This Row],[Heure UTC]]&lt;6,"0-5 h",IF(Donnees[[#This Row],[Heure UTC]]&lt;12,"6-11 h",IF(Donnees[[#This Row],[Heure UTC]]&lt;18,"12-17 h","18-23 h")))</f>
        <v>18-23 h</v>
      </c>
      <c r="I145" s="40">
        <v>38</v>
      </c>
      <c r="J145" s="40" t="str">
        <f>IF(Donnees[[#This Row],[Durée (s)]]&lt;=10,"1. ≤ 10 s",IF(Donnees[[#This Row],[Durée (s)]]&lt;=15,"2. 11-15 s",IF(Donnees[[#This Row],[Durée (s)]]&lt;=30,"3. 16-30 s",IF(Donnees[[#This Row],[Durée (s)]]&lt;=60,"4. 31-60 s","5. &gt; 60 s"))))</f>
        <v>4. 31-60 s</v>
      </c>
      <c r="K145" s="40" t="str">
        <f>IF(Donnees[[#This Row],[Durée (s)]]&gt;15,"Oui","Non")</f>
        <v>Oui</v>
      </c>
      <c r="L145" s="40">
        <v>0</v>
      </c>
      <c r="M145" s="40" t="s">
        <v>41</v>
      </c>
      <c r="N145" s="40">
        <v>48</v>
      </c>
      <c r="O145" s="40" t="s">
        <v>41</v>
      </c>
      <c r="P145" s="40" t="s">
        <v>41</v>
      </c>
      <c r="Q145" s="40" t="s">
        <v>44</v>
      </c>
      <c r="R145" s="40"/>
      <c r="S145" s="40"/>
      <c r="T145" s="41"/>
      <c r="U145" s="40" t="str">
        <f>IF(Donnees[[#This Row],[Abonnés]]="","",IF(Donnees[[#This Row],[Abonnés]]&lt;1000000,"1. &lt; 1 M",IF(Donnees[[#This Row],[Abonnés]]&lt;3000000,"2. 1-3 M",IF(Donnees[[#This Row],[Abonnés]]&lt;8000000,"3. 3-8 M","4. ≥ 8 M"))))</f>
        <v/>
      </c>
      <c r="V145" s="41"/>
      <c r="W145" s="41">
        <v>6500000</v>
      </c>
      <c r="X145" s="41">
        <v>1400000</v>
      </c>
      <c r="Y145" s="41">
        <v>14900</v>
      </c>
      <c r="Z145" s="41">
        <v>16700</v>
      </c>
      <c r="AA145" s="42">
        <f>(Donnees[[#This Row],[Likes]]+Donnees[[#This Row],[Commentaires]]+Donnees[[#This Row],[Partages]])/Donnees[[#This Row],[Vues]]</f>
        <v>0.22024615384615384</v>
      </c>
      <c r="AB145" s="40">
        <f>IF(Donnees[[#This Row],[Engagement]]&gt;=VLOOKUP(Donnees[[#This Row],[Échantillon]],'Méthode &amp; limites'!$B$9:$D$11,2,FALSE),1,0)</f>
        <v>0</v>
      </c>
      <c r="AC145" s="43" t="str">
        <f>IF(Donnees[[#This Row],[Abonnés]]="","",Donnees[[#This Row],[Vues]]/Donnees[[#This Row],[Abonnés]])</f>
        <v/>
      </c>
      <c r="AD145" s="40" t="s">
        <v>44</v>
      </c>
      <c r="AE145" s="43">
        <f>SUMPRODUCT((Donnees[Échantillon]=Donnees[[#This Row],[Échantillon]])*(Donnees[Engagement]&lt;Donnees[[#This Row],[Engagement]]))+(SUMPRODUCT((Donnees[Échantillon]=Donnees[[#This Row],[Échantillon]])*(Donnees[Engagement]=Donnees[[#This Row],[Engagement]]))+1)/2</f>
        <v>64</v>
      </c>
      <c r="AF145" s="43">
        <f>SUMPRODUCT((Donnees[Échantillon]=Donnees[[#This Row],[Échantillon]])*(Donnees[Vues]&lt;Donnees[[#This Row],[Vues]]))+(SUMPRODUCT((Donnees[Échantillon]=Donnees[[#This Row],[Échantillon]])*(Donnees[Vues]=Donnees[[#This Row],[Vues]]))+1)/2</f>
        <v>57</v>
      </c>
      <c r="AG145" s="43">
        <f>SUMPRODUCT((Donnees[Échantillon]=Donnees[[#This Row],[Échantillon]])*(Donnees[Durée (s)]&lt;Donnees[[#This Row],[Durée (s)]]))+(SUMPRODUCT((Donnees[Échantillon]=Donnees[[#This Row],[Échantillon]])*(Donnees[Durée (s)]=Donnees[[#This Row],[Durée (s)]]))+1)/2</f>
        <v>77.5</v>
      </c>
      <c r="AH145" s="43">
        <f>SUMPRODUCT((Donnees[Échantillon]=Donnees[[#This Row],[Échantillon]])*(Donnees[Nb hashtags]&lt;Donnees[[#This Row],[Nb hashtags]]))+(SUMPRODUCT((Donnees[Échantillon]=Donnees[[#This Row],[Échantillon]])*(Donnees[Nb hashtags]=Donnees[[#This Row],[Nb hashtags]]))+1)/2</f>
        <v>18.5</v>
      </c>
      <c r="AI145" s="43">
        <f>SUMPRODUCT((Donnees[Échantillon]=Donnees[[#This Row],[Échantillon]])*(Donnees[Longueur du texte]&lt;Donnees[[#This Row],[Longueur du texte]]))+(SUMPRODUCT((Donnees[Échantillon]=Donnees[[#This Row],[Échantillon]])*(Donnees[Longueur du texte]=Donnees[[#This Row],[Longueur du texte]]))+1)/2</f>
        <v>66.5</v>
      </c>
      <c r="AJ145" s="43" t="str">
        <f>IF(Donnees[[#This Row],[Abonnés]]="","",SUMPRODUCT((Donnees[Échantillon]=Donnees[[#This Row],[Échantillon]])*(Donnees[Abonnés]&lt;Donnees[[#This Row],[Abonnés]]))+(SUMPRODUCT((Donnees[Échantillon]=Donnees[[#This Row],[Échantillon]])*(Donnees[Abonnés]=Donnees[[#This Row],[Abonnés]]))+1)/2)</f>
        <v/>
      </c>
      <c r="AK14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46" spans="1:37" x14ac:dyDescent="0.2">
      <c r="A146" s="40" t="s">
        <v>145</v>
      </c>
      <c r="B146" s="40" t="s">
        <v>186</v>
      </c>
      <c r="C146" s="40" t="s">
        <v>39</v>
      </c>
      <c r="D146" s="40">
        <v>151</v>
      </c>
      <c r="E146" s="40" t="s">
        <v>40</v>
      </c>
      <c r="F146" s="40" t="str">
        <f>IF(OR(Donnees[[#This Row],[Jour]]="samedi",Donnees[[#This Row],[Jour]]="dimanche"),"Oui","Non")</f>
        <v>Non</v>
      </c>
      <c r="G146" s="40">
        <v>16</v>
      </c>
      <c r="H146" s="40" t="str">
        <f>IF(Donnees[[#This Row],[Heure UTC]]&lt;6,"0-5 h",IF(Donnees[[#This Row],[Heure UTC]]&lt;12,"6-11 h",IF(Donnees[[#This Row],[Heure UTC]]&lt;18,"12-17 h","18-23 h")))</f>
        <v>12-17 h</v>
      </c>
      <c r="I146" s="40">
        <v>24</v>
      </c>
      <c r="J146" s="40" t="str">
        <f>IF(Donnees[[#This Row],[Durée (s)]]&lt;=10,"1. ≤ 10 s",IF(Donnees[[#This Row],[Durée (s)]]&lt;=15,"2. 11-15 s",IF(Donnees[[#This Row],[Durée (s)]]&lt;=30,"3. 16-30 s",IF(Donnees[[#This Row],[Durée (s)]]&lt;=60,"4. 31-60 s","5. &gt; 60 s"))))</f>
        <v>3. 16-30 s</v>
      </c>
      <c r="K146" s="40" t="str">
        <f>IF(Donnees[[#This Row],[Durée (s)]]&gt;15,"Oui","Non")</f>
        <v>Oui</v>
      </c>
      <c r="L146" s="40">
        <v>1</v>
      </c>
      <c r="M146" s="40" t="s">
        <v>41</v>
      </c>
      <c r="N146" s="40">
        <v>0</v>
      </c>
      <c r="O146" s="40" t="s">
        <v>41</v>
      </c>
      <c r="P146" s="40" t="s">
        <v>41</v>
      </c>
      <c r="Q146" s="40" t="s">
        <v>41</v>
      </c>
      <c r="R146" s="40"/>
      <c r="S146" s="40"/>
      <c r="T146" s="41"/>
      <c r="U146" s="40" t="str">
        <f>IF(Donnees[[#This Row],[Abonnés]]="","",IF(Donnees[[#This Row],[Abonnés]]&lt;1000000,"1. &lt; 1 M",IF(Donnees[[#This Row],[Abonnés]]&lt;3000000,"2. 1-3 M",IF(Donnees[[#This Row],[Abonnés]]&lt;8000000,"3. 3-8 M","4. ≥ 8 M"))))</f>
        <v/>
      </c>
      <c r="V146" s="41"/>
      <c r="W146" s="41">
        <v>6400000</v>
      </c>
      <c r="X146" s="41">
        <v>594000</v>
      </c>
      <c r="Y146" s="41">
        <v>8489</v>
      </c>
      <c r="Z146" s="41">
        <v>5097</v>
      </c>
      <c r="AA146" s="42">
        <f>(Donnees[[#This Row],[Likes]]+Donnees[[#This Row],[Commentaires]]+Donnees[[#This Row],[Partages]])/Donnees[[#This Row],[Vues]]</f>
        <v>9.4935312499999994E-2</v>
      </c>
      <c r="AB146" s="40">
        <f>IF(Donnees[[#This Row],[Engagement]]&gt;=VLOOKUP(Donnees[[#This Row],[Échantillon]],'Méthode &amp; limites'!$B$9:$D$11,2,FALSE),1,0)</f>
        <v>0</v>
      </c>
      <c r="AC146" s="43" t="str">
        <f>IF(Donnees[[#This Row],[Abonnés]]="","",Donnees[[#This Row],[Vues]]/Donnees[[#This Row],[Abonnés]])</f>
        <v/>
      </c>
      <c r="AD146" s="40" t="s">
        <v>44</v>
      </c>
      <c r="AE146" s="43">
        <f>SUMPRODUCT((Donnees[Échantillon]=Donnees[[#This Row],[Échantillon]])*(Donnees[Engagement]&lt;Donnees[[#This Row],[Engagement]]))+(SUMPRODUCT((Donnees[Échantillon]=Donnees[[#This Row],[Échantillon]])*(Donnees[Engagement]=Donnees[[#This Row],[Engagement]]))+1)/2</f>
        <v>18</v>
      </c>
      <c r="AF146" s="43">
        <f>SUMPRODUCT((Donnees[Échantillon]=Donnees[[#This Row],[Échantillon]])*(Donnees[Vues]&lt;Donnees[[#This Row],[Vues]]))+(SUMPRODUCT((Donnees[Échantillon]=Donnees[[#This Row],[Échantillon]])*(Donnees[Vues]=Donnees[[#This Row],[Vues]]))+1)/2</f>
        <v>56</v>
      </c>
      <c r="AG146" s="43">
        <f>SUMPRODUCT((Donnees[Échantillon]=Donnees[[#This Row],[Échantillon]])*(Donnees[Durée (s)]&lt;Donnees[[#This Row],[Durée (s)]]))+(SUMPRODUCT((Donnees[Échantillon]=Donnees[[#This Row],[Échantillon]])*(Donnees[Durée (s)]=Donnees[[#This Row],[Durée (s)]]))+1)/2</f>
        <v>65.5</v>
      </c>
      <c r="AH146" s="43">
        <f>SUMPRODUCT((Donnees[Échantillon]=Donnees[[#This Row],[Échantillon]])*(Donnees[Nb hashtags]&lt;Donnees[[#This Row],[Nb hashtags]]))+(SUMPRODUCT((Donnees[Échantillon]=Donnees[[#This Row],[Échantillon]])*(Donnees[Nb hashtags]=Donnees[[#This Row],[Nb hashtags]]))+1)/2</f>
        <v>45.5</v>
      </c>
      <c r="AI146" s="43">
        <f>SUMPRODUCT((Donnees[Échantillon]=Donnees[[#This Row],[Échantillon]])*(Donnees[Longueur du texte]&lt;Donnees[[#This Row],[Longueur du texte]]))+(SUMPRODUCT((Donnees[Échantillon]=Donnees[[#This Row],[Échantillon]])*(Donnees[Longueur du texte]=Donnees[[#This Row],[Longueur du texte]]))+1)/2</f>
        <v>6</v>
      </c>
      <c r="AJ146" s="43" t="str">
        <f>IF(Donnees[[#This Row],[Abonnés]]="","",SUMPRODUCT((Donnees[Échantillon]=Donnees[[#This Row],[Échantillon]])*(Donnees[Abonnés]&lt;Donnees[[#This Row],[Abonnés]]))+(SUMPRODUCT((Donnees[Échantillon]=Donnees[[#This Row],[Échantillon]])*(Donnees[Abonnés]=Donnees[[#This Row],[Abonnés]]))+1)/2)</f>
        <v/>
      </c>
      <c r="AK14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47" spans="1:37" x14ac:dyDescent="0.2">
      <c r="A147" s="40" t="s">
        <v>145</v>
      </c>
      <c r="B147" s="40" t="s">
        <v>187</v>
      </c>
      <c r="C147" s="40" t="s">
        <v>39</v>
      </c>
      <c r="D147" s="40">
        <v>116</v>
      </c>
      <c r="E147" s="40" t="s">
        <v>40</v>
      </c>
      <c r="F147" s="40" t="str">
        <f>IF(OR(Donnees[[#This Row],[Jour]]="samedi",Donnees[[#This Row],[Jour]]="dimanche"),"Oui","Non")</f>
        <v>Non</v>
      </c>
      <c r="G147" s="40">
        <v>19</v>
      </c>
      <c r="H147" s="40" t="str">
        <f>IF(Donnees[[#This Row],[Heure UTC]]&lt;6,"0-5 h",IF(Donnees[[#This Row],[Heure UTC]]&lt;12,"6-11 h",IF(Donnees[[#This Row],[Heure UTC]]&lt;18,"12-17 h","18-23 h")))</f>
        <v>18-23 h</v>
      </c>
      <c r="I147" s="40">
        <v>11</v>
      </c>
      <c r="J147" s="40" t="str">
        <f>IF(Donnees[[#This Row],[Durée (s)]]&lt;=10,"1. ≤ 10 s",IF(Donnees[[#This Row],[Durée (s)]]&lt;=15,"2. 11-15 s",IF(Donnees[[#This Row],[Durée (s)]]&lt;=30,"3. 16-30 s",IF(Donnees[[#This Row],[Durée (s)]]&lt;=60,"4. 31-60 s","5. &gt; 60 s"))))</f>
        <v>2. 11-15 s</v>
      </c>
      <c r="K147" s="40" t="str">
        <f>IF(Donnees[[#This Row],[Durée (s)]]&gt;15,"Oui","Non")</f>
        <v>Non</v>
      </c>
      <c r="L147" s="40">
        <v>3</v>
      </c>
      <c r="M147" s="40" t="s">
        <v>41</v>
      </c>
      <c r="N147" s="40">
        <v>33</v>
      </c>
      <c r="O147" s="40" t="s">
        <v>41</v>
      </c>
      <c r="P147" s="40" t="s">
        <v>41</v>
      </c>
      <c r="Q147" s="40" t="s">
        <v>41</v>
      </c>
      <c r="R147" s="40"/>
      <c r="S147" s="40"/>
      <c r="T147" s="41"/>
      <c r="U147" s="40" t="str">
        <f>IF(Donnees[[#This Row],[Abonnés]]="","",IF(Donnees[[#This Row],[Abonnés]]&lt;1000000,"1. &lt; 1 M",IF(Donnees[[#This Row],[Abonnés]]&lt;3000000,"2. 1-3 M",IF(Donnees[[#This Row],[Abonnés]]&lt;8000000,"3. 3-8 M","4. ≥ 8 M"))))</f>
        <v/>
      </c>
      <c r="V147" s="41"/>
      <c r="W147" s="41">
        <v>6200000</v>
      </c>
      <c r="X147" s="41">
        <v>1100000</v>
      </c>
      <c r="Y147" s="41">
        <v>3503</v>
      </c>
      <c r="Z147" s="41">
        <v>1629</v>
      </c>
      <c r="AA147" s="42">
        <f>(Donnees[[#This Row],[Likes]]+Donnees[[#This Row],[Commentaires]]+Donnees[[#This Row],[Partages]])/Donnees[[#This Row],[Vues]]</f>
        <v>0.17824709677419354</v>
      </c>
      <c r="AB147" s="40">
        <f>IF(Donnees[[#This Row],[Engagement]]&gt;=VLOOKUP(Donnees[[#This Row],[Échantillon]],'Méthode &amp; limites'!$B$9:$D$11,2,FALSE),1,0)</f>
        <v>0</v>
      </c>
      <c r="AC147" s="43" t="str">
        <f>IF(Donnees[[#This Row],[Abonnés]]="","",Donnees[[#This Row],[Vues]]/Donnees[[#This Row],[Abonnés]])</f>
        <v/>
      </c>
      <c r="AD147" s="40" t="s">
        <v>44</v>
      </c>
      <c r="AE147" s="43">
        <f>SUMPRODUCT((Donnees[Échantillon]=Donnees[[#This Row],[Échantillon]])*(Donnees[Engagement]&lt;Donnees[[#This Row],[Engagement]]))+(SUMPRODUCT((Donnees[Échantillon]=Donnees[[#This Row],[Échantillon]])*(Donnees[Engagement]=Donnees[[#This Row],[Engagement]]))+1)/2</f>
        <v>48</v>
      </c>
      <c r="AF147" s="43">
        <f>SUMPRODUCT((Donnees[Échantillon]=Donnees[[#This Row],[Échantillon]])*(Donnees[Vues]&lt;Donnees[[#This Row],[Vues]]))+(SUMPRODUCT((Donnees[Échantillon]=Donnees[[#This Row],[Échantillon]])*(Donnees[Vues]=Donnees[[#This Row],[Vues]]))+1)/2</f>
        <v>55</v>
      </c>
      <c r="AG147" s="43">
        <f>SUMPRODUCT((Donnees[Échantillon]=Donnees[[#This Row],[Échantillon]])*(Donnees[Durée (s)]&lt;Donnees[[#This Row],[Durée (s)]]))+(SUMPRODUCT((Donnees[Échantillon]=Donnees[[#This Row],[Échantillon]])*(Donnees[Durée (s)]=Donnees[[#This Row],[Durée (s)]]))+1)/2</f>
        <v>18</v>
      </c>
      <c r="AH147" s="43">
        <f>SUMPRODUCT((Donnees[Échantillon]=Donnees[[#This Row],[Échantillon]])*(Donnees[Nb hashtags]&lt;Donnees[[#This Row],[Nb hashtags]]))+(SUMPRODUCT((Donnees[Échantillon]=Donnees[[#This Row],[Échantillon]])*(Donnees[Nb hashtags]=Donnees[[#This Row],[Nb hashtags]]))+1)/2</f>
        <v>74</v>
      </c>
      <c r="AI147" s="43">
        <f>SUMPRODUCT((Donnees[Échantillon]=Donnees[[#This Row],[Échantillon]])*(Donnees[Longueur du texte]&lt;Donnees[[#This Row],[Longueur du texte]]))+(SUMPRODUCT((Donnees[Échantillon]=Donnees[[#This Row],[Échantillon]])*(Donnees[Longueur du texte]=Donnees[[#This Row],[Longueur du texte]]))+1)/2</f>
        <v>48</v>
      </c>
      <c r="AJ147" s="43" t="str">
        <f>IF(Donnees[[#This Row],[Abonnés]]="","",SUMPRODUCT((Donnees[Échantillon]=Donnees[[#This Row],[Échantillon]])*(Donnees[Abonnés]&lt;Donnees[[#This Row],[Abonnés]]))+(SUMPRODUCT((Donnees[Échantillon]=Donnees[[#This Row],[Échantillon]])*(Donnees[Abonnés]=Donnees[[#This Row],[Abonnés]]))+1)/2)</f>
        <v/>
      </c>
      <c r="AK14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48" spans="1:37" x14ac:dyDescent="0.2">
      <c r="A148" s="40" t="s">
        <v>145</v>
      </c>
      <c r="B148" s="40" t="s">
        <v>188</v>
      </c>
      <c r="C148" s="40" t="s">
        <v>39</v>
      </c>
      <c r="D148" s="40">
        <v>4</v>
      </c>
      <c r="E148" s="40" t="s">
        <v>40</v>
      </c>
      <c r="F148" s="40" t="str">
        <f>IF(OR(Donnees[[#This Row],[Jour]]="samedi",Donnees[[#This Row],[Jour]]="dimanche"),"Oui","Non")</f>
        <v>Non</v>
      </c>
      <c r="G148" s="40">
        <v>19</v>
      </c>
      <c r="H148" s="40" t="str">
        <f>IF(Donnees[[#This Row],[Heure UTC]]&lt;6,"0-5 h",IF(Donnees[[#This Row],[Heure UTC]]&lt;12,"6-11 h",IF(Donnees[[#This Row],[Heure UTC]]&lt;18,"12-17 h","18-23 h")))</f>
        <v>18-23 h</v>
      </c>
      <c r="I148" s="40">
        <v>8</v>
      </c>
      <c r="J148" s="40" t="str">
        <f>IF(Donnees[[#This Row],[Durée (s)]]&lt;=10,"1. ≤ 10 s",IF(Donnees[[#This Row],[Durée (s)]]&lt;=15,"2. 11-15 s",IF(Donnees[[#This Row],[Durée (s)]]&lt;=30,"3. 16-30 s",IF(Donnees[[#This Row],[Durée (s)]]&lt;=60,"4. 31-60 s","5. &gt; 60 s"))))</f>
        <v>1. ≤ 10 s</v>
      </c>
      <c r="K148" s="40" t="str">
        <f>IF(Donnees[[#This Row],[Durée (s)]]&gt;15,"Oui","Non")</f>
        <v>Non</v>
      </c>
      <c r="L148" s="40">
        <v>0</v>
      </c>
      <c r="M148" s="40" t="s">
        <v>41</v>
      </c>
      <c r="N148" s="40">
        <v>0</v>
      </c>
      <c r="O148" s="40" t="s">
        <v>44</v>
      </c>
      <c r="P148" s="40" t="s">
        <v>41</v>
      </c>
      <c r="Q148" s="40" t="s">
        <v>41</v>
      </c>
      <c r="R148" s="40"/>
      <c r="S148" s="40"/>
      <c r="T148" s="41"/>
      <c r="U148" s="40" t="str">
        <f>IF(Donnees[[#This Row],[Abonnés]]="","",IF(Donnees[[#This Row],[Abonnés]]&lt;1000000,"1. &lt; 1 M",IF(Donnees[[#This Row],[Abonnés]]&lt;3000000,"2. 1-3 M",IF(Donnees[[#This Row],[Abonnés]]&lt;8000000,"3. 3-8 M","4. ≥ 8 M"))))</f>
        <v/>
      </c>
      <c r="V148" s="41"/>
      <c r="W148" s="41">
        <v>6100000</v>
      </c>
      <c r="X148" s="41">
        <v>1100000</v>
      </c>
      <c r="Y148" s="41">
        <v>8186</v>
      </c>
      <c r="Z148" s="41">
        <v>21200</v>
      </c>
      <c r="AA148" s="42">
        <f>(Donnees[[#This Row],[Likes]]+Donnees[[#This Row],[Commentaires]]+Donnees[[#This Row],[Partages]])/Donnees[[#This Row],[Vues]]</f>
        <v>0.18514524590163933</v>
      </c>
      <c r="AB148" s="40">
        <f>IF(Donnees[[#This Row],[Engagement]]&gt;=VLOOKUP(Donnees[[#This Row],[Échantillon]],'Méthode &amp; limites'!$B$9:$D$11,2,FALSE),1,0)</f>
        <v>0</v>
      </c>
      <c r="AC148" s="43" t="str">
        <f>IF(Donnees[[#This Row],[Abonnés]]="","",Donnees[[#This Row],[Vues]]/Donnees[[#This Row],[Abonnés]])</f>
        <v/>
      </c>
      <c r="AD148" s="40" t="s">
        <v>44</v>
      </c>
      <c r="AE148" s="43">
        <f>SUMPRODUCT((Donnees[Échantillon]=Donnees[[#This Row],[Échantillon]])*(Donnees[Engagement]&lt;Donnees[[#This Row],[Engagement]]))+(SUMPRODUCT((Donnees[Échantillon]=Donnees[[#This Row],[Échantillon]])*(Donnees[Engagement]=Donnees[[#This Row],[Engagement]]))+1)/2</f>
        <v>52</v>
      </c>
      <c r="AF148" s="43">
        <f>SUMPRODUCT((Donnees[Échantillon]=Donnees[[#This Row],[Échantillon]])*(Donnees[Vues]&lt;Donnees[[#This Row],[Vues]]))+(SUMPRODUCT((Donnees[Échantillon]=Donnees[[#This Row],[Échantillon]])*(Donnees[Vues]=Donnees[[#This Row],[Vues]]))+1)/2</f>
        <v>53</v>
      </c>
      <c r="AG148" s="43">
        <f>SUMPRODUCT((Donnees[Échantillon]=Donnees[[#This Row],[Échantillon]])*(Donnees[Durée (s)]&lt;Donnees[[#This Row],[Durée (s)]]))+(SUMPRODUCT((Donnees[Échantillon]=Donnees[[#This Row],[Échantillon]])*(Donnees[Durée (s)]=Donnees[[#This Row],[Durée (s)]]))+1)/2</f>
        <v>3</v>
      </c>
      <c r="AH148" s="43">
        <f>SUMPRODUCT((Donnees[Échantillon]=Donnees[[#This Row],[Échantillon]])*(Donnees[Nb hashtags]&lt;Donnees[[#This Row],[Nb hashtags]]))+(SUMPRODUCT((Donnees[Échantillon]=Donnees[[#This Row],[Échantillon]])*(Donnees[Nb hashtags]=Donnees[[#This Row],[Nb hashtags]]))+1)/2</f>
        <v>18.5</v>
      </c>
      <c r="AI148" s="43">
        <f>SUMPRODUCT((Donnees[Échantillon]=Donnees[[#This Row],[Échantillon]])*(Donnees[Longueur du texte]&lt;Donnees[[#This Row],[Longueur du texte]]))+(SUMPRODUCT((Donnees[Échantillon]=Donnees[[#This Row],[Échantillon]])*(Donnees[Longueur du texte]=Donnees[[#This Row],[Longueur du texte]]))+1)/2</f>
        <v>6</v>
      </c>
      <c r="AJ148" s="43" t="str">
        <f>IF(Donnees[[#This Row],[Abonnés]]="","",SUMPRODUCT((Donnees[Échantillon]=Donnees[[#This Row],[Échantillon]])*(Donnees[Abonnés]&lt;Donnees[[#This Row],[Abonnés]]))+(SUMPRODUCT((Donnees[Échantillon]=Donnees[[#This Row],[Échantillon]])*(Donnees[Abonnés]=Donnees[[#This Row],[Abonnés]]))+1)/2)</f>
        <v/>
      </c>
      <c r="AK14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49" spans="1:37" x14ac:dyDescent="0.2">
      <c r="A149" s="40" t="s">
        <v>145</v>
      </c>
      <c r="B149" s="40" t="s">
        <v>189</v>
      </c>
      <c r="C149" s="40" t="s">
        <v>46</v>
      </c>
      <c r="D149" s="40">
        <v>89</v>
      </c>
      <c r="E149" s="40" t="s">
        <v>71</v>
      </c>
      <c r="F149" s="40" t="str">
        <f>IF(OR(Donnees[[#This Row],[Jour]]="samedi",Donnees[[#This Row],[Jour]]="dimanche"),"Oui","Non")</f>
        <v>Non</v>
      </c>
      <c r="G149" s="40">
        <v>12</v>
      </c>
      <c r="H149" s="40" t="str">
        <f>IF(Donnees[[#This Row],[Heure UTC]]&lt;6,"0-5 h",IF(Donnees[[#This Row],[Heure UTC]]&lt;12,"6-11 h",IF(Donnees[[#This Row],[Heure UTC]]&lt;18,"12-17 h","18-23 h")))</f>
        <v>12-17 h</v>
      </c>
      <c r="I149" s="40">
        <v>50</v>
      </c>
      <c r="J149" s="40" t="str">
        <f>IF(Donnees[[#This Row],[Durée (s)]]&lt;=10,"1. ≤ 10 s",IF(Donnees[[#This Row],[Durée (s)]]&lt;=15,"2. 11-15 s",IF(Donnees[[#This Row],[Durée (s)]]&lt;=30,"3. 16-30 s",IF(Donnees[[#This Row],[Durée (s)]]&lt;=60,"4. 31-60 s","5. &gt; 60 s"))))</f>
        <v>4. 31-60 s</v>
      </c>
      <c r="K149" s="40" t="str">
        <f>IF(Donnees[[#This Row],[Durée (s)]]&gt;15,"Oui","Non")</f>
        <v>Oui</v>
      </c>
      <c r="L149" s="40">
        <v>2</v>
      </c>
      <c r="M149" s="40" t="s">
        <v>41</v>
      </c>
      <c r="N149" s="40">
        <v>95</v>
      </c>
      <c r="O149" s="40" t="s">
        <v>41</v>
      </c>
      <c r="P149" s="40" t="s">
        <v>44</v>
      </c>
      <c r="Q149" s="40" t="s">
        <v>41</v>
      </c>
      <c r="R149" s="40"/>
      <c r="S149" s="40"/>
      <c r="T149" s="41"/>
      <c r="U149" s="40" t="str">
        <f>IF(Donnees[[#This Row],[Abonnés]]="","",IF(Donnees[[#This Row],[Abonnés]]&lt;1000000,"1. &lt; 1 M",IF(Donnees[[#This Row],[Abonnés]]&lt;3000000,"2. 1-3 M",IF(Donnees[[#This Row],[Abonnés]]&lt;8000000,"3. 3-8 M","4. ≥ 8 M"))))</f>
        <v/>
      </c>
      <c r="V149" s="41"/>
      <c r="W149" s="41">
        <v>6100000</v>
      </c>
      <c r="X149" s="41">
        <v>161100</v>
      </c>
      <c r="Y149" s="41">
        <v>1595</v>
      </c>
      <c r="Z149" s="41">
        <v>304</v>
      </c>
      <c r="AA149" s="42">
        <f>(Donnees[[#This Row],[Likes]]+Donnees[[#This Row],[Commentaires]]+Donnees[[#This Row],[Partages]])/Donnees[[#This Row],[Vues]]</f>
        <v>2.6721147540983606E-2</v>
      </c>
      <c r="AB149" s="40">
        <f>IF(Donnees[[#This Row],[Engagement]]&gt;=VLOOKUP(Donnees[[#This Row],[Échantillon]],'Méthode &amp; limites'!$B$9:$D$11,2,FALSE),1,0)</f>
        <v>0</v>
      </c>
      <c r="AC149" s="43" t="str">
        <f>IF(Donnees[[#This Row],[Abonnés]]="","",Donnees[[#This Row],[Vues]]/Donnees[[#This Row],[Abonnés]])</f>
        <v/>
      </c>
      <c r="AD149" s="40" t="s">
        <v>44</v>
      </c>
      <c r="AE149" s="43">
        <f>SUMPRODUCT((Donnees[Échantillon]=Donnees[[#This Row],[Échantillon]])*(Donnees[Engagement]&lt;Donnees[[#This Row],[Engagement]]))+(SUMPRODUCT((Donnees[Échantillon]=Donnees[[#This Row],[Échantillon]])*(Donnees[Engagement]=Donnees[[#This Row],[Engagement]]))+1)/2</f>
        <v>2</v>
      </c>
      <c r="AF149" s="43">
        <f>SUMPRODUCT((Donnees[Échantillon]=Donnees[[#This Row],[Échantillon]])*(Donnees[Vues]&lt;Donnees[[#This Row],[Vues]]))+(SUMPRODUCT((Donnees[Échantillon]=Donnees[[#This Row],[Échantillon]])*(Donnees[Vues]=Donnees[[#This Row],[Vues]]))+1)/2</f>
        <v>53</v>
      </c>
      <c r="AG149" s="43">
        <f>SUMPRODUCT((Donnees[Échantillon]=Donnees[[#This Row],[Échantillon]])*(Donnees[Durée (s)]&lt;Donnees[[#This Row],[Durée (s)]]))+(SUMPRODUCT((Donnees[Échantillon]=Donnees[[#This Row],[Échantillon]])*(Donnees[Durée (s)]=Donnees[[#This Row],[Durée (s)]]))+1)/2</f>
        <v>88.5</v>
      </c>
      <c r="AH149" s="43">
        <f>SUMPRODUCT((Donnees[Échantillon]=Donnees[[#This Row],[Échantillon]])*(Donnees[Nb hashtags]&lt;Donnees[[#This Row],[Nb hashtags]]))+(SUMPRODUCT((Donnees[Échantillon]=Donnees[[#This Row],[Échantillon]])*(Donnees[Nb hashtags]=Donnees[[#This Row],[Nb hashtags]]))+1)/2</f>
        <v>61</v>
      </c>
      <c r="AI149" s="43">
        <f>SUMPRODUCT((Donnees[Échantillon]=Donnees[[#This Row],[Échantillon]])*(Donnees[Longueur du texte]&lt;Donnees[[#This Row],[Longueur du texte]]))+(SUMPRODUCT((Donnees[Échantillon]=Donnees[[#This Row],[Échantillon]])*(Donnees[Longueur du texte]=Donnees[[#This Row],[Longueur du texte]]))+1)/2</f>
        <v>91</v>
      </c>
      <c r="AJ149" s="43" t="str">
        <f>IF(Donnees[[#This Row],[Abonnés]]="","",SUMPRODUCT((Donnees[Échantillon]=Donnees[[#This Row],[Échantillon]])*(Donnees[Abonnés]&lt;Donnees[[#This Row],[Abonnés]]))+(SUMPRODUCT((Donnees[Échantillon]=Donnees[[#This Row],[Échantillon]])*(Donnees[Abonnés]=Donnees[[#This Row],[Abonnés]]))+1)/2)</f>
        <v/>
      </c>
      <c r="AK14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50" spans="1:37" x14ac:dyDescent="0.2">
      <c r="A150" s="40" t="s">
        <v>145</v>
      </c>
      <c r="B150" s="40" t="s">
        <v>190</v>
      </c>
      <c r="C150" s="40" t="s">
        <v>46</v>
      </c>
      <c r="D150" s="40">
        <v>136</v>
      </c>
      <c r="E150" s="40" t="s">
        <v>59</v>
      </c>
      <c r="F150" s="40" t="str">
        <f>IF(OR(Donnees[[#This Row],[Jour]]="samedi",Donnees[[#This Row],[Jour]]="dimanche"),"Oui","Non")</f>
        <v>Non</v>
      </c>
      <c r="G150" s="40">
        <v>22</v>
      </c>
      <c r="H150" s="40" t="str">
        <f>IF(Donnees[[#This Row],[Heure UTC]]&lt;6,"0-5 h",IF(Donnees[[#This Row],[Heure UTC]]&lt;12,"6-11 h",IF(Donnees[[#This Row],[Heure UTC]]&lt;18,"12-17 h","18-23 h")))</f>
        <v>18-23 h</v>
      </c>
      <c r="I150" s="40">
        <v>36</v>
      </c>
      <c r="J150" s="40" t="str">
        <f>IF(Donnees[[#This Row],[Durée (s)]]&lt;=10,"1. ≤ 10 s",IF(Donnees[[#This Row],[Durée (s)]]&lt;=15,"2. 11-15 s",IF(Donnees[[#This Row],[Durée (s)]]&lt;=30,"3. 16-30 s",IF(Donnees[[#This Row],[Durée (s)]]&lt;=60,"4. 31-60 s","5. &gt; 60 s"))))</f>
        <v>4. 31-60 s</v>
      </c>
      <c r="K150" s="40" t="str">
        <f>IF(Donnees[[#This Row],[Durée (s)]]&gt;15,"Oui","Non")</f>
        <v>Oui</v>
      </c>
      <c r="L150" s="40">
        <v>5</v>
      </c>
      <c r="M150" s="40" t="s">
        <v>44</v>
      </c>
      <c r="N150" s="40">
        <v>62</v>
      </c>
      <c r="O150" s="40" t="s">
        <v>41</v>
      </c>
      <c r="P150" s="40" t="s">
        <v>41</v>
      </c>
      <c r="Q150" s="40" t="s">
        <v>41</v>
      </c>
      <c r="R150" s="40"/>
      <c r="S150" s="40"/>
      <c r="T150" s="41"/>
      <c r="U150" s="40" t="str">
        <f>IF(Donnees[[#This Row],[Abonnés]]="","",IF(Donnees[[#This Row],[Abonnés]]&lt;1000000,"1. &lt; 1 M",IF(Donnees[[#This Row],[Abonnés]]&lt;3000000,"2. 1-3 M",IF(Donnees[[#This Row],[Abonnés]]&lt;8000000,"3. 3-8 M","4. ≥ 8 M"))))</f>
        <v/>
      </c>
      <c r="V150" s="41"/>
      <c r="W150" s="41">
        <v>6100000</v>
      </c>
      <c r="X150" s="41">
        <v>1500000</v>
      </c>
      <c r="Y150" s="41">
        <v>23400</v>
      </c>
      <c r="Z150" s="41">
        <v>38600</v>
      </c>
      <c r="AA150" s="42">
        <f>(Donnees[[#This Row],[Likes]]+Donnees[[#This Row],[Commentaires]]+Donnees[[#This Row],[Partages]])/Donnees[[#This Row],[Vues]]</f>
        <v>0.25606557377049183</v>
      </c>
      <c r="AB150" s="40">
        <f>IF(Donnees[[#This Row],[Engagement]]&gt;=VLOOKUP(Donnees[[#This Row],[Échantillon]],'Méthode &amp; limites'!$B$9:$D$11,2,FALSE),1,0)</f>
        <v>1</v>
      </c>
      <c r="AC150" s="43" t="str">
        <f>IF(Donnees[[#This Row],[Abonnés]]="","",Donnees[[#This Row],[Vues]]/Donnees[[#This Row],[Abonnés]])</f>
        <v/>
      </c>
      <c r="AD150" s="40" t="s">
        <v>44</v>
      </c>
      <c r="AE150" s="43">
        <f>SUMPRODUCT((Donnees[Échantillon]=Donnees[[#This Row],[Échantillon]])*(Donnees[Engagement]&lt;Donnees[[#This Row],[Engagement]]))+(SUMPRODUCT((Donnees[Échantillon]=Donnees[[#This Row],[Échantillon]])*(Donnees[Engagement]=Donnees[[#This Row],[Engagement]]))+1)/2</f>
        <v>81</v>
      </c>
      <c r="AF150" s="43">
        <f>SUMPRODUCT((Donnees[Échantillon]=Donnees[[#This Row],[Échantillon]])*(Donnees[Vues]&lt;Donnees[[#This Row],[Vues]]))+(SUMPRODUCT((Donnees[Échantillon]=Donnees[[#This Row],[Échantillon]])*(Donnees[Vues]=Donnees[[#This Row],[Vues]]))+1)/2</f>
        <v>53</v>
      </c>
      <c r="AG150" s="43">
        <f>SUMPRODUCT((Donnees[Échantillon]=Donnees[[#This Row],[Échantillon]])*(Donnees[Durée (s)]&lt;Donnees[[#This Row],[Durée (s)]]))+(SUMPRODUCT((Donnees[Échantillon]=Donnees[[#This Row],[Échantillon]])*(Donnees[Durée (s)]=Donnees[[#This Row],[Durée (s)]]))+1)/2</f>
        <v>76</v>
      </c>
      <c r="AH150" s="43">
        <f>SUMPRODUCT((Donnees[Échantillon]=Donnees[[#This Row],[Échantillon]])*(Donnees[Nb hashtags]&lt;Donnees[[#This Row],[Nb hashtags]]))+(SUMPRODUCT((Donnees[Échantillon]=Donnees[[#This Row],[Échantillon]])*(Donnees[Nb hashtags]=Donnees[[#This Row],[Nb hashtags]]))+1)/2</f>
        <v>90.5</v>
      </c>
      <c r="AI150" s="43">
        <f>SUMPRODUCT((Donnees[Échantillon]=Donnees[[#This Row],[Échantillon]])*(Donnees[Longueur du texte]&lt;Donnees[[#This Row],[Longueur du texte]]))+(SUMPRODUCT((Donnees[Échantillon]=Donnees[[#This Row],[Échantillon]])*(Donnees[Longueur du texte]=Donnees[[#This Row],[Longueur du texte]]))+1)/2</f>
        <v>79</v>
      </c>
      <c r="AJ150" s="43" t="str">
        <f>IF(Donnees[[#This Row],[Abonnés]]="","",SUMPRODUCT((Donnees[Échantillon]=Donnees[[#This Row],[Échantillon]])*(Donnees[Abonnés]&lt;Donnees[[#This Row],[Abonnés]]))+(SUMPRODUCT((Donnees[Échantillon]=Donnees[[#This Row],[Échantillon]])*(Donnees[Abonnés]=Donnees[[#This Row],[Abonnés]]))+1)/2)</f>
        <v/>
      </c>
      <c r="AK15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51" spans="1:37" x14ac:dyDescent="0.2">
      <c r="A151" s="40" t="s">
        <v>145</v>
      </c>
      <c r="B151" s="40" t="s">
        <v>191</v>
      </c>
      <c r="C151" s="40" t="s">
        <v>39</v>
      </c>
      <c r="D151" s="40">
        <v>86</v>
      </c>
      <c r="E151" s="40" t="s">
        <v>47</v>
      </c>
      <c r="F151" s="40" t="str">
        <f>IF(OR(Donnees[[#This Row],[Jour]]="samedi",Donnees[[#This Row],[Jour]]="dimanche"),"Oui","Non")</f>
        <v>Non</v>
      </c>
      <c r="G151" s="40">
        <v>1</v>
      </c>
      <c r="H151" s="40" t="str">
        <f>IF(Donnees[[#This Row],[Heure UTC]]&lt;6,"0-5 h",IF(Donnees[[#This Row],[Heure UTC]]&lt;12,"6-11 h",IF(Donnees[[#This Row],[Heure UTC]]&lt;18,"12-17 h","18-23 h")))</f>
        <v>0-5 h</v>
      </c>
      <c r="I151" s="40">
        <v>47</v>
      </c>
      <c r="J151" s="40" t="str">
        <f>IF(Donnees[[#This Row],[Durée (s)]]&lt;=10,"1. ≤ 10 s",IF(Donnees[[#This Row],[Durée (s)]]&lt;=15,"2. 11-15 s",IF(Donnees[[#This Row],[Durée (s)]]&lt;=30,"3. 16-30 s",IF(Donnees[[#This Row],[Durée (s)]]&lt;=60,"4. 31-60 s","5. &gt; 60 s"))))</f>
        <v>4. 31-60 s</v>
      </c>
      <c r="K151" s="40" t="str">
        <f>IF(Donnees[[#This Row],[Durée (s)]]&gt;15,"Oui","Non")</f>
        <v>Oui</v>
      </c>
      <c r="L151" s="40">
        <v>1</v>
      </c>
      <c r="M151" s="40" t="s">
        <v>41</v>
      </c>
      <c r="N151" s="40">
        <v>6</v>
      </c>
      <c r="O151" s="40" t="s">
        <v>41</v>
      </c>
      <c r="P151" s="40" t="s">
        <v>44</v>
      </c>
      <c r="Q151" s="40" t="s">
        <v>41</v>
      </c>
      <c r="R151" s="40"/>
      <c r="S151" s="40"/>
      <c r="T151" s="41"/>
      <c r="U151" s="40" t="str">
        <f>IF(Donnees[[#This Row],[Abonnés]]="","",IF(Donnees[[#This Row],[Abonnés]]&lt;1000000,"1. &lt; 1 M",IF(Donnees[[#This Row],[Abonnés]]&lt;3000000,"2. 1-3 M",IF(Donnees[[#This Row],[Abonnés]]&lt;8000000,"3. 3-8 M","4. ≥ 8 M"))))</f>
        <v/>
      </c>
      <c r="V151" s="41"/>
      <c r="W151" s="41">
        <v>5800000</v>
      </c>
      <c r="X151" s="41">
        <v>1000000</v>
      </c>
      <c r="Y151" s="41">
        <v>8713</v>
      </c>
      <c r="Z151" s="41">
        <v>6067</v>
      </c>
      <c r="AA151" s="42">
        <f>(Donnees[[#This Row],[Likes]]+Donnees[[#This Row],[Commentaires]]+Donnees[[#This Row],[Partages]])/Donnees[[#This Row],[Vues]]</f>
        <v>0.17496206896551725</v>
      </c>
      <c r="AB151" s="40">
        <f>IF(Donnees[[#This Row],[Engagement]]&gt;=VLOOKUP(Donnees[[#This Row],[Échantillon]],'Méthode &amp; limites'!$B$9:$D$11,2,FALSE),1,0)</f>
        <v>0</v>
      </c>
      <c r="AC151" s="43" t="str">
        <f>IF(Donnees[[#This Row],[Abonnés]]="","",Donnees[[#This Row],[Vues]]/Donnees[[#This Row],[Abonnés]])</f>
        <v/>
      </c>
      <c r="AD151" s="40" t="s">
        <v>44</v>
      </c>
      <c r="AE151" s="43">
        <f>SUMPRODUCT((Donnees[Échantillon]=Donnees[[#This Row],[Échantillon]])*(Donnees[Engagement]&lt;Donnees[[#This Row],[Engagement]]))+(SUMPRODUCT((Donnees[Échantillon]=Donnees[[#This Row],[Échantillon]])*(Donnees[Engagement]=Donnees[[#This Row],[Engagement]]))+1)/2</f>
        <v>47</v>
      </c>
      <c r="AF151" s="43">
        <f>SUMPRODUCT((Donnees[Échantillon]=Donnees[[#This Row],[Échantillon]])*(Donnees[Vues]&lt;Donnees[[#This Row],[Vues]]))+(SUMPRODUCT((Donnees[Échantillon]=Donnees[[#This Row],[Échantillon]])*(Donnees[Vues]=Donnees[[#This Row],[Vues]]))+1)/2</f>
        <v>51</v>
      </c>
      <c r="AG151" s="43">
        <f>SUMPRODUCT((Donnees[Échantillon]=Donnees[[#This Row],[Échantillon]])*(Donnees[Durée (s)]&lt;Donnees[[#This Row],[Durée (s)]]))+(SUMPRODUCT((Donnees[Échantillon]=Donnees[[#This Row],[Échantillon]])*(Donnees[Durée (s)]=Donnees[[#This Row],[Durée (s)]]))+1)/2</f>
        <v>87</v>
      </c>
      <c r="AH151" s="43">
        <f>SUMPRODUCT((Donnees[Échantillon]=Donnees[[#This Row],[Échantillon]])*(Donnees[Nb hashtags]&lt;Donnees[[#This Row],[Nb hashtags]]))+(SUMPRODUCT((Donnees[Échantillon]=Donnees[[#This Row],[Échantillon]])*(Donnees[Nb hashtags]=Donnees[[#This Row],[Nb hashtags]]))+1)/2</f>
        <v>45.5</v>
      </c>
      <c r="AI151" s="43">
        <f>SUMPRODUCT((Donnees[Échantillon]=Donnees[[#This Row],[Échantillon]])*(Donnees[Longueur du texte]&lt;Donnees[[#This Row],[Longueur du texte]]))+(SUMPRODUCT((Donnees[Échantillon]=Donnees[[#This Row],[Échantillon]])*(Donnees[Longueur du texte]=Donnees[[#This Row],[Longueur du texte]]))+1)/2</f>
        <v>15.5</v>
      </c>
      <c r="AJ151" s="43" t="str">
        <f>IF(Donnees[[#This Row],[Abonnés]]="","",SUMPRODUCT((Donnees[Échantillon]=Donnees[[#This Row],[Échantillon]])*(Donnees[Abonnés]&lt;Donnees[[#This Row],[Abonnés]]))+(SUMPRODUCT((Donnees[Échantillon]=Donnees[[#This Row],[Échantillon]])*(Donnees[Abonnés]=Donnees[[#This Row],[Abonnés]]))+1)/2)</f>
        <v/>
      </c>
      <c r="AK15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52" spans="1:37" x14ac:dyDescent="0.2">
      <c r="A152" s="40" t="s">
        <v>145</v>
      </c>
      <c r="B152" s="40" t="s">
        <v>192</v>
      </c>
      <c r="C152" s="40" t="s">
        <v>39</v>
      </c>
      <c r="D152" s="40">
        <v>110</v>
      </c>
      <c r="E152" s="40" t="s">
        <v>71</v>
      </c>
      <c r="F152" s="40" t="str">
        <f>IF(OR(Donnees[[#This Row],[Jour]]="samedi",Donnees[[#This Row],[Jour]]="dimanche"),"Oui","Non")</f>
        <v>Non</v>
      </c>
      <c r="G152" s="40">
        <v>18</v>
      </c>
      <c r="H152" s="40" t="str">
        <f>IF(Donnees[[#This Row],[Heure UTC]]&lt;6,"0-5 h",IF(Donnees[[#This Row],[Heure UTC]]&lt;12,"6-11 h",IF(Donnees[[#This Row],[Heure UTC]]&lt;18,"12-17 h","18-23 h")))</f>
        <v>18-23 h</v>
      </c>
      <c r="I152" s="40">
        <v>15</v>
      </c>
      <c r="J152" s="40" t="str">
        <f>IF(Donnees[[#This Row],[Durée (s)]]&lt;=10,"1. ≤ 10 s",IF(Donnees[[#This Row],[Durée (s)]]&lt;=15,"2. 11-15 s",IF(Donnees[[#This Row],[Durée (s)]]&lt;=30,"3. 16-30 s",IF(Donnees[[#This Row],[Durée (s)]]&lt;=60,"4. 31-60 s","5. &gt; 60 s"))))</f>
        <v>2. 11-15 s</v>
      </c>
      <c r="K152" s="40" t="str">
        <f>IF(Donnees[[#This Row],[Durée (s)]]&gt;15,"Oui","Non")</f>
        <v>Non</v>
      </c>
      <c r="L152" s="40">
        <v>0</v>
      </c>
      <c r="M152" s="40" t="s">
        <v>41</v>
      </c>
      <c r="N152" s="40">
        <v>0</v>
      </c>
      <c r="O152" s="40" t="s">
        <v>44</v>
      </c>
      <c r="P152" s="40" t="s">
        <v>41</v>
      </c>
      <c r="Q152" s="40" t="s">
        <v>41</v>
      </c>
      <c r="R152" s="40"/>
      <c r="S152" s="40"/>
      <c r="T152" s="41"/>
      <c r="U152" s="40" t="str">
        <f>IF(Donnees[[#This Row],[Abonnés]]="","",IF(Donnees[[#This Row],[Abonnés]]&lt;1000000,"1. &lt; 1 M",IF(Donnees[[#This Row],[Abonnés]]&lt;3000000,"2. 1-3 M",IF(Donnees[[#This Row],[Abonnés]]&lt;8000000,"3. 3-8 M","4. ≥ 8 M"))))</f>
        <v/>
      </c>
      <c r="V152" s="41"/>
      <c r="W152" s="41">
        <v>5600000</v>
      </c>
      <c r="X152" s="41">
        <v>1600000</v>
      </c>
      <c r="Y152" s="41">
        <v>3845</v>
      </c>
      <c r="Z152" s="41">
        <v>3147</v>
      </c>
      <c r="AA152" s="42">
        <f>(Donnees[[#This Row],[Likes]]+Donnees[[#This Row],[Commentaires]]+Donnees[[#This Row],[Partages]])/Donnees[[#This Row],[Vues]]</f>
        <v>0.28696285714285713</v>
      </c>
      <c r="AB152" s="40">
        <f>IF(Donnees[[#This Row],[Engagement]]&gt;=VLOOKUP(Donnees[[#This Row],[Échantillon]],'Méthode &amp; limites'!$B$9:$D$11,2,FALSE),1,0)</f>
        <v>1</v>
      </c>
      <c r="AC152" s="43" t="str">
        <f>IF(Donnees[[#This Row],[Abonnés]]="","",Donnees[[#This Row],[Vues]]/Donnees[[#This Row],[Abonnés]])</f>
        <v/>
      </c>
      <c r="AD152" s="40" t="s">
        <v>44</v>
      </c>
      <c r="AE152" s="43">
        <f>SUMPRODUCT((Donnees[Échantillon]=Donnees[[#This Row],[Échantillon]])*(Donnees[Engagement]&lt;Donnees[[#This Row],[Engagement]]))+(SUMPRODUCT((Donnees[Échantillon]=Donnees[[#This Row],[Échantillon]])*(Donnees[Engagement]=Donnees[[#This Row],[Engagement]]))+1)/2</f>
        <v>92</v>
      </c>
      <c r="AF152" s="43">
        <f>SUMPRODUCT((Donnees[Échantillon]=Donnees[[#This Row],[Échantillon]])*(Donnees[Vues]&lt;Donnees[[#This Row],[Vues]]))+(SUMPRODUCT((Donnees[Échantillon]=Donnees[[#This Row],[Échantillon]])*(Donnees[Vues]=Donnees[[#This Row],[Vues]]))+1)/2</f>
        <v>50</v>
      </c>
      <c r="AG152" s="43">
        <f>SUMPRODUCT((Donnees[Échantillon]=Donnees[[#This Row],[Échantillon]])*(Donnees[Durée (s)]&lt;Donnees[[#This Row],[Durée (s)]]))+(SUMPRODUCT((Donnees[Échantillon]=Donnees[[#This Row],[Échantillon]])*(Donnees[Durée (s)]=Donnees[[#This Row],[Durée (s)]]))+1)/2</f>
        <v>43.5</v>
      </c>
      <c r="AH152" s="43">
        <f>SUMPRODUCT((Donnees[Échantillon]=Donnees[[#This Row],[Échantillon]])*(Donnees[Nb hashtags]&lt;Donnees[[#This Row],[Nb hashtags]]))+(SUMPRODUCT((Donnees[Échantillon]=Donnees[[#This Row],[Échantillon]])*(Donnees[Nb hashtags]=Donnees[[#This Row],[Nb hashtags]]))+1)/2</f>
        <v>18.5</v>
      </c>
      <c r="AI152" s="43">
        <f>SUMPRODUCT((Donnees[Échantillon]=Donnees[[#This Row],[Échantillon]])*(Donnees[Longueur du texte]&lt;Donnees[[#This Row],[Longueur du texte]]))+(SUMPRODUCT((Donnees[Échantillon]=Donnees[[#This Row],[Échantillon]])*(Donnees[Longueur du texte]=Donnees[[#This Row],[Longueur du texte]]))+1)/2</f>
        <v>6</v>
      </c>
      <c r="AJ152" s="43" t="str">
        <f>IF(Donnees[[#This Row],[Abonnés]]="","",SUMPRODUCT((Donnees[Échantillon]=Donnees[[#This Row],[Échantillon]])*(Donnees[Abonnés]&lt;Donnees[[#This Row],[Abonnés]]))+(SUMPRODUCT((Donnees[Échantillon]=Donnees[[#This Row],[Échantillon]])*(Donnees[Abonnés]=Donnees[[#This Row],[Abonnés]]))+1)/2)</f>
        <v/>
      </c>
      <c r="AK15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53" spans="1:37" x14ac:dyDescent="0.2">
      <c r="A153" s="40" t="s">
        <v>145</v>
      </c>
      <c r="B153" s="40" t="s">
        <v>193</v>
      </c>
      <c r="C153" s="40" t="s">
        <v>46</v>
      </c>
      <c r="D153" s="40">
        <v>78</v>
      </c>
      <c r="E153" s="40" t="s">
        <v>68</v>
      </c>
      <c r="F153" s="40" t="str">
        <f>IF(OR(Donnees[[#This Row],[Jour]]="samedi",Donnees[[#This Row],[Jour]]="dimanche"),"Oui","Non")</f>
        <v>Non</v>
      </c>
      <c r="G153" s="40">
        <v>6</v>
      </c>
      <c r="H153" s="40" t="str">
        <f>IF(Donnees[[#This Row],[Heure UTC]]&lt;6,"0-5 h",IF(Donnees[[#This Row],[Heure UTC]]&lt;12,"6-11 h",IF(Donnees[[#This Row],[Heure UTC]]&lt;18,"12-17 h","18-23 h")))</f>
        <v>6-11 h</v>
      </c>
      <c r="I153" s="40">
        <v>44</v>
      </c>
      <c r="J153" s="40" t="str">
        <f>IF(Donnees[[#This Row],[Durée (s)]]&lt;=10,"1. ≤ 10 s",IF(Donnees[[#This Row],[Durée (s)]]&lt;=15,"2. 11-15 s",IF(Donnees[[#This Row],[Durée (s)]]&lt;=30,"3. 16-30 s",IF(Donnees[[#This Row],[Durée (s)]]&lt;=60,"4. 31-60 s","5. &gt; 60 s"))))</f>
        <v>4. 31-60 s</v>
      </c>
      <c r="K153" s="40" t="str">
        <f>IF(Donnees[[#This Row],[Durée (s)]]&gt;15,"Oui","Non")</f>
        <v>Oui</v>
      </c>
      <c r="L153" s="40">
        <v>0</v>
      </c>
      <c r="M153" s="40" t="s">
        <v>41</v>
      </c>
      <c r="N153" s="40">
        <v>71</v>
      </c>
      <c r="O153" s="40" t="s">
        <v>41</v>
      </c>
      <c r="P153" s="40" t="s">
        <v>44</v>
      </c>
      <c r="Q153" s="40" t="s">
        <v>41</v>
      </c>
      <c r="R153" s="40"/>
      <c r="S153" s="40"/>
      <c r="T153" s="41"/>
      <c r="U153" s="40" t="str">
        <f>IF(Donnees[[#This Row],[Abonnés]]="","",IF(Donnees[[#This Row],[Abonnés]]&lt;1000000,"1. &lt; 1 M",IF(Donnees[[#This Row],[Abonnés]]&lt;3000000,"2. 1-3 M",IF(Donnees[[#This Row],[Abonnés]]&lt;8000000,"3. 3-8 M","4. ≥ 8 M"))))</f>
        <v/>
      </c>
      <c r="V153" s="41"/>
      <c r="W153" s="41">
        <v>5400000</v>
      </c>
      <c r="X153" s="41">
        <v>712800</v>
      </c>
      <c r="Y153" s="41">
        <v>3560</v>
      </c>
      <c r="Z153" s="41">
        <v>1534</v>
      </c>
      <c r="AA153" s="42">
        <f>(Donnees[[#This Row],[Likes]]+Donnees[[#This Row],[Commentaires]]+Donnees[[#This Row],[Partages]])/Donnees[[#This Row],[Vues]]</f>
        <v>0.13294333333333333</v>
      </c>
      <c r="AB153" s="40">
        <f>IF(Donnees[[#This Row],[Engagement]]&gt;=VLOOKUP(Donnees[[#This Row],[Échantillon]],'Méthode &amp; limites'!$B$9:$D$11,2,FALSE),1,0)</f>
        <v>0</v>
      </c>
      <c r="AC153" s="43" t="str">
        <f>IF(Donnees[[#This Row],[Abonnés]]="","",Donnees[[#This Row],[Vues]]/Donnees[[#This Row],[Abonnés]])</f>
        <v/>
      </c>
      <c r="AD153" s="40" t="s">
        <v>44</v>
      </c>
      <c r="AE153" s="43">
        <f>SUMPRODUCT((Donnees[Échantillon]=Donnees[[#This Row],[Échantillon]])*(Donnees[Engagement]&lt;Donnees[[#This Row],[Engagement]]))+(SUMPRODUCT((Donnees[Échantillon]=Donnees[[#This Row],[Échantillon]])*(Donnees[Engagement]=Donnees[[#This Row],[Engagement]]))+1)/2</f>
        <v>29</v>
      </c>
      <c r="AF153" s="43">
        <f>SUMPRODUCT((Donnees[Échantillon]=Donnees[[#This Row],[Échantillon]])*(Donnees[Vues]&lt;Donnees[[#This Row],[Vues]]))+(SUMPRODUCT((Donnees[Échantillon]=Donnees[[#This Row],[Échantillon]])*(Donnees[Vues]=Donnees[[#This Row],[Vues]]))+1)/2</f>
        <v>49</v>
      </c>
      <c r="AG153" s="43">
        <f>SUMPRODUCT((Donnees[Échantillon]=Donnees[[#This Row],[Échantillon]])*(Donnees[Durée (s)]&lt;Donnees[[#This Row],[Durée (s)]]))+(SUMPRODUCT((Donnees[Échantillon]=Donnees[[#This Row],[Échantillon]])*(Donnees[Durée (s)]=Donnees[[#This Row],[Durée (s)]]))+1)/2</f>
        <v>83.5</v>
      </c>
      <c r="AH153" s="43">
        <f>SUMPRODUCT((Donnees[Échantillon]=Donnees[[#This Row],[Échantillon]])*(Donnees[Nb hashtags]&lt;Donnees[[#This Row],[Nb hashtags]]))+(SUMPRODUCT((Donnees[Échantillon]=Donnees[[#This Row],[Échantillon]])*(Donnees[Nb hashtags]=Donnees[[#This Row],[Nb hashtags]]))+1)/2</f>
        <v>18.5</v>
      </c>
      <c r="AI153" s="43">
        <f>SUMPRODUCT((Donnees[Échantillon]=Donnees[[#This Row],[Échantillon]])*(Donnees[Longueur du texte]&lt;Donnees[[#This Row],[Longueur du texte]]))+(SUMPRODUCT((Donnees[Échantillon]=Donnees[[#This Row],[Échantillon]])*(Donnees[Longueur du texte]=Donnees[[#This Row],[Longueur du texte]]))+1)/2</f>
        <v>83</v>
      </c>
      <c r="AJ153" s="43" t="str">
        <f>IF(Donnees[[#This Row],[Abonnés]]="","",SUMPRODUCT((Donnees[Échantillon]=Donnees[[#This Row],[Échantillon]])*(Donnees[Abonnés]&lt;Donnees[[#This Row],[Abonnés]]))+(SUMPRODUCT((Donnees[Échantillon]=Donnees[[#This Row],[Échantillon]])*(Donnees[Abonnés]=Donnees[[#This Row],[Abonnés]]))+1)/2)</f>
        <v/>
      </c>
      <c r="AK15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54" spans="1:37" x14ac:dyDescent="0.2">
      <c r="A154" s="40" t="s">
        <v>145</v>
      </c>
      <c r="B154" s="40" t="s">
        <v>194</v>
      </c>
      <c r="C154" s="40" t="s">
        <v>46</v>
      </c>
      <c r="D154" s="40">
        <v>21</v>
      </c>
      <c r="E154" s="40" t="s">
        <v>75</v>
      </c>
      <c r="F154" s="40" t="str">
        <f>IF(OR(Donnees[[#This Row],[Jour]]="samedi",Donnees[[#This Row],[Jour]]="dimanche"),"Oui","Non")</f>
        <v>Oui</v>
      </c>
      <c r="G154" s="40">
        <v>6</v>
      </c>
      <c r="H154" s="40" t="str">
        <f>IF(Donnees[[#This Row],[Heure UTC]]&lt;6,"0-5 h",IF(Donnees[[#This Row],[Heure UTC]]&lt;12,"6-11 h",IF(Donnees[[#This Row],[Heure UTC]]&lt;18,"12-17 h","18-23 h")))</f>
        <v>6-11 h</v>
      </c>
      <c r="I154" s="40">
        <v>67</v>
      </c>
      <c r="J154" s="40" t="str">
        <f>IF(Donnees[[#This Row],[Durée (s)]]&lt;=10,"1. ≤ 10 s",IF(Donnees[[#This Row],[Durée (s)]]&lt;=15,"2. 11-15 s",IF(Donnees[[#This Row],[Durée (s)]]&lt;=30,"3. 16-30 s",IF(Donnees[[#This Row],[Durée (s)]]&lt;=60,"4. 31-60 s","5. &gt; 60 s"))))</f>
        <v>5. &gt; 60 s</v>
      </c>
      <c r="K154" s="40" t="str">
        <f>IF(Donnees[[#This Row],[Durée (s)]]&gt;15,"Oui","Non")</f>
        <v>Oui</v>
      </c>
      <c r="L154" s="40">
        <v>8</v>
      </c>
      <c r="M154" s="40" t="s">
        <v>41</v>
      </c>
      <c r="N154" s="40">
        <v>54</v>
      </c>
      <c r="O154" s="40" t="s">
        <v>41</v>
      </c>
      <c r="P154" s="40" t="s">
        <v>41</v>
      </c>
      <c r="Q154" s="40" t="s">
        <v>41</v>
      </c>
      <c r="R154" s="40"/>
      <c r="S154" s="40"/>
      <c r="T154" s="41"/>
      <c r="U154" s="40" t="str">
        <f>IF(Donnees[[#This Row],[Abonnés]]="","",IF(Donnees[[#This Row],[Abonnés]]&lt;1000000,"1. &lt; 1 M",IF(Donnees[[#This Row],[Abonnés]]&lt;3000000,"2. 1-3 M",IF(Donnees[[#This Row],[Abonnés]]&lt;8000000,"3. 3-8 M","4. ≥ 8 M"))))</f>
        <v/>
      </c>
      <c r="V154" s="41"/>
      <c r="W154" s="41">
        <v>5300000</v>
      </c>
      <c r="X154" s="41">
        <v>771100</v>
      </c>
      <c r="Y154" s="41">
        <v>14400</v>
      </c>
      <c r="Z154" s="41">
        <v>79800</v>
      </c>
      <c r="AA154" s="42">
        <f>(Donnees[[#This Row],[Likes]]+Donnees[[#This Row],[Commentaires]]+Donnees[[#This Row],[Partages]])/Donnees[[#This Row],[Vues]]</f>
        <v>0.16326415094339622</v>
      </c>
      <c r="AB154" s="40">
        <f>IF(Donnees[[#This Row],[Engagement]]&gt;=VLOOKUP(Donnees[[#This Row],[Échantillon]],'Méthode &amp; limites'!$B$9:$D$11,2,FALSE),1,0)</f>
        <v>0</v>
      </c>
      <c r="AC154" s="43" t="str">
        <f>IF(Donnees[[#This Row],[Abonnés]]="","",Donnees[[#This Row],[Vues]]/Donnees[[#This Row],[Abonnés]])</f>
        <v/>
      </c>
      <c r="AD154" s="40" t="s">
        <v>44</v>
      </c>
      <c r="AE154" s="43">
        <f>SUMPRODUCT((Donnees[Échantillon]=Donnees[[#This Row],[Échantillon]])*(Donnees[Engagement]&lt;Donnees[[#This Row],[Engagement]]))+(SUMPRODUCT((Donnees[Échantillon]=Donnees[[#This Row],[Échantillon]])*(Donnees[Engagement]=Donnees[[#This Row],[Engagement]]))+1)/2</f>
        <v>40</v>
      </c>
      <c r="AF154" s="43">
        <f>SUMPRODUCT((Donnees[Échantillon]=Donnees[[#This Row],[Échantillon]])*(Donnees[Vues]&lt;Donnees[[#This Row],[Vues]]))+(SUMPRODUCT((Donnees[Échantillon]=Donnees[[#This Row],[Échantillon]])*(Donnees[Vues]=Donnees[[#This Row],[Vues]]))+1)/2</f>
        <v>47.5</v>
      </c>
      <c r="AG154" s="43">
        <f>SUMPRODUCT((Donnees[Échantillon]=Donnees[[#This Row],[Échantillon]])*(Donnees[Durée (s)]&lt;Donnees[[#This Row],[Durée (s)]]))+(SUMPRODUCT((Donnees[Échantillon]=Donnees[[#This Row],[Échantillon]])*(Donnees[Durée (s)]=Donnees[[#This Row],[Durée (s)]]))+1)/2</f>
        <v>96</v>
      </c>
      <c r="AH154" s="43">
        <f>SUMPRODUCT((Donnees[Échantillon]=Donnees[[#This Row],[Échantillon]])*(Donnees[Nb hashtags]&lt;Donnees[[#This Row],[Nb hashtags]]))+(SUMPRODUCT((Donnees[Échantillon]=Donnees[[#This Row],[Échantillon]])*(Donnees[Nb hashtags]=Donnees[[#This Row],[Nb hashtags]]))+1)/2</f>
        <v>97.5</v>
      </c>
      <c r="AI154" s="43">
        <f>SUMPRODUCT((Donnees[Échantillon]=Donnees[[#This Row],[Échantillon]])*(Donnees[Longueur du texte]&lt;Donnees[[#This Row],[Longueur du texte]]))+(SUMPRODUCT((Donnees[Échantillon]=Donnees[[#This Row],[Échantillon]])*(Donnees[Longueur du texte]=Donnees[[#This Row],[Longueur du texte]]))+1)/2</f>
        <v>73</v>
      </c>
      <c r="AJ154" s="43" t="str">
        <f>IF(Donnees[[#This Row],[Abonnés]]="","",SUMPRODUCT((Donnees[Échantillon]=Donnees[[#This Row],[Échantillon]])*(Donnees[Abonnés]&lt;Donnees[[#This Row],[Abonnés]]))+(SUMPRODUCT((Donnees[Échantillon]=Donnees[[#This Row],[Échantillon]])*(Donnees[Abonnés]=Donnees[[#This Row],[Abonnés]]))+1)/2)</f>
        <v/>
      </c>
      <c r="AK15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55" spans="1:37" x14ac:dyDescent="0.2">
      <c r="A155" s="40" t="s">
        <v>145</v>
      </c>
      <c r="B155" s="40" t="s">
        <v>195</v>
      </c>
      <c r="C155" s="40" t="s">
        <v>50</v>
      </c>
      <c r="D155" s="40">
        <v>110</v>
      </c>
      <c r="E155" s="40" t="s">
        <v>71</v>
      </c>
      <c r="F155" s="40" t="str">
        <f>IF(OR(Donnees[[#This Row],[Jour]]="samedi",Donnees[[#This Row],[Jour]]="dimanche"),"Oui","Non")</f>
        <v>Non</v>
      </c>
      <c r="G155" s="40">
        <v>15</v>
      </c>
      <c r="H155" s="40" t="str">
        <f>IF(Donnees[[#This Row],[Heure UTC]]&lt;6,"0-5 h",IF(Donnees[[#This Row],[Heure UTC]]&lt;12,"6-11 h",IF(Donnees[[#This Row],[Heure UTC]]&lt;18,"12-17 h","18-23 h")))</f>
        <v>12-17 h</v>
      </c>
      <c r="I155" s="40">
        <v>11</v>
      </c>
      <c r="J155" s="40" t="str">
        <f>IF(Donnees[[#This Row],[Durée (s)]]&lt;=10,"1. ≤ 10 s",IF(Donnees[[#This Row],[Durée (s)]]&lt;=15,"2. 11-15 s",IF(Donnees[[#This Row],[Durée (s)]]&lt;=30,"3. 16-30 s",IF(Donnees[[#This Row],[Durée (s)]]&lt;=60,"4. 31-60 s","5. &gt; 60 s"))))</f>
        <v>2. 11-15 s</v>
      </c>
      <c r="K155" s="40" t="str">
        <f>IF(Donnees[[#This Row],[Durée (s)]]&gt;15,"Oui","Non")</f>
        <v>Non</v>
      </c>
      <c r="L155" s="40">
        <v>4</v>
      </c>
      <c r="M155" s="40" t="s">
        <v>44</v>
      </c>
      <c r="N155" s="40">
        <v>14</v>
      </c>
      <c r="O155" s="40" t="s">
        <v>41</v>
      </c>
      <c r="P155" s="40" t="s">
        <v>41</v>
      </c>
      <c r="Q155" s="40" t="s">
        <v>41</v>
      </c>
      <c r="R155" s="40"/>
      <c r="S155" s="40"/>
      <c r="T155" s="41"/>
      <c r="U155" s="40" t="str">
        <f>IF(Donnees[[#This Row],[Abonnés]]="","",IF(Donnees[[#This Row],[Abonnés]]&lt;1000000,"1. &lt; 1 M",IF(Donnees[[#This Row],[Abonnés]]&lt;3000000,"2. 1-3 M",IF(Donnees[[#This Row],[Abonnés]]&lt;8000000,"3. 3-8 M","4. ≥ 8 M"))))</f>
        <v/>
      </c>
      <c r="V155" s="41"/>
      <c r="W155" s="41">
        <v>5300000</v>
      </c>
      <c r="X155" s="41">
        <v>928700</v>
      </c>
      <c r="Y155" s="41">
        <v>39400</v>
      </c>
      <c r="Z155" s="41">
        <v>46800</v>
      </c>
      <c r="AA155" s="42">
        <f>(Donnees[[#This Row],[Likes]]+Donnees[[#This Row],[Commentaires]]+Donnees[[#This Row],[Partages]])/Donnees[[#This Row],[Vues]]</f>
        <v>0.19149056603773584</v>
      </c>
      <c r="AB155" s="40">
        <f>IF(Donnees[[#This Row],[Engagement]]&gt;=VLOOKUP(Donnees[[#This Row],[Échantillon]],'Méthode &amp; limites'!$B$9:$D$11,2,FALSE),1,0)</f>
        <v>0</v>
      </c>
      <c r="AC155" s="43" t="str">
        <f>IF(Donnees[[#This Row],[Abonnés]]="","",Donnees[[#This Row],[Vues]]/Donnees[[#This Row],[Abonnés]])</f>
        <v/>
      </c>
      <c r="AD155" s="40" t="s">
        <v>44</v>
      </c>
      <c r="AE155" s="43">
        <f>SUMPRODUCT((Donnees[Échantillon]=Donnees[[#This Row],[Échantillon]])*(Donnees[Engagement]&lt;Donnees[[#This Row],[Engagement]]))+(SUMPRODUCT((Donnees[Échantillon]=Donnees[[#This Row],[Échantillon]])*(Donnees[Engagement]=Donnees[[#This Row],[Engagement]]))+1)/2</f>
        <v>56</v>
      </c>
      <c r="AF155" s="43">
        <f>SUMPRODUCT((Donnees[Échantillon]=Donnees[[#This Row],[Échantillon]])*(Donnees[Vues]&lt;Donnees[[#This Row],[Vues]]))+(SUMPRODUCT((Donnees[Échantillon]=Donnees[[#This Row],[Échantillon]])*(Donnees[Vues]=Donnees[[#This Row],[Vues]]))+1)/2</f>
        <v>47.5</v>
      </c>
      <c r="AG155" s="43">
        <f>SUMPRODUCT((Donnees[Échantillon]=Donnees[[#This Row],[Échantillon]])*(Donnees[Durée (s)]&lt;Donnees[[#This Row],[Durée (s)]]))+(SUMPRODUCT((Donnees[Échantillon]=Donnees[[#This Row],[Échantillon]])*(Donnees[Durée (s)]=Donnees[[#This Row],[Durée (s)]]))+1)/2</f>
        <v>18</v>
      </c>
      <c r="AH155" s="43">
        <f>SUMPRODUCT((Donnees[Échantillon]=Donnees[[#This Row],[Échantillon]])*(Donnees[Nb hashtags]&lt;Donnees[[#This Row],[Nb hashtags]]))+(SUMPRODUCT((Donnees[Échantillon]=Donnees[[#This Row],[Échantillon]])*(Donnees[Nb hashtags]=Donnees[[#This Row],[Nb hashtags]]))+1)/2</f>
        <v>84.5</v>
      </c>
      <c r="AI155" s="43">
        <f>SUMPRODUCT((Donnees[Échantillon]=Donnees[[#This Row],[Échantillon]])*(Donnees[Longueur du texte]&lt;Donnees[[#This Row],[Longueur du texte]]))+(SUMPRODUCT((Donnees[Échantillon]=Donnees[[#This Row],[Échantillon]])*(Donnees[Longueur du texte]=Donnees[[#This Row],[Longueur du texte]]))+1)/2</f>
        <v>21</v>
      </c>
      <c r="AJ155" s="43" t="str">
        <f>IF(Donnees[[#This Row],[Abonnés]]="","",SUMPRODUCT((Donnees[Échantillon]=Donnees[[#This Row],[Échantillon]])*(Donnees[Abonnés]&lt;Donnees[[#This Row],[Abonnés]]))+(SUMPRODUCT((Donnees[Échantillon]=Donnees[[#This Row],[Échantillon]])*(Donnees[Abonnés]=Donnees[[#This Row],[Abonnés]]))+1)/2)</f>
        <v/>
      </c>
      <c r="AK15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56" spans="1:37" x14ac:dyDescent="0.2">
      <c r="A156" s="40" t="s">
        <v>145</v>
      </c>
      <c r="B156" s="40" t="s">
        <v>196</v>
      </c>
      <c r="C156" s="40" t="s">
        <v>39</v>
      </c>
      <c r="D156" s="40">
        <v>88</v>
      </c>
      <c r="E156" s="40" t="s">
        <v>40</v>
      </c>
      <c r="F156" s="40" t="str">
        <f>IF(OR(Donnees[[#This Row],[Jour]]="samedi",Donnees[[#This Row],[Jour]]="dimanche"),"Oui","Non")</f>
        <v>Non</v>
      </c>
      <c r="G156" s="40">
        <v>12</v>
      </c>
      <c r="H156" s="40" t="str">
        <f>IF(Donnees[[#This Row],[Heure UTC]]&lt;6,"0-5 h",IF(Donnees[[#This Row],[Heure UTC]]&lt;12,"6-11 h",IF(Donnees[[#This Row],[Heure UTC]]&lt;18,"12-17 h","18-23 h")))</f>
        <v>12-17 h</v>
      </c>
      <c r="I156" s="40">
        <v>21</v>
      </c>
      <c r="J156" s="40" t="str">
        <f>IF(Donnees[[#This Row],[Durée (s)]]&lt;=10,"1. ≤ 10 s",IF(Donnees[[#This Row],[Durée (s)]]&lt;=15,"2. 11-15 s",IF(Donnees[[#This Row],[Durée (s)]]&lt;=30,"3. 16-30 s",IF(Donnees[[#This Row],[Durée (s)]]&lt;=60,"4. 31-60 s","5. &gt; 60 s"))))</f>
        <v>3. 16-30 s</v>
      </c>
      <c r="K156" s="40" t="str">
        <f>IF(Donnees[[#This Row],[Durée (s)]]&gt;15,"Oui","Non")</f>
        <v>Oui</v>
      </c>
      <c r="L156" s="40">
        <v>0</v>
      </c>
      <c r="M156" s="40" t="s">
        <v>41</v>
      </c>
      <c r="N156" s="40">
        <v>56</v>
      </c>
      <c r="O156" s="40" t="s">
        <v>41</v>
      </c>
      <c r="P156" s="40" t="s">
        <v>41</v>
      </c>
      <c r="Q156" s="40" t="s">
        <v>41</v>
      </c>
      <c r="R156" s="40"/>
      <c r="S156" s="40"/>
      <c r="T156" s="41"/>
      <c r="U156" s="40" t="str">
        <f>IF(Donnees[[#This Row],[Abonnés]]="","",IF(Donnees[[#This Row],[Abonnés]]&lt;1000000,"1. &lt; 1 M",IF(Donnees[[#This Row],[Abonnés]]&lt;3000000,"2. 1-3 M",IF(Donnees[[#This Row],[Abonnés]]&lt;8000000,"3. 3-8 M","4. ≥ 8 M"))))</f>
        <v/>
      </c>
      <c r="V156" s="41"/>
      <c r="W156" s="41">
        <v>5000000</v>
      </c>
      <c r="X156" s="41">
        <v>922400</v>
      </c>
      <c r="Y156" s="41">
        <v>77200</v>
      </c>
      <c r="Z156" s="41">
        <v>12600</v>
      </c>
      <c r="AA156" s="42">
        <f>(Donnees[[#This Row],[Likes]]+Donnees[[#This Row],[Commentaires]]+Donnees[[#This Row],[Partages]])/Donnees[[#This Row],[Vues]]</f>
        <v>0.20244000000000001</v>
      </c>
      <c r="AB156" s="40">
        <f>IF(Donnees[[#This Row],[Engagement]]&gt;=VLOOKUP(Donnees[[#This Row],[Échantillon]],'Méthode &amp; limites'!$B$9:$D$11,2,FALSE),1,0)</f>
        <v>0</v>
      </c>
      <c r="AC156" s="43" t="str">
        <f>IF(Donnees[[#This Row],[Abonnés]]="","",Donnees[[#This Row],[Vues]]/Donnees[[#This Row],[Abonnés]])</f>
        <v/>
      </c>
      <c r="AD156" s="40" t="s">
        <v>44</v>
      </c>
      <c r="AE156" s="43">
        <f>SUMPRODUCT((Donnees[Échantillon]=Donnees[[#This Row],[Échantillon]])*(Donnees[Engagement]&lt;Donnees[[#This Row],[Engagement]]))+(SUMPRODUCT((Donnees[Échantillon]=Donnees[[#This Row],[Échantillon]])*(Donnees[Engagement]=Donnees[[#This Row],[Engagement]]))+1)/2</f>
        <v>59</v>
      </c>
      <c r="AF156" s="43">
        <f>SUMPRODUCT((Donnees[Échantillon]=Donnees[[#This Row],[Échantillon]])*(Donnees[Vues]&lt;Donnees[[#This Row],[Vues]]))+(SUMPRODUCT((Donnees[Échantillon]=Donnees[[#This Row],[Échantillon]])*(Donnees[Vues]=Donnees[[#This Row],[Vues]]))+1)/2</f>
        <v>45.5</v>
      </c>
      <c r="AG156" s="43">
        <f>SUMPRODUCT((Donnees[Échantillon]=Donnees[[#This Row],[Échantillon]])*(Donnees[Durée (s)]&lt;Donnees[[#This Row],[Durée (s)]]))+(SUMPRODUCT((Donnees[Échantillon]=Donnees[[#This Row],[Échantillon]])*(Donnees[Durée (s)]=Donnees[[#This Row],[Durée (s)]]))+1)/2</f>
        <v>59</v>
      </c>
      <c r="AH156" s="43">
        <f>SUMPRODUCT((Donnees[Échantillon]=Donnees[[#This Row],[Échantillon]])*(Donnees[Nb hashtags]&lt;Donnees[[#This Row],[Nb hashtags]]))+(SUMPRODUCT((Donnees[Échantillon]=Donnees[[#This Row],[Échantillon]])*(Donnees[Nb hashtags]=Donnees[[#This Row],[Nb hashtags]]))+1)/2</f>
        <v>18.5</v>
      </c>
      <c r="AI156" s="43">
        <f>SUMPRODUCT((Donnees[Échantillon]=Donnees[[#This Row],[Échantillon]])*(Donnees[Longueur du texte]&lt;Donnees[[#This Row],[Longueur du texte]]))+(SUMPRODUCT((Donnees[Échantillon]=Donnees[[#This Row],[Échantillon]])*(Donnees[Longueur du texte]=Donnees[[#This Row],[Longueur du texte]]))+1)/2</f>
        <v>76.5</v>
      </c>
      <c r="AJ156" s="43" t="str">
        <f>IF(Donnees[[#This Row],[Abonnés]]="","",SUMPRODUCT((Donnees[Échantillon]=Donnees[[#This Row],[Échantillon]])*(Donnees[Abonnés]&lt;Donnees[[#This Row],[Abonnés]]))+(SUMPRODUCT((Donnees[Échantillon]=Donnees[[#This Row],[Échantillon]])*(Donnees[Abonnés]=Donnees[[#This Row],[Abonnés]]))+1)/2)</f>
        <v/>
      </c>
      <c r="AK15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57" spans="1:37" x14ac:dyDescent="0.2">
      <c r="A157" s="40" t="s">
        <v>145</v>
      </c>
      <c r="B157" s="40" t="s">
        <v>197</v>
      </c>
      <c r="C157" s="40" t="s">
        <v>39</v>
      </c>
      <c r="D157" s="40">
        <v>183</v>
      </c>
      <c r="E157" s="40" t="s">
        <v>68</v>
      </c>
      <c r="F157" s="40" t="str">
        <f>IF(OR(Donnees[[#This Row],[Jour]]="samedi",Donnees[[#This Row],[Jour]]="dimanche"),"Oui","Non")</f>
        <v>Non</v>
      </c>
      <c r="G157" s="40">
        <v>23</v>
      </c>
      <c r="H157" s="40" t="str">
        <f>IF(Donnees[[#This Row],[Heure UTC]]&lt;6,"0-5 h",IF(Donnees[[#This Row],[Heure UTC]]&lt;12,"6-11 h",IF(Donnees[[#This Row],[Heure UTC]]&lt;18,"12-17 h","18-23 h")))</f>
        <v>18-23 h</v>
      </c>
      <c r="I157" s="40">
        <v>30</v>
      </c>
      <c r="J157" s="40" t="str">
        <f>IF(Donnees[[#This Row],[Durée (s)]]&lt;=10,"1. ≤ 10 s",IF(Donnees[[#This Row],[Durée (s)]]&lt;=15,"2. 11-15 s",IF(Donnees[[#This Row],[Durée (s)]]&lt;=30,"3. 16-30 s",IF(Donnees[[#This Row],[Durée (s)]]&lt;=60,"4. 31-60 s","5. &gt; 60 s"))))</f>
        <v>3. 16-30 s</v>
      </c>
      <c r="K157" s="40" t="str">
        <f>IF(Donnees[[#This Row],[Durée (s)]]&gt;15,"Oui","Non")</f>
        <v>Oui</v>
      </c>
      <c r="L157" s="40">
        <v>2</v>
      </c>
      <c r="M157" s="40" t="s">
        <v>44</v>
      </c>
      <c r="N157" s="40">
        <v>18</v>
      </c>
      <c r="O157" s="40" t="s">
        <v>41</v>
      </c>
      <c r="P157" s="40" t="s">
        <v>41</v>
      </c>
      <c r="Q157" s="40" t="s">
        <v>41</v>
      </c>
      <c r="R157" s="40"/>
      <c r="S157" s="40"/>
      <c r="T157" s="41"/>
      <c r="U157" s="40" t="str">
        <f>IF(Donnees[[#This Row],[Abonnés]]="","",IF(Donnees[[#This Row],[Abonnés]]&lt;1000000,"1. &lt; 1 M",IF(Donnees[[#This Row],[Abonnés]]&lt;3000000,"2. 1-3 M",IF(Donnees[[#This Row],[Abonnés]]&lt;8000000,"3. 3-8 M","4. ≥ 8 M"))))</f>
        <v/>
      </c>
      <c r="V157" s="41"/>
      <c r="W157" s="41">
        <v>5000000</v>
      </c>
      <c r="X157" s="41">
        <v>1100000</v>
      </c>
      <c r="Y157" s="41">
        <v>10700</v>
      </c>
      <c r="Z157" s="41">
        <v>31700</v>
      </c>
      <c r="AA157" s="42">
        <f>(Donnees[[#This Row],[Likes]]+Donnees[[#This Row],[Commentaires]]+Donnees[[#This Row],[Partages]])/Donnees[[#This Row],[Vues]]</f>
        <v>0.22847999999999999</v>
      </c>
      <c r="AB157" s="40">
        <f>IF(Donnees[[#This Row],[Engagement]]&gt;=VLOOKUP(Donnees[[#This Row],[Échantillon]],'Méthode &amp; limites'!$B$9:$D$11,2,FALSE),1,0)</f>
        <v>0</v>
      </c>
      <c r="AC157" s="43" t="str">
        <f>IF(Donnees[[#This Row],[Abonnés]]="","",Donnees[[#This Row],[Vues]]/Donnees[[#This Row],[Abonnés]])</f>
        <v/>
      </c>
      <c r="AD157" s="40" t="s">
        <v>44</v>
      </c>
      <c r="AE157" s="43">
        <f>SUMPRODUCT((Donnees[Échantillon]=Donnees[[#This Row],[Échantillon]])*(Donnees[Engagement]&lt;Donnees[[#This Row],[Engagement]]))+(SUMPRODUCT((Donnees[Échantillon]=Donnees[[#This Row],[Échantillon]])*(Donnees[Engagement]=Donnees[[#This Row],[Engagement]]))+1)/2</f>
        <v>69</v>
      </c>
      <c r="AF157" s="43">
        <f>SUMPRODUCT((Donnees[Échantillon]=Donnees[[#This Row],[Échantillon]])*(Donnees[Vues]&lt;Donnees[[#This Row],[Vues]]))+(SUMPRODUCT((Donnees[Échantillon]=Donnees[[#This Row],[Échantillon]])*(Donnees[Vues]=Donnees[[#This Row],[Vues]]))+1)/2</f>
        <v>45.5</v>
      </c>
      <c r="AG157" s="43">
        <f>SUMPRODUCT((Donnees[Échantillon]=Donnees[[#This Row],[Échantillon]])*(Donnees[Durée (s)]&lt;Donnees[[#This Row],[Durée (s)]]))+(SUMPRODUCT((Donnees[Échantillon]=Donnees[[#This Row],[Échantillon]])*(Donnees[Durée (s)]=Donnees[[#This Row],[Durée (s)]]))+1)/2</f>
        <v>73.5</v>
      </c>
      <c r="AH157" s="43">
        <f>SUMPRODUCT((Donnees[Échantillon]=Donnees[[#This Row],[Échantillon]])*(Donnees[Nb hashtags]&lt;Donnees[[#This Row],[Nb hashtags]]))+(SUMPRODUCT((Donnees[Échantillon]=Donnees[[#This Row],[Échantillon]])*(Donnees[Nb hashtags]=Donnees[[#This Row],[Nb hashtags]]))+1)/2</f>
        <v>61</v>
      </c>
      <c r="AI157" s="43">
        <f>SUMPRODUCT((Donnees[Échantillon]=Donnees[[#This Row],[Échantillon]])*(Donnees[Longueur du texte]&lt;Donnees[[#This Row],[Longueur du texte]]))+(SUMPRODUCT((Donnees[Échantillon]=Donnees[[#This Row],[Échantillon]])*(Donnees[Longueur du texte]=Donnees[[#This Row],[Longueur du texte]]))+1)/2</f>
        <v>26</v>
      </c>
      <c r="AJ157" s="43" t="str">
        <f>IF(Donnees[[#This Row],[Abonnés]]="","",SUMPRODUCT((Donnees[Échantillon]=Donnees[[#This Row],[Échantillon]])*(Donnees[Abonnés]&lt;Donnees[[#This Row],[Abonnés]]))+(SUMPRODUCT((Donnees[Échantillon]=Donnees[[#This Row],[Échantillon]])*(Donnees[Abonnés]=Donnees[[#This Row],[Abonnés]]))+1)/2)</f>
        <v/>
      </c>
      <c r="AK15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58" spans="1:37" x14ac:dyDescent="0.2">
      <c r="A158" s="40" t="s">
        <v>145</v>
      </c>
      <c r="B158" s="40" t="s">
        <v>146</v>
      </c>
      <c r="C158" s="40" t="s">
        <v>39</v>
      </c>
      <c r="D158" s="40">
        <v>4</v>
      </c>
      <c r="E158" s="40" t="s">
        <v>40</v>
      </c>
      <c r="F158" s="40" t="str">
        <f>IF(OR(Donnees[[#This Row],[Jour]]="samedi",Donnees[[#This Row],[Jour]]="dimanche"),"Oui","Non")</f>
        <v>Non</v>
      </c>
      <c r="G158" s="40">
        <v>17</v>
      </c>
      <c r="H158" s="40" t="str">
        <f>IF(Donnees[[#This Row],[Heure UTC]]&lt;6,"0-5 h",IF(Donnees[[#This Row],[Heure UTC]]&lt;12,"6-11 h",IF(Donnees[[#This Row],[Heure UTC]]&lt;18,"12-17 h","18-23 h")))</f>
        <v>12-17 h</v>
      </c>
      <c r="I158" s="40">
        <v>10</v>
      </c>
      <c r="J158" s="40" t="str">
        <f>IF(Donnees[[#This Row],[Durée (s)]]&lt;=10,"1. ≤ 10 s",IF(Donnees[[#This Row],[Durée (s)]]&lt;=15,"2. 11-15 s",IF(Donnees[[#This Row],[Durée (s)]]&lt;=30,"3. 16-30 s",IF(Donnees[[#This Row],[Durée (s)]]&lt;=60,"4. 31-60 s","5. &gt; 60 s"))))</f>
        <v>1. ≤ 10 s</v>
      </c>
      <c r="K158" s="40" t="str">
        <f>IF(Donnees[[#This Row],[Durée (s)]]&gt;15,"Oui","Non")</f>
        <v>Non</v>
      </c>
      <c r="L158" s="40">
        <v>0</v>
      </c>
      <c r="M158" s="40" t="s">
        <v>41</v>
      </c>
      <c r="N158" s="40">
        <v>33</v>
      </c>
      <c r="O158" s="40" t="s">
        <v>41</v>
      </c>
      <c r="P158" s="40" t="s">
        <v>44</v>
      </c>
      <c r="Q158" s="40" t="s">
        <v>41</v>
      </c>
      <c r="R158" s="40"/>
      <c r="S158" s="40"/>
      <c r="T158" s="41"/>
      <c r="U158" s="40" t="str">
        <f>IF(Donnees[[#This Row],[Abonnés]]="","",IF(Donnees[[#This Row],[Abonnés]]&lt;1000000,"1. &lt; 1 M",IF(Donnees[[#This Row],[Abonnés]]&lt;3000000,"2. 1-3 M",IF(Donnees[[#This Row],[Abonnés]]&lt;8000000,"3. 3-8 M","4. ≥ 8 M"))))</f>
        <v/>
      </c>
      <c r="V158" s="41"/>
      <c r="W158" s="41">
        <v>4900000</v>
      </c>
      <c r="X158" s="41">
        <v>592800</v>
      </c>
      <c r="Y158" s="41">
        <v>4703</v>
      </c>
      <c r="Z158" s="41">
        <v>1206</v>
      </c>
      <c r="AA158" s="42">
        <f>(Donnees[[#This Row],[Likes]]+Donnees[[#This Row],[Commentaires]]+Donnees[[#This Row],[Partages]])/Donnees[[#This Row],[Vues]]</f>
        <v>0.12218551020408164</v>
      </c>
      <c r="AB158" s="40">
        <f>IF(Donnees[[#This Row],[Engagement]]&gt;=VLOOKUP(Donnees[[#This Row],[Échantillon]],'Méthode &amp; limites'!$B$9:$D$11,2,FALSE),1,0)</f>
        <v>0</v>
      </c>
      <c r="AC158" s="43" t="str">
        <f>IF(Donnees[[#This Row],[Abonnés]]="","",Donnees[[#This Row],[Vues]]/Donnees[[#This Row],[Abonnés]])</f>
        <v/>
      </c>
      <c r="AD158" s="40" t="s">
        <v>44</v>
      </c>
      <c r="AE158" s="43">
        <f>SUMPRODUCT((Donnees[Échantillon]=Donnees[[#This Row],[Échantillon]])*(Donnees[Engagement]&lt;Donnees[[#This Row],[Engagement]]))+(SUMPRODUCT((Donnees[Échantillon]=Donnees[[#This Row],[Échantillon]])*(Donnees[Engagement]=Donnees[[#This Row],[Engagement]]))+1)/2</f>
        <v>26</v>
      </c>
      <c r="AF158" s="43">
        <f>SUMPRODUCT((Donnees[Échantillon]=Donnees[[#This Row],[Échantillon]])*(Donnees[Vues]&lt;Donnees[[#This Row],[Vues]]))+(SUMPRODUCT((Donnees[Échantillon]=Donnees[[#This Row],[Échantillon]])*(Donnees[Vues]=Donnees[[#This Row],[Vues]]))+1)/2</f>
        <v>44</v>
      </c>
      <c r="AG158" s="43">
        <f>SUMPRODUCT((Donnees[Échantillon]=Donnees[[#This Row],[Échantillon]])*(Donnees[Durée (s)]&lt;Donnees[[#This Row],[Durée (s)]]))+(SUMPRODUCT((Donnees[Échantillon]=Donnees[[#This Row],[Échantillon]])*(Donnees[Durée (s)]=Donnees[[#This Row],[Durée (s)]]))+1)/2</f>
        <v>11</v>
      </c>
      <c r="AH158" s="43">
        <f>SUMPRODUCT((Donnees[Échantillon]=Donnees[[#This Row],[Échantillon]])*(Donnees[Nb hashtags]&lt;Donnees[[#This Row],[Nb hashtags]]))+(SUMPRODUCT((Donnees[Échantillon]=Donnees[[#This Row],[Échantillon]])*(Donnees[Nb hashtags]=Donnees[[#This Row],[Nb hashtags]]))+1)/2</f>
        <v>18.5</v>
      </c>
      <c r="AI158" s="43">
        <f>SUMPRODUCT((Donnees[Échantillon]=Donnees[[#This Row],[Échantillon]])*(Donnees[Longueur du texte]&lt;Donnees[[#This Row],[Longueur du texte]]))+(SUMPRODUCT((Donnees[Échantillon]=Donnees[[#This Row],[Échantillon]])*(Donnees[Longueur du texte]=Donnees[[#This Row],[Longueur du texte]]))+1)/2</f>
        <v>48</v>
      </c>
      <c r="AJ158" s="43" t="str">
        <f>IF(Donnees[[#This Row],[Abonnés]]="","",SUMPRODUCT((Donnees[Échantillon]=Donnees[[#This Row],[Échantillon]])*(Donnees[Abonnés]&lt;Donnees[[#This Row],[Abonnés]]))+(SUMPRODUCT((Donnees[Échantillon]=Donnees[[#This Row],[Échantillon]])*(Donnees[Abonnés]=Donnees[[#This Row],[Abonnés]]))+1)/2)</f>
        <v/>
      </c>
      <c r="AK15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59" spans="1:37" x14ac:dyDescent="0.2">
      <c r="A159" s="40" t="s">
        <v>145</v>
      </c>
      <c r="B159" s="40" t="s">
        <v>198</v>
      </c>
      <c r="C159" s="40" t="s">
        <v>39</v>
      </c>
      <c r="D159" s="40">
        <v>41</v>
      </c>
      <c r="E159" s="40" t="s">
        <v>56</v>
      </c>
      <c r="F159" s="40" t="str">
        <f>IF(OR(Donnees[[#This Row],[Jour]]="samedi",Donnees[[#This Row],[Jour]]="dimanche"),"Oui","Non")</f>
        <v>Oui</v>
      </c>
      <c r="G159" s="40">
        <v>23</v>
      </c>
      <c r="H159" s="40" t="str">
        <f>IF(Donnees[[#This Row],[Heure UTC]]&lt;6,"0-5 h",IF(Donnees[[#This Row],[Heure UTC]]&lt;12,"6-11 h",IF(Donnees[[#This Row],[Heure UTC]]&lt;18,"12-17 h","18-23 h")))</f>
        <v>18-23 h</v>
      </c>
      <c r="I159" s="40">
        <v>14</v>
      </c>
      <c r="J159" s="40" t="str">
        <f>IF(Donnees[[#This Row],[Durée (s)]]&lt;=10,"1. ≤ 10 s",IF(Donnees[[#This Row],[Durée (s)]]&lt;=15,"2. 11-15 s",IF(Donnees[[#This Row],[Durée (s)]]&lt;=30,"3. 16-30 s",IF(Donnees[[#This Row],[Durée (s)]]&lt;=60,"4. 31-60 s","5. &gt; 60 s"))))</f>
        <v>2. 11-15 s</v>
      </c>
      <c r="K159" s="40" t="str">
        <f>IF(Donnees[[#This Row],[Durée (s)]]&gt;15,"Oui","Non")</f>
        <v>Non</v>
      </c>
      <c r="L159" s="40">
        <v>2</v>
      </c>
      <c r="M159" s="40" t="s">
        <v>44</v>
      </c>
      <c r="N159" s="40">
        <v>35</v>
      </c>
      <c r="O159" s="40" t="s">
        <v>41</v>
      </c>
      <c r="P159" s="40" t="s">
        <v>44</v>
      </c>
      <c r="Q159" s="40" t="s">
        <v>41</v>
      </c>
      <c r="R159" s="40"/>
      <c r="S159" s="40"/>
      <c r="T159" s="41"/>
      <c r="U159" s="40" t="str">
        <f>IF(Donnees[[#This Row],[Abonnés]]="","",IF(Donnees[[#This Row],[Abonnés]]&lt;1000000,"1. &lt; 1 M",IF(Donnees[[#This Row],[Abonnés]]&lt;3000000,"2. 1-3 M",IF(Donnees[[#This Row],[Abonnés]]&lt;8000000,"3. 3-8 M","4. ≥ 8 M"))))</f>
        <v/>
      </c>
      <c r="V159" s="41"/>
      <c r="W159" s="41">
        <v>4700000</v>
      </c>
      <c r="X159" s="41">
        <v>1300000</v>
      </c>
      <c r="Y159" s="41">
        <v>27400</v>
      </c>
      <c r="Z159" s="41">
        <v>25000</v>
      </c>
      <c r="AA159" s="42">
        <f>(Donnees[[#This Row],[Likes]]+Donnees[[#This Row],[Commentaires]]+Donnees[[#This Row],[Partages]])/Donnees[[#This Row],[Vues]]</f>
        <v>0.28774468085106381</v>
      </c>
      <c r="AB159" s="40">
        <f>IF(Donnees[[#This Row],[Engagement]]&gt;=VLOOKUP(Donnees[[#This Row],[Échantillon]],'Méthode &amp; limites'!$B$9:$D$11,2,FALSE),1,0)</f>
        <v>1</v>
      </c>
      <c r="AC159" s="43" t="str">
        <f>IF(Donnees[[#This Row],[Abonnés]]="","",Donnees[[#This Row],[Vues]]/Donnees[[#This Row],[Abonnés]])</f>
        <v/>
      </c>
      <c r="AD159" s="40" t="s">
        <v>44</v>
      </c>
      <c r="AE159" s="43">
        <f>SUMPRODUCT((Donnees[Échantillon]=Donnees[[#This Row],[Échantillon]])*(Donnees[Engagement]&lt;Donnees[[#This Row],[Engagement]]))+(SUMPRODUCT((Donnees[Échantillon]=Donnees[[#This Row],[Échantillon]])*(Donnees[Engagement]=Donnees[[#This Row],[Engagement]]))+1)/2</f>
        <v>93</v>
      </c>
      <c r="AF159" s="43">
        <f>SUMPRODUCT((Donnees[Échantillon]=Donnees[[#This Row],[Échantillon]])*(Donnees[Vues]&lt;Donnees[[#This Row],[Vues]]))+(SUMPRODUCT((Donnees[Échantillon]=Donnees[[#This Row],[Échantillon]])*(Donnees[Vues]=Donnees[[#This Row],[Vues]]))+1)/2</f>
        <v>43</v>
      </c>
      <c r="AG159" s="43">
        <f>SUMPRODUCT((Donnees[Échantillon]=Donnees[[#This Row],[Échantillon]])*(Donnees[Durée (s)]&lt;Donnees[[#This Row],[Durée (s)]]))+(SUMPRODUCT((Donnees[Échantillon]=Donnees[[#This Row],[Échantillon]])*(Donnees[Durée (s)]=Donnees[[#This Row],[Durée (s)]]))+1)/2</f>
        <v>31.5</v>
      </c>
      <c r="AH159" s="43">
        <f>SUMPRODUCT((Donnees[Échantillon]=Donnees[[#This Row],[Échantillon]])*(Donnees[Nb hashtags]&lt;Donnees[[#This Row],[Nb hashtags]]))+(SUMPRODUCT((Donnees[Échantillon]=Donnees[[#This Row],[Échantillon]])*(Donnees[Nb hashtags]=Donnees[[#This Row],[Nb hashtags]]))+1)/2</f>
        <v>61</v>
      </c>
      <c r="AI159" s="43">
        <f>SUMPRODUCT((Donnees[Échantillon]=Donnees[[#This Row],[Échantillon]])*(Donnees[Longueur du texte]&lt;Donnees[[#This Row],[Longueur du texte]]))+(SUMPRODUCT((Donnees[Échantillon]=Donnees[[#This Row],[Échantillon]])*(Donnees[Longueur du texte]=Donnees[[#This Row],[Longueur du texte]]))+1)/2</f>
        <v>52.5</v>
      </c>
      <c r="AJ159" s="43" t="str">
        <f>IF(Donnees[[#This Row],[Abonnés]]="","",SUMPRODUCT((Donnees[Échantillon]=Donnees[[#This Row],[Échantillon]])*(Donnees[Abonnés]&lt;Donnees[[#This Row],[Abonnés]]))+(SUMPRODUCT((Donnees[Échantillon]=Donnees[[#This Row],[Échantillon]])*(Donnees[Abonnés]=Donnees[[#This Row],[Abonnés]]))+1)/2)</f>
        <v/>
      </c>
      <c r="AK15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60" spans="1:37" x14ac:dyDescent="0.2">
      <c r="A160" s="40" t="s">
        <v>145</v>
      </c>
      <c r="B160" s="40" t="s">
        <v>199</v>
      </c>
      <c r="C160" s="40" t="s">
        <v>39</v>
      </c>
      <c r="D160" s="40">
        <v>99</v>
      </c>
      <c r="E160" s="40" t="s">
        <v>68</v>
      </c>
      <c r="F160" s="40" t="str">
        <f>IF(OR(Donnees[[#This Row],[Jour]]="samedi",Donnees[[#This Row],[Jour]]="dimanche"),"Oui","Non")</f>
        <v>Non</v>
      </c>
      <c r="G160" s="40">
        <v>3</v>
      </c>
      <c r="H160" s="40" t="str">
        <f>IF(Donnees[[#This Row],[Heure UTC]]&lt;6,"0-5 h",IF(Donnees[[#This Row],[Heure UTC]]&lt;12,"6-11 h",IF(Donnees[[#This Row],[Heure UTC]]&lt;18,"12-17 h","18-23 h")))</f>
        <v>0-5 h</v>
      </c>
      <c r="I160" s="40">
        <v>15</v>
      </c>
      <c r="J160" s="40" t="str">
        <f>IF(Donnees[[#This Row],[Durée (s)]]&lt;=10,"1. ≤ 10 s",IF(Donnees[[#This Row],[Durée (s)]]&lt;=15,"2. 11-15 s",IF(Donnees[[#This Row],[Durée (s)]]&lt;=30,"3. 16-30 s",IF(Donnees[[#This Row],[Durée (s)]]&lt;=60,"4. 31-60 s","5. &gt; 60 s"))))</f>
        <v>2. 11-15 s</v>
      </c>
      <c r="K160" s="40" t="str">
        <f>IF(Donnees[[#This Row],[Durée (s)]]&gt;15,"Oui","Non")</f>
        <v>Non</v>
      </c>
      <c r="L160" s="40">
        <v>3</v>
      </c>
      <c r="M160" s="40" t="s">
        <v>41</v>
      </c>
      <c r="N160" s="40">
        <v>19</v>
      </c>
      <c r="O160" s="40" t="s">
        <v>41</v>
      </c>
      <c r="P160" s="40" t="s">
        <v>41</v>
      </c>
      <c r="Q160" s="40" t="s">
        <v>41</v>
      </c>
      <c r="R160" s="40"/>
      <c r="S160" s="40"/>
      <c r="T160" s="41"/>
      <c r="U160" s="40" t="str">
        <f>IF(Donnees[[#This Row],[Abonnés]]="","",IF(Donnees[[#This Row],[Abonnés]]&lt;1000000,"1. &lt; 1 M",IF(Donnees[[#This Row],[Abonnés]]&lt;3000000,"2. 1-3 M",IF(Donnees[[#This Row],[Abonnés]]&lt;8000000,"3. 3-8 M","4. ≥ 8 M"))))</f>
        <v/>
      </c>
      <c r="V160" s="41"/>
      <c r="W160" s="41">
        <v>4400000</v>
      </c>
      <c r="X160" s="41">
        <v>1200000</v>
      </c>
      <c r="Y160" s="41">
        <v>18100</v>
      </c>
      <c r="Z160" s="41">
        <v>40700</v>
      </c>
      <c r="AA160" s="42">
        <f>(Donnees[[#This Row],[Likes]]+Donnees[[#This Row],[Commentaires]]+Donnees[[#This Row],[Partages]])/Donnees[[#This Row],[Vues]]</f>
        <v>0.28609090909090912</v>
      </c>
      <c r="AB160" s="40">
        <f>IF(Donnees[[#This Row],[Engagement]]&gt;=VLOOKUP(Donnees[[#This Row],[Échantillon]],'Méthode &amp; limites'!$B$9:$D$11,2,FALSE),1,0)</f>
        <v>1</v>
      </c>
      <c r="AC160" s="43" t="str">
        <f>IF(Donnees[[#This Row],[Abonnés]]="","",Donnees[[#This Row],[Vues]]/Donnees[[#This Row],[Abonnés]])</f>
        <v/>
      </c>
      <c r="AD160" s="40" t="s">
        <v>44</v>
      </c>
      <c r="AE160" s="43">
        <f>SUMPRODUCT((Donnees[Échantillon]=Donnees[[#This Row],[Échantillon]])*(Donnees[Engagement]&lt;Donnees[[#This Row],[Engagement]]))+(SUMPRODUCT((Donnees[Échantillon]=Donnees[[#This Row],[Échantillon]])*(Donnees[Engagement]=Donnees[[#This Row],[Engagement]]))+1)/2</f>
        <v>90</v>
      </c>
      <c r="AF160" s="43">
        <f>SUMPRODUCT((Donnees[Échantillon]=Donnees[[#This Row],[Échantillon]])*(Donnees[Vues]&lt;Donnees[[#This Row],[Vues]]))+(SUMPRODUCT((Donnees[Échantillon]=Donnees[[#This Row],[Échantillon]])*(Donnees[Vues]=Donnees[[#This Row],[Vues]]))+1)/2</f>
        <v>42</v>
      </c>
      <c r="AG160" s="43">
        <f>SUMPRODUCT((Donnees[Échantillon]=Donnees[[#This Row],[Échantillon]])*(Donnees[Durée (s)]&lt;Donnees[[#This Row],[Durée (s)]]))+(SUMPRODUCT((Donnees[Échantillon]=Donnees[[#This Row],[Échantillon]])*(Donnees[Durée (s)]=Donnees[[#This Row],[Durée (s)]]))+1)/2</f>
        <v>43.5</v>
      </c>
      <c r="AH160" s="43">
        <f>SUMPRODUCT((Donnees[Échantillon]=Donnees[[#This Row],[Échantillon]])*(Donnees[Nb hashtags]&lt;Donnees[[#This Row],[Nb hashtags]]))+(SUMPRODUCT((Donnees[Échantillon]=Donnees[[#This Row],[Échantillon]])*(Donnees[Nb hashtags]=Donnees[[#This Row],[Nb hashtags]]))+1)/2</f>
        <v>74</v>
      </c>
      <c r="AI160" s="43">
        <f>SUMPRODUCT((Donnees[Échantillon]=Donnees[[#This Row],[Échantillon]])*(Donnees[Longueur du texte]&lt;Donnees[[#This Row],[Longueur du texte]]))+(SUMPRODUCT((Donnees[Échantillon]=Donnees[[#This Row],[Échantillon]])*(Donnees[Longueur du texte]=Donnees[[#This Row],[Longueur du texte]]))+1)/2</f>
        <v>29.5</v>
      </c>
      <c r="AJ160" s="43" t="str">
        <f>IF(Donnees[[#This Row],[Abonnés]]="","",SUMPRODUCT((Donnees[Échantillon]=Donnees[[#This Row],[Échantillon]])*(Donnees[Abonnés]&lt;Donnees[[#This Row],[Abonnés]]))+(SUMPRODUCT((Donnees[Échantillon]=Donnees[[#This Row],[Échantillon]])*(Donnees[Abonnés]=Donnees[[#This Row],[Abonnés]]))+1)/2)</f>
        <v/>
      </c>
      <c r="AK16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61" spans="1:37" x14ac:dyDescent="0.2">
      <c r="A161" s="40" t="s">
        <v>145</v>
      </c>
      <c r="B161" s="40" t="s">
        <v>200</v>
      </c>
      <c r="C161" s="40" t="s">
        <v>39</v>
      </c>
      <c r="D161" s="40">
        <v>135</v>
      </c>
      <c r="E161" s="40" t="s">
        <v>47</v>
      </c>
      <c r="F161" s="40" t="str">
        <f>IF(OR(Donnees[[#This Row],[Jour]]="samedi",Donnees[[#This Row],[Jour]]="dimanche"),"Oui","Non")</f>
        <v>Non</v>
      </c>
      <c r="G161" s="40">
        <v>12</v>
      </c>
      <c r="H161" s="40" t="str">
        <f>IF(Donnees[[#This Row],[Heure UTC]]&lt;6,"0-5 h",IF(Donnees[[#This Row],[Heure UTC]]&lt;12,"6-11 h",IF(Donnees[[#This Row],[Heure UTC]]&lt;18,"12-17 h","18-23 h")))</f>
        <v>12-17 h</v>
      </c>
      <c r="I161" s="40">
        <v>16</v>
      </c>
      <c r="J161" s="40" t="str">
        <f>IF(Donnees[[#This Row],[Durée (s)]]&lt;=10,"1. ≤ 10 s",IF(Donnees[[#This Row],[Durée (s)]]&lt;=15,"2. 11-15 s",IF(Donnees[[#This Row],[Durée (s)]]&lt;=30,"3. 16-30 s",IF(Donnees[[#This Row],[Durée (s)]]&lt;=60,"4. 31-60 s","5. &gt; 60 s"))))</f>
        <v>3. 16-30 s</v>
      </c>
      <c r="K161" s="40" t="str">
        <f>IF(Donnees[[#This Row],[Durée (s)]]&gt;15,"Oui","Non")</f>
        <v>Oui</v>
      </c>
      <c r="L161" s="40">
        <v>1</v>
      </c>
      <c r="M161" s="40" t="s">
        <v>41</v>
      </c>
      <c r="N161" s="40">
        <v>105</v>
      </c>
      <c r="O161" s="40" t="s">
        <v>41</v>
      </c>
      <c r="P161" s="40" t="s">
        <v>44</v>
      </c>
      <c r="Q161" s="40" t="s">
        <v>44</v>
      </c>
      <c r="R161" s="40"/>
      <c r="S161" s="40"/>
      <c r="T161" s="41"/>
      <c r="U161" s="40" t="str">
        <f>IF(Donnees[[#This Row],[Abonnés]]="","",IF(Donnees[[#This Row],[Abonnés]]&lt;1000000,"1. &lt; 1 M",IF(Donnees[[#This Row],[Abonnés]]&lt;3000000,"2. 1-3 M",IF(Donnees[[#This Row],[Abonnés]]&lt;8000000,"3. 3-8 M","4. ≥ 8 M"))))</f>
        <v/>
      </c>
      <c r="V161" s="41"/>
      <c r="W161" s="41">
        <v>4300000</v>
      </c>
      <c r="X161" s="41">
        <v>1300000</v>
      </c>
      <c r="Y161" s="41">
        <v>17900</v>
      </c>
      <c r="Z161" s="41">
        <v>29600</v>
      </c>
      <c r="AA161" s="42">
        <f>(Donnees[[#This Row],[Likes]]+Donnees[[#This Row],[Commentaires]]+Donnees[[#This Row],[Partages]])/Donnees[[#This Row],[Vues]]</f>
        <v>0.3133720930232558</v>
      </c>
      <c r="AB161" s="40">
        <f>IF(Donnees[[#This Row],[Engagement]]&gt;=VLOOKUP(Donnees[[#This Row],[Échantillon]],'Méthode &amp; limites'!$B$9:$D$11,2,FALSE),1,0)</f>
        <v>1</v>
      </c>
      <c r="AC161" s="43" t="str">
        <f>IF(Donnees[[#This Row],[Abonnés]]="","",Donnees[[#This Row],[Vues]]/Donnees[[#This Row],[Abonnés]])</f>
        <v/>
      </c>
      <c r="AD161" s="40" t="s">
        <v>44</v>
      </c>
      <c r="AE161" s="43">
        <f>SUMPRODUCT((Donnees[Échantillon]=Donnees[[#This Row],[Échantillon]])*(Donnees[Engagement]&lt;Donnees[[#This Row],[Engagement]]))+(SUMPRODUCT((Donnees[Échantillon]=Donnees[[#This Row],[Échantillon]])*(Donnees[Engagement]=Donnees[[#This Row],[Engagement]]))+1)/2</f>
        <v>95</v>
      </c>
      <c r="AF161" s="43">
        <f>SUMPRODUCT((Donnees[Échantillon]=Donnees[[#This Row],[Échantillon]])*(Donnees[Vues]&lt;Donnees[[#This Row],[Vues]]))+(SUMPRODUCT((Donnees[Échantillon]=Donnees[[#This Row],[Échantillon]])*(Donnees[Vues]=Donnees[[#This Row],[Vues]]))+1)/2</f>
        <v>41</v>
      </c>
      <c r="AG161" s="43">
        <f>SUMPRODUCT((Donnees[Échantillon]=Donnees[[#This Row],[Échantillon]])*(Donnees[Durée (s)]&lt;Donnees[[#This Row],[Durée (s)]]))+(SUMPRODUCT((Donnees[Échantillon]=Donnees[[#This Row],[Échantillon]])*(Donnees[Durée (s)]=Donnees[[#This Row],[Durée (s)]]))+1)/2</f>
        <v>52</v>
      </c>
      <c r="AH161" s="43">
        <f>SUMPRODUCT((Donnees[Échantillon]=Donnees[[#This Row],[Échantillon]])*(Donnees[Nb hashtags]&lt;Donnees[[#This Row],[Nb hashtags]]))+(SUMPRODUCT((Donnees[Échantillon]=Donnees[[#This Row],[Échantillon]])*(Donnees[Nb hashtags]=Donnees[[#This Row],[Nb hashtags]]))+1)/2</f>
        <v>45.5</v>
      </c>
      <c r="AI161" s="43">
        <f>SUMPRODUCT((Donnees[Échantillon]=Donnees[[#This Row],[Échantillon]])*(Donnees[Longueur du texte]&lt;Donnees[[#This Row],[Longueur du texte]]))+(SUMPRODUCT((Donnees[Échantillon]=Donnees[[#This Row],[Échantillon]])*(Donnees[Longueur du texte]=Donnees[[#This Row],[Longueur du texte]]))+1)/2</f>
        <v>94</v>
      </c>
      <c r="AJ161" s="43" t="str">
        <f>IF(Donnees[[#This Row],[Abonnés]]="","",SUMPRODUCT((Donnees[Échantillon]=Donnees[[#This Row],[Échantillon]])*(Donnees[Abonnés]&lt;Donnees[[#This Row],[Abonnés]]))+(SUMPRODUCT((Donnees[Échantillon]=Donnees[[#This Row],[Échantillon]])*(Donnees[Abonnés]=Donnees[[#This Row],[Abonnés]]))+1)/2)</f>
        <v/>
      </c>
      <c r="AK16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62" spans="1:37" x14ac:dyDescent="0.2">
      <c r="A162" s="40" t="s">
        <v>145</v>
      </c>
      <c r="B162" s="40" t="s">
        <v>201</v>
      </c>
      <c r="C162" s="40" t="s">
        <v>39</v>
      </c>
      <c r="D162" s="40">
        <v>17</v>
      </c>
      <c r="E162" s="40" t="s">
        <v>59</v>
      </c>
      <c r="F162" s="40" t="str">
        <f>IF(OR(Donnees[[#This Row],[Jour]]="samedi",Donnees[[#This Row],[Jour]]="dimanche"),"Oui","Non")</f>
        <v>Non</v>
      </c>
      <c r="G162" s="40">
        <v>18</v>
      </c>
      <c r="H162" s="40" t="str">
        <f>IF(Donnees[[#This Row],[Heure UTC]]&lt;6,"0-5 h",IF(Donnees[[#This Row],[Heure UTC]]&lt;12,"6-11 h",IF(Donnees[[#This Row],[Heure UTC]]&lt;18,"12-17 h","18-23 h")))</f>
        <v>18-23 h</v>
      </c>
      <c r="I162" s="40">
        <v>23</v>
      </c>
      <c r="J162" s="40" t="str">
        <f>IF(Donnees[[#This Row],[Durée (s)]]&lt;=10,"1. ≤ 10 s",IF(Donnees[[#This Row],[Durée (s)]]&lt;=15,"2. 11-15 s",IF(Donnees[[#This Row],[Durée (s)]]&lt;=30,"3. 16-30 s",IF(Donnees[[#This Row],[Durée (s)]]&lt;=60,"4. 31-60 s","5. &gt; 60 s"))))</f>
        <v>3. 16-30 s</v>
      </c>
      <c r="K162" s="40" t="str">
        <f>IF(Donnees[[#This Row],[Durée (s)]]&gt;15,"Oui","Non")</f>
        <v>Oui</v>
      </c>
      <c r="L162" s="40">
        <v>4</v>
      </c>
      <c r="M162" s="40" t="s">
        <v>44</v>
      </c>
      <c r="N162" s="40">
        <v>18</v>
      </c>
      <c r="O162" s="40" t="s">
        <v>41</v>
      </c>
      <c r="P162" s="40" t="s">
        <v>41</v>
      </c>
      <c r="Q162" s="40" t="s">
        <v>41</v>
      </c>
      <c r="R162" s="40"/>
      <c r="S162" s="40"/>
      <c r="T162" s="41"/>
      <c r="U162" s="40" t="str">
        <f>IF(Donnees[[#This Row],[Abonnés]]="","",IF(Donnees[[#This Row],[Abonnés]]&lt;1000000,"1. &lt; 1 M",IF(Donnees[[#This Row],[Abonnés]]&lt;3000000,"2. 1-3 M",IF(Donnees[[#This Row],[Abonnés]]&lt;8000000,"3. 3-8 M","4. ≥ 8 M"))))</f>
        <v/>
      </c>
      <c r="V162" s="41"/>
      <c r="W162" s="41">
        <v>4200000</v>
      </c>
      <c r="X162" s="41">
        <v>1300000</v>
      </c>
      <c r="Y162" s="41">
        <v>46700</v>
      </c>
      <c r="Z162" s="41">
        <v>28600</v>
      </c>
      <c r="AA162" s="42">
        <f>(Donnees[[#This Row],[Likes]]+Donnees[[#This Row],[Commentaires]]+Donnees[[#This Row],[Partages]])/Donnees[[#This Row],[Vues]]</f>
        <v>0.32745238095238094</v>
      </c>
      <c r="AB162" s="40">
        <f>IF(Donnees[[#This Row],[Engagement]]&gt;=VLOOKUP(Donnees[[#This Row],[Échantillon]],'Méthode &amp; limites'!$B$9:$D$11,2,FALSE),1,0)</f>
        <v>1</v>
      </c>
      <c r="AC162" s="43" t="str">
        <f>IF(Donnees[[#This Row],[Abonnés]]="","",Donnees[[#This Row],[Vues]]/Donnees[[#This Row],[Abonnés]])</f>
        <v/>
      </c>
      <c r="AD162" s="40" t="s">
        <v>44</v>
      </c>
      <c r="AE162" s="43">
        <f>SUMPRODUCT((Donnees[Échantillon]=Donnees[[#This Row],[Échantillon]])*(Donnees[Engagement]&lt;Donnees[[#This Row],[Engagement]]))+(SUMPRODUCT((Donnees[Échantillon]=Donnees[[#This Row],[Échantillon]])*(Donnees[Engagement]=Donnees[[#This Row],[Engagement]]))+1)/2</f>
        <v>97</v>
      </c>
      <c r="AF162" s="43">
        <f>SUMPRODUCT((Donnees[Échantillon]=Donnees[[#This Row],[Échantillon]])*(Donnees[Vues]&lt;Donnees[[#This Row],[Vues]]))+(SUMPRODUCT((Donnees[Échantillon]=Donnees[[#This Row],[Échantillon]])*(Donnees[Vues]=Donnees[[#This Row],[Vues]]))+1)/2</f>
        <v>40</v>
      </c>
      <c r="AG162" s="43">
        <f>SUMPRODUCT((Donnees[Échantillon]=Donnees[[#This Row],[Échantillon]])*(Donnees[Durée (s)]&lt;Donnees[[#This Row],[Durée (s)]]))+(SUMPRODUCT((Donnees[Échantillon]=Donnees[[#This Row],[Échantillon]])*(Donnees[Durée (s)]=Donnees[[#This Row],[Durée (s)]]))+1)/2</f>
        <v>62.5</v>
      </c>
      <c r="AH162" s="43">
        <f>SUMPRODUCT((Donnees[Échantillon]=Donnees[[#This Row],[Échantillon]])*(Donnees[Nb hashtags]&lt;Donnees[[#This Row],[Nb hashtags]]))+(SUMPRODUCT((Donnees[Échantillon]=Donnees[[#This Row],[Échantillon]])*(Donnees[Nb hashtags]=Donnees[[#This Row],[Nb hashtags]]))+1)/2</f>
        <v>84.5</v>
      </c>
      <c r="AI162" s="43">
        <f>SUMPRODUCT((Donnees[Échantillon]=Donnees[[#This Row],[Échantillon]])*(Donnees[Longueur du texte]&lt;Donnees[[#This Row],[Longueur du texte]]))+(SUMPRODUCT((Donnees[Échantillon]=Donnees[[#This Row],[Échantillon]])*(Donnees[Longueur du texte]=Donnees[[#This Row],[Longueur du texte]]))+1)/2</f>
        <v>26</v>
      </c>
      <c r="AJ162" s="43" t="str">
        <f>IF(Donnees[[#This Row],[Abonnés]]="","",SUMPRODUCT((Donnees[Échantillon]=Donnees[[#This Row],[Échantillon]])*(Donnees[Abonnés]&lt;Donnees[[#This Row],[Abonnés]]))+(SUMPRODUCT((Donnees[Échantillon]=Donnees[[#This Row],[Échantillon]])*(Donnees[Abonnés]=Donnees[[#This Row],[Abonnés]]))+1)/2)</f>
        <v/>
      </c>
      <c r="AK16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63" spans="1:37" x14ac:dyDescent="0.2">
      <c r="A163" s="40" t="s">
        <v>145</v>
      </c>
      <c r="B163" s="40" t="s">
        <v>202</v>
      </c>
      <c r="C163" s="40" t="s">
        <v>39</v>
      </c>
      <c r="D163" s="40">
        <v>55</v>
      </c>
      <c r="E163" s="40" t="s">
        <v>56</v>
      </c>
      <c r="F163" s="40" t="str">
        <f>IF(OR(Donnees[[#This Row],[Jour]]="samedi",Donnees[[#This Row],[Jour]]="dimanche"),"Oui","Non")</f>
        <v>Oui</v>
      </c>
      <c r="G163" s="40">
        <v>3</v>
      </c>
      <c r="H163" s="40" t="str">
        <f>IF(Donnees[[#This Row],[Heure UTC]]&lt;6,"0-5 h",IF(Donnees[[#This Row],[Heure UTC]]&lt;12,"6-11 h",IF(Donnees[[#This Row],[Heure UTC]]&lt;18,"12-17 h","18-23 h")))</f>
        <v>0-5 h</v>
      </c>
      <c r="I163" s="40">
        <v>15</v>
      </c>
      <c r="J163" s="40" t="str">
        <f>IF(Donnees[[#This Row],[Durée (s)]]&lt;=10,"1. ≤ 10 s",IF(Donnees[[#This Row],[Durée (s)]]&lt;=15,"2. 11-15 s",IF(Donnees[[#This Row],[Durée (s)]]&lt;=30,"3. 16-30 s",IF(Donnees[[#This Row],[Durée (s)]]&lt;=60,"4. 31-60 s","5. &gt; 60 s"))))</f>
        <v>2. 11-15 s</v>
      </c>
      <c r="K163" s="40" t="str">
        <f>IF(Donnees[[#This Row],[Durée (s)]]&gt;15,"Oui","Non")</f>
        <v>Non</v>
      </c>
      <c r="L163" s="40">
        <v>1</v>
      </c>
      <c r="M163" s="40" t="s">
        <v>41</v>
      </c>
      <c r="N163" s="40">
        <v>133</v>
      </c>
      <c r="O163" s="40" t="s">
        <v>41</v>
      </c>
      <c r="P163" s="40" t="s">
        <v>41</v>
      </c>
      <c r="Q163" s="40" t="s">
        <v>41</v>
      </c>
      <c r="R163" s="40"/>
      <c r="S163" s="40"/>
      <c r="T163" s="41"/>
      <c r="U163" s="40" t="str">
        <f>IF(Donnees[[#This Row],[Abonnés]]="","",IF(Donnees[[#This Row],[Abonnés]]&lt;1000000,"1. &lt; 1 M",IF(Donnees[[#This Row],[Abonnés]]&lt;3000000,"2. 1-3 M",IF(Donnees[[#This Row],[Abonnés]]&lt;8000000,"3. 3-8 M","4. ≥ 8 M"))))</f>
        <v/>
      </c>
      <c r="V163" s="41"/>
      <c r="W163" s="41">
        <v>3600000</v>
      </c>
      <c r="X163" s="41">
        <v>941200</v>
      </c>
      <c r="Y163" s="41">
        <v>7391</v>
      </c>
      <c r="Z163" s="41">
        <v>4361</v>
      </c>
      <c r="AA163" s="42">
        <f>(Donnees[[#This Row],[Likes]]+Donnees[[#This Row],[Commentaires]]+Donnees[[#This Row],[Partages]])/Donnees[[#This Row],[Vues]]</f>
        <v>0.26470888888888888</v>
      </c>
      <c r="AB163" s="40">
        <f>IF(Donnees[[#This Row],[Engagement]]&gt;=VLOOKUP(Donnees[[#This Row],[Échantillon]],'Méthode &amp; limites'!$B$9:$D$11,2,FALSE),1,0)</f>
        <v>1</v>
      </c>
      <c r="AC163" s="43" t="str">
        <f>IF(Donnees[[#This Row],[Abonnés]]="","",Donnees[[#This Row],[Vues]]/Donnees[[#This Row],[Abonnés]])</f>
        <v/>
      </c>
      <c r="AD163" s="40" t="s">
        <v>44</v>
      </c>
      <c r="AE163" s="43">
        <f>SUMPRODUCT((Donnees[Échantillon]=Donnees[[#This Row],[Échantillon]])*(Donnees[Engagement]&lt;Donnees[[#This Row],[Engagement]]))+(SUMPRODUCT((Donnees[Échantillon]=Donnees[[#This Row],[Échantillon]])*(Donnees[Engagement]=Donnees[[#This Row],[Engagement]]))+1)/2</f>
        <v>85</v>
      </c>
      <c r="AF163" s="43">
        <f>SUMPRODUCT((Donnees[Échantillon]=Donnees[[#This Row],[Échantillon]])*(Donnees[Vues]&lt;Donnees[[#This Row],[Vues]]))+(SUMPRODUCT((Donnees[Échantillon]=Donnees[[#This Row],[Échantillon]])*(Donnees[Vues]=Donnees[[#This Row],[Vues]]))+1)/2</f>
        <v>39</v>
      </c>
      <c r="AG163" s="43">
        <f>SUMPRODUCT((Donnees[Échantillon]=Donnees[[#This Row],[Échantillon]])*(Donnees[Durée (s)]&lt;Donnees[[#This Row],[Durée (s)]]))+(SUMPRODUCT((Donnees[Échantillon]=Donnees[[#This Row],[Échantillon]])*(Donnees[Durée (s)]=Donnees[[#This Row],[Durée (s)]]))+1)/2</f>
        <v>43.5</v>
      </c>
      <c r="AH163" s="43">
        <f>SUMPRODUCT((Donnees[Échantillon]=Donnees[[#This Row],[Échantillon]])*(Donnees[Nb hashtags]&lt;Donnees[[#This Row],[Nb hashtags]]))+(SUMPRODUCT((Donnees[Échantillon]=Donnees[[#This Row],[Échantillon]])*(Donnees[Nb hashtags]=Donnees[[#This Row],[Nb hashtags]]))+1)/2</f>
        <v>45.5</v>
      </c>
      <c r="AI163" s="43">
        <f>SUMPRODUCT((Donnees[Échantillon]=Donnees[[#This Row],[Échantillon]])*(Donnees[Longueur du texte]&lt;Donnees[[#This Row],[Longueur du texte]]))+(SUMPRODUCT((Donnees[Échantillon]=Donnees[[#This Row],[Échantillon]])*(Donnees[Longueur du texte]=Donnees[[#This Row],[Longueur du texte]]))+1)/2</f>
        <v>99.5</v>
      </c>
      <c r="AJ163" s="43" t="str">
        <f>IF(Donnees[[#This Row],[Abonnés]]="","",SUMPRODUCT((Donnees[Échantillon]=Donnees[[#This Row],[Échantillon]])*(Donnees[Abonnés]&lt;Donnees[[#This Row],[Abonnés]]))+(SUMPRODUCT((Donnees[Échantillon]=Donnees[[#This Row],[Échantillon]])*(Donnees[Abonnés]=Donnees[[#This Row],[Abonnés]]))+1)/2)</f>
        <v/>
      </c>
      <c r="AK16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64" spans="1:37" x14ac:dyDescent="0.2">
      <c r="A164" s="40" t="s">
        <v>145</v>
      </c>
      <c r="B164" s="40" t="s">
        <v>203</v>
      </c>
      <c r="C164" s="40" t="s">
        <v>39</v>
      </c>
      <c r="D164" s="40">
        <v>59</v>
      </c>
      <c r="E164" s="40" t="s">
        <v>59</v>
      </c>
      <c r="F164" s="40" t="str">
        <f>IF(OR(Donnees[[#This Row],[Jour]]="samedi",Donnees[[#This Row],[Jour]]="dimanche"),"Oui","Non")</f>
        <v>Non</v>
      </c>
      <c r="G164" s="40">
        <v>2</v>
      </c>
      <c r="H164" s="40" t="str">
        <f>IF(Donnees[[#This Row],[Heure UTC]]&lt;6,"0-5 h",IF(Donnees[[#This Row],[Heure UTC]]&lt;12,"6-11 h",IF(Donnees[[#This Row],[Heure UTC]]&lt;18,"12-17 h","18-23 h")))</f>
        <v>0-5 h</v>
      </c>
      <c r="I164" s="40">
        <v>57</v>
      </c>
      <c r="J164" s="40" t="str">
        <f>IF(Donnees[[#This Row],[Durée (s)]]&lt;=10,"1. ≤ 10 s",IF(Donnees[[#This Row],[Durée (s)]]&lt;=15,"2. 11-15 s",IF(Donnees[[#This Row],[Durée (s)]]&lt;=30,"3. 16-30 s",IF(Donnees[[#This Row],[Durée (s)]]&lt;=60,"4. 31-60 s","5. &gt; 60 s"))))</f>
        <v>4. 31-60 s</v>
      </c>
      <c r="K164" s="40" t="str">
        <f>IF(Donnees[[#This Row],[Durée (s)]]&gt;15,"Oui","Non")</f>
        <v>Oui</v>
      </c>
      <c r="L164" s="40">
        <v>6</v>
      </c>
      <c r="M164" s="40" t="s">
        <v>41</v>
      </c>
      <c r="N164" s="40">
        <v>4</v>
      </c>
      <c r="O164" s="40" t="s">
        <v>41</v>
      </c>
      <c r="P164" s="40" t="s">
        <v>44</v>
      </c>
      <c r="Q164" s="40" t="s">
        <v>41</v>
      </c>
      <c r="R164" s="40"/>
      <c r="S164" s="40"/>
      <c r="T164" s="41"/>
      <c r="U164" s="40" t="str">
        <f>IF(Donnees[[#This Row],[Abonnés]]="","",IF(Donnees[[#This Row],[Abonnés]]&lt;1000000,"1. &lt; 1 M",IF(Donnees[[#This Row],[Abonnés]]&lt;3000000,"2. 1-3 M",IF(Donnees[[#This Row],[Abonnés]]&lt;8000000,"3. 3-8 M","4. ≥ 8 M"))))</f>
        <v/>
      </c>
      <c r="V164" s="41"/>
      <c r="W164" s="41">
        <v>3500000</v>
      </c>
      <c r="X164" s="41">
        <v>874100</v>
      </c>
      <c r="Y164" s="41">
        <v>5257</v>
      </c>
      <c r="Z164" s="41">
        <v>13000</v>
      </c>
      <c r="AA164" s="42">
        <f>(Donnees[[#This Row],[Likes]]+Donnees[[#This Row],[Commentaires]]+Donnees[[#This Row],[Partages]])/Donnees[[#This Row],[Vues]]</f>
        <v>0.25495914285714288</v>
      </c>
      <c r="AB164" s="40">
        <f>IF(Donnees[[#This Row],[Engagement]]&gt;=VLOOKUP(Donnees[[#This Row],[Échantillon]],'Méthode &amp; limites'!$B$9:$D$11,2,FALSE),1,0)</f>
        <v>1</v>
      </c>
      <c r="AC164" s="43" t="str">
        <f>IF(Donnees[[#This Row],[Abonnés]]="","",Donnees[[#This Row],[Vues]]/Donnees[[#This Row],[Abonnés]])</f>
        <v/>
      </c>
      <c r="AD164" s="40" t="s">
        <v>44</v>
      </c>
      <c r="AE164" s="43">
        <f>SUMPRODUCT((Donnees[Échantillon]=Donnees[[#This Row],[Échantillon]])*(Donnees[Engagement]&lt;Donnees[[#This Row],[Engagement]]))+(SUMPRODUCT((Donnees[Échantillon]=Donnees[[#This Row],[Échantillon]])*(Donnees[Engagement]=Donnees[[#This Row],[Engagement]]))+1)/2</f>
        <v>80</v>
      </c>
      <c r="AF164" s="43">
        <f>SUMPRODUCT((Donnees[Échantillon]=Donnees[[#This Row],[Échantillon]])*(Donnees[Vues]&lt;Donnees[[#This Row],[Vues]]))+(SUMPRODUCT((Donnees[Échantillon]=Donnees[[#This Row],[Échantillon]])*(Donnees[Vues]=Donnees[[#This Row],[Vues]]))+1)/2</f>
        <v>38</v>
      </c>
      <c r="AG164" s="43">
        <f>SUMPRODUCT((Donnees[Échantillon]=Donnees[[#This Row],[Échantillon]])*(Donnees[Durée (s)]&lt;Donnees[[#This Row],[Durée (s)]]))+(SUMPRODUCT((Donnees[Échantillon]=Donnees[[#This Row],[Échantillon]])*(Donnees[Durée (s)]=Donnees[[#This Row],[Durée (s)]]))+1)/2</f>
        <v>92</v>
      </c>
      <c r="AH164" s="43">
        <f>SUMPRODUCT((Donnees[Échantillon]=Donnees[[#This Row],[Échantillon]])*(Donnees[Nb hashtags]&lt;Donnees[[#This Row],[Nb hashtags]]))+(SUMPRODUCT((Donnees[Échantillon]=Donnees[[#This Row],[Échantillon]])*(Donnees[Nb hashtags]=Donnees[[#This Row],[Nb hashtags]]))+1)/2</f>
        <v>94.5</v>
      </c>
      <c r="AI164" s="43">
        <f>SUMPRODUCT((Donnees[Échantillon]=Donnees[[#This Row],[Échantillon]])*(Donnees[Longueur du texte]&lt;Donnees[[#This Row],[Longueur du texte]]))+(SUMPRODUCT((Donnees[Échantillon]=Donnees[[#This Row],[Échantillon]])*(Donnees[Longueur du texte]=Donnees[[#This Row],[Longueur du texte]]))+1)/2</f>
        <v>13.5</v>
      </c>
      <c r="AJ164" s="43" t="str">
        <f>IF(Donnees[[#This Row],[Abonnés]]="","",SUMPRODUCT((Donnees[Échantillon]=Donnees[[#This Row],[Échantillon]])*(Donnees[Abonnés]&lt;Donnees[[#This Row],[Abonnés]]))+(SUMPRODUCT((Donnees[Échantillon]=Donnees[[#This Row],[Échantillon]])*(Donnees[Abonnés]=Donnees[[#This Row],[Abonnés]]))+1)/2)</f>
        <v/>
      </c>
      <c r="AK16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65" spans="1:37" x14ac:dyDescent="0.2">
      <c r="A165" s="40" t="s">
        <v>145</v>
      </c>
      <c r="B165" s="40" t="s">
        <v>204</v>
      </c>
      <c r="C165" s="40" t="s">
        <v>39</v>
      </c>
      <c r="D165" s="40">
        <v>53</v>
      </c>
      <c r="E165" s="40" t="s">
        <v>40</v>
      </c>
      <c r="F165" s="40" t="str">
        <f>IF(OR(Donnees[[#This Row],[Jour]]="samedi",Donnees[[#This Row],[Jour]]="dimanche"),"Oui","Non")</f>
        <v>Non</v>
      </c>
      <c r="G165" s="40">
        <v>19</v>
      </c>
      <c r="H165" s="40" t="str">
        <f>IF(Donnees[[#This Row],[Heure UTC]]&lt;6,"0-5 h",IF(Donnees[[#This Row],[Heure UTC]]&lt;12,"6-11 h",IF(Donnees[[#This Row],[Heure UTC]]&lt;18,"12-17 h","18-23 h")))</f>
        <v>18-23 h</v>
      </c>
      <c r="I165" s="40">
        <v>11</v>
      </c>
      <c r="J165" s="40" t="str">
        <f>IF(Donnees[[#This Row],[Durée (s)]]&lt;=10,"1. ≤ 10 s",IF(Donnees[[#This Row],[Durée (s)]]&lt;=15,"2. 11-15 s",IF(Donnees[[#This Row],[Durée (s)]]&lt;=30,"3. 16-30 s",IF(Donnees[[#This Row],[Durée (s)]]&lt;=60,"4. 31-60 s","5. &gt; 60 s"))))</f>
        <v>2. 11-15 s</v>
      </c>
      <c r="K165" s="40" t="str">
        <f>IF(Donnees[[#This Row],[Durée (s)]]&gt;15,"Oui","Non")</f>
        <v>Non</v>
      </c>
      <c r="L165" s="40">
        <v>0</v>
      </c>
      <c r="M165" s="40" t="s">
        <v>41</v>
      </c>
      <c r="N165" s="40">
        <v>46</v>
      </c>
      <c r="O165" s="40" t="s">
        <v>41</v>
      </c>
      <c r="P165" s="40" t="s">
        <v>41</v>
      </c>
      <c r="Q165" s="40" t="s">
        <v>41</v>
      </c>
      <c r="R165" s="40"/>
      <c r="S165" s="40"/>
      <c r="T165" s="41"/>
      <c r="U165" s="40" t="str">
        <f>IF(Donnees[[#This Row],[Abonnés]]="","",IF(Donnees[[#This Row],[Abonnés]]&lt;1000000,"1. &lt; 1 M",IF(Donnees[[#This Row],[Abonnés]]&lt;3000000,"2. 1-3 M",IF(Donnees[[#This Row],[Abonnés]]&lt;8000000,"3. 3-8 M","4. ≥ 8 M"))))</f>
        <v/>
      </c>
      <c r="V165" s="41"/>
      <c r="W165" s="41">
        <v>3000000</v>
      </c>
      <c r="X165" s="41">
        <v>321800</v>
      </c>
      <c r="Y165" s="41">
        <v>2988</v>
      </c>
      <c r="Z165" s="41">
        <v>2041</v>
      </c>
      <c r="AA165" s="42">
        <f>(Donnees[[#This Row],[Likes]]+Donnees[[#This Row],[Commentaires]]+Donnees[[#This Row],[Partages]])/Donnees[[#This Row],[Vues]]</f>
        <v>0.108943</v>
      </c>
      <c r="AB165" s="40">
        <f>IF(Donnees[[#This Row],[Engagement]]&gt;=VLOOKUP(Donnees[[#This Row],[Échantillon]],'Méthode &amp; limites'!$B$9:$D$11,2,FALSE),1,0)</f>
        <v>0</v>
      </c>
      <c r="AC165" s="43" t="str">
        <f>IF(Donnees[[#This Row],[Abonnés]]="","",Donnees[[#This Row],[Vues]]/Donnees[[#This Row],[Abonnés]])</f>
        <v/>
      </c>
      <c r="AD165" s="40" t="s">
        <v>44</v>
      </c>
      <c r="AE165" s="43">
        <f>SUMPRODUCT((Donnees[Échantillon]=Donnees[[#This Row],[Échantillon]])*(Donnees[Engagement]&lt;Donnees[[#This Row],[Engagement]]))+(SUMPRODUCT((Donnees[Échantillon]=Donnees[[#This Row],[Échantillon]])*(Donnees[Engagement]=Donnees[[#This Row],[Engagement]]))+1)/2</f>
        <v>23</v>
      </c>
      <c r="AF165" s="43">
        <f>SUMPRODUCT((Donnees[Échantillon]=Donnees[[#This Row],[Échantillon]])*(Donnees[Vues]&lt;Donnees[[#This Row],[Vues]]))+(SUMPRODUCT((Donnees[Échantillon]=Donnees[[#This Row],[Échantillon]])*(Donnees[Vues]=Donnees[[#This Row],[Vues]]))+1)/2</f>
        <v>36.5</v>
      </c>
      <c r="AG165" s="43">
        <f>SUMPRODUCT((Donnees[Échantillon]=Donnees[[#This Row],[Échantillon]])*(Donnees[Durée (s)]&lt;Donnees[[#This Row],[Durée (s)]]))+(SUMPRODUCT((Donnees[Échantillon]=Donnees[[#This Row],[Échantillon]])*(Donnees[Durée (s)]=Donnees[[#This Row],[Durée (s)]]))+1)/2</f>
        <v>18</v>
      </c>
      <c r="AH165" s="43">
        <f>SUMPRODUCT((Donnees[Échantillon]=Donnees[[#This Row],[Échantillon]])*(Donnees[Nb hashtags]&lt;Donnees[[#This Row],[Nb hashtags]]))+(SUMPRODUCT((Donnees[Échantillon]=Donnees[[#This Row],[Échantillon]])*(Donnees[Nb hashtags]=Donnees[[#This Row],[Nb hashtags]]))+1)/2</f>
        <v>18.5</v>
      </c>
      <c r="AI165" s="43">
        <f>SUMPRODUCT((Donnees[Échantillon]=Donnees[[#This Row],[Échantillon]])*(Donnees[Longueur du texte]&lt;Donnees[[#This Row],[Longueur du texte]]))+(SUMPRODUCT((Donnees[Échantillon]=Donnees[[#This Row],[Échantillon]])*(Donnees[Longueur du texte]=Donnees[[#This Row],[Longueur du texte]]))+1)/2</f>
        <v>64</v>
      </c>
      <c r="AJ165" s="43" t="str">
        <f>IF(Donnees[[#This Row],[Abonnés]]="","",SUMPRODUCT((Donnees[Échantillon]=Donnees[[#This Row],[Échantillon]])*(Donnees[Abonnés]&lt;Donnees[[#This Row],[Abonnés]]))+(SUMPRODUCT((Donnees[Échantillon]=Donnees[[#This Row],[Échantillon]])*(Donnees[Abonnés]=Donnees[[#This Row],[Abonnés]]))+1)/2)</f>
        <v/>
      </c>
      <c r="AK16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66" spans="1:37" x14ac:dyDescent="0.2">
      <c r="A166" s="40" t="s">
        <v>145</v>
      </c>
      <c r="B166" s="40" t="s">
        <v>205</v>
      </c>
      <c r="C166" s="40" t="s">
        <v>39</v>
      </c>
      <c r="D166" s="40">
        <v>178</v>
      </c>
      <c r="E166" s="40" t="s">
        <v>59</v>
      </c>
      <c r="F166" s="40" t="str">
        <f>IF(OR(Donnees[[#This Row],[Jour]]="samedi",Donnees[[#This Row],[Jour]]="dimanche"),"Oui","Non")</f>
        <v>Non</v>
      </c>
      <c r="G166" s="40">
        <v>3</v>
      </c>
      <c r="H166" s="40" t="str">
        <f>IF(Donnees[[#This Row],[Heure UTC]]&lt;6,"0-5 h",IF(Donnees[[#This Row],[Heure UTC]]&lt;12,"6-11 h",IF(Donnees[[#This Row],[Heure UTC]]&lt;18,"12-17 h","18-23 h")))</f>
        <v>0-5 h</v>
      </c>
      <c r="I166" s="40">
        <v>15</v>
      </c>
      <c r="J166" s="40" t="str">
        <f>IF(Donnees[[#This Row],[Durée (s)]]&lt;=10,"1. ≤ 10 s",IF(Donnees[[#This Row],[Durée (s)]]&lt;=15,"2. 11-15 s",IF(Donnees[[#This Row],[Durée (s)]]&lt;=30,"3. 16-30 s",IF(Donnees[[#This Row],[Durée (s)]]&lt;=60,"4. 31-60 s","5. &gt; 60 s"))))</f>
        <v>2. 11-15 s</v>
      </c>
      <c r="K166" s="40" t="str">
        <f>IF(Donnees[[#This Row],[Durée (s)]]&gt;15,"Oui","Non")</f>
        <v>Non</v>
      </c>
      <c r="L166" s="40">
        <v>1</v>
      </c>
      <c r="M166" s="40" t="s">
        <v>41</v>
      </c>
      <c r="N166" s="40">
        <v>4</v>
      </c>
      <c r="O166" s="40" t="s">
        <v>41</v>
      </c>
      <c r="P166" s="40" t="s">
        <v>44</v>
      </c>
      <c r="Q166" s="40" t="s">
        <v>41</v>
      </c>
      <c r="R166" s="40"/>
      <c r="S166" s="40"/>
      <c r="T166" s="41"/>
      <c r="U166" s="40" t="str">
        <f>IF(Donnees[[#This Row],[Abonnés]]="","",IF(Donnees[[#This Row],[Abonnés]]&lt;1000000,"1. &lt; 1 M",IF(Donnees[[#This Row],[Abonnés]]&lt;3000000,"2. 1-3 M",IF(Donnees[[#This Row],[Abonnés]]&lt;8000000,"3. 3-8 M","4. ≥ 8 M"))))</f>
        <v/>
      </c>
      <c r="V166" s="41"/>
      <c r="W166" s="41">
        <v>3000000</v>
      </c>
      <c r="X166" s="41">
        <v>768900</v>
      </c>
      <c r="Y166" s="41">
        <v>11000</v>
      </c>
      <c r="Z166" s="41">
        <v>18000</v>
      </c>
      <c r="AA166" s="42">
        <f>(Donnees[[#This Row],[Likes]]+Donnees[[#This Row],[Commentaires]]+Donnees[[#This Row],[Partages]])/Donnees[[#This Row],[Vues]]</f>
        <v>0.26596666666666668</v>
      </c>
      <c r="AB166" s="40">
        <f>IF(Donnees[[#This Row],[Engagement]]&gt;=VLOOKUP(Donnees[[#This Row],[Échantillon]],'Méthode &amp; limites'!$B$9:$D$11,2,FALSE),1,0)</f>
        <v>1</v>
      </c>
      <c r="AC166" s="43" t="str">
        <f>IF(Donnees[[#This Row],[Abonnés]]="","",Donnees[[#This Row],[Vues]]/Donnees[[#This Row],[Abonnés]])</f>
        <v/>
      </c>
      <c r="AD166" s="40" t="s">
        <v>44</v>
      </c>
      <c r="AE166" s="43">
        <f>SUMPRODUCT((Donnees[Échantillon]=Donnees[[#This Row],[Échantillon]])*(Donnees[Engagement]&lt;Donnees[[#This Row],[Engagement]]))+(SUMPRODUCT((Donnees[Échantillon]=Donnees[[#This Row],[Échantillon]])*(Donnees[Engagement]=Donnees[[#This Row],[Engagement]]))+1)/2</f>
        <v>86</v>
      </c>
      <c r="AF166" s="43">
        <f>SUMPRODUCT((Donnees[Échantillon]=Donnees[[#This Row],[Échantillon]])*(Donnees[Vues]&lt;Donnees[[#This Row],[Vues]]))+(SUMPRODUCT((Donnees[Échantillon]=Donnees[[#This Row],[Échantillon]])*(Donnees[Vues]=Donnees[[#This Row],[Vues]]))+1)/2</f>
        <v>36.5</v>
      </c>
      <c r="AG166" s="43">
        <f>SUMPRODUCT((Donnees[Échantillon]=Donnees[[#This Row],[Échantillon]])*(Donnees[Durée (s)]&lt;Donnees[[#This Row],[Durée (s)]]))+(SUMPRODUCT((Donnees[Échantillon]=Donnees[[#This Row],[Échantillon]])*(Donnees[Durée (s)]=Donnees[[#This Row],[Durée (s)]]))+1)/2</f>
        <v>43.5</v>
      </c>
      <c r="AH166" s="43">
        <f>SUMPRODUCT((Donnees[Échantillon]=Donnees[[#This Row],[Échantillon]])*(Donnees[Nb hashtags]&lt;Donnees[[#This Row],[Nb hashtags]]))+(SUMPRODUCT((Donnees[Échantillon]=Donnees[[#This Row],[Échantillon]])*(Donnees[Nb hashtags]=Donnees[[#This Row],[Nb hashtags]]))+1)/2</f>
        <v>45.5</v>
      </c>
      <c r="AI166" s="43">
        <f>SUMPRODUCT((Donnees[Échantillon]=Donnees[[#This Row],[Échantillon]])*(Donnees[Longueur du texte]&lt;Donnees[[#This Row],[Longueur du texte]]))+(SUMPRODUCT((Donnees[Échantillon]=Donnees[[#This Row],[Échantillon]])*(Donnees[Longueur du texte]=Donnees[[#This Row],[Longueur du texte]]))+1)/2</f>
        <v>13.5</v>
      </c>
      <c r="AJ166" s="43" t="str">
        <f>IF(Donnees[[#This Row],[Abonnés]]="","",SUMPRODUCT((Donnees[Échantillon]=Donnees[[#This Row],[Échantillon]])*(Donnees[Abonnés]&lt;Donnees[[#This Row],[Abonnés]]))+(SUMPRODUCT((Donnees[Échantillon]=Donnees[[#This Row],[Échantillon]])*(Donnees[Abonnés]=Donnees[[#This Row],[Abonnés]]))+1)/2)</f>
        <v/>
      </c>
      <c r="AK16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67" spans="1:37" x14ac:dyDescent="0.2">
      <c r="A167" s="40" t="s">
        <v>145</v>
      </c>
      <c r="B167" s="40" t="s">
        <v>206</v>
      </c>
      <c r="C167" s="40" t="s">
        <v>46</v>
      </c>
      <c r="D167" s="40">
        <v>34</v>
      </c>
      <c r="E167" s="40" t="s">
        <v>56</v>
      </c>
      <c r="F167" s="40" t="str">
        <f>IF(OR(Donnees[[#This Row],[Jour]]="samedi",Donnees[[#This Row],[Jour]]="dimanche"),"Oui","Non")</f>
        <v>Oui</v>
      </c>
      <c r="G167" s="40">
        <v>15</v>
      </c>
      <c r="H167" s="40" t="str">
        <f>IF(Donnees[[#This Row],[Heure UTC]]&lt;6,"0-5 h",IF(Donnees[[#This Row],[Heure UTC]]&lt;12,"6-11 h",IF(Donnees[[#This Row],[Heure UTC]]&lt;18,"12-17 h","18-23 h")))</f>
        <v>12-17 h</v>
      </c>
      <c r="I167" s="40">
        <v>9</v>
      </c>
      <c r="J167" s="40" t="str">
        <f>IF(Donnees[[#This Row],[Durée (s)]]&lt;=10,"1. ≤ 10 s",IF(Donnees[[#This Row],[Durée (s)]]&lt;=15,"2. 11-15 s",IF(Donnees[[#This Row],[Durée (s)]]&lt;=30,"3. 16-30 s",IF(Donnees[[#This Row],[Durée (s)]]&lt;=60,"4. 31-60 s","5. &gt; 60 s"))))</f>
        <v>1. ≤ 10 s</v>
      </c>
      <c r="K167" s="40" t="str">
        <f>IF(Donnees[[#This Row],[Durée (s)]]&gt;15,"Oui","Non")</f>
        <v>Non</v>
      </c>
      <c r="L167" s="40">
        <v>3</v>
      </c>
      <c r="M167" s="40" t="s">
        <v>41</v>
      </c>
      <c r="N167" s="40">
        <v>56</v>
      </c>
      <c r="O167" s="40" t="s">
        <v>41</v>
      </c>
      <c r="P167" s="40" t="s">
        <v>44</v>
      </c>
      <c r="Q167" s="40" t="s">
        <v>41</v>
      </c>
      <c r="R167" s="40"/>
      <c r="S167" s="40"/>
      <c r="T167" s="41"/>
      <c r="U167" s="40" t="str">
        <f>IF(Donnees[[#This Row],[Abonnés]]="","",IF(Donnees[[#This Row],[Abonnés]]&lt;1000000,"1. &lt; 1 M",IF(Donnees[[#This Row],[Abonnés]]&lt;3000000,"2. 1-3 M",IF(Donnees[[#This Row],[Abonnés]]&lt;8000000,"3. 3-8 M","4. ≥ 8 M"))))</f>
        <v/>
      </c>
      <c r="V167" s="41"/>
      <c r="W167" s="41">
        <v>2000000</v>
      </c>
      <c r="X167" s="41">
        <v>323700</v>
      </c>
      <c r="Y167" s="41">
        <v>2103</v>
      </c>
      <c r="Z167" s="41">
        <v>1932</v>
      </c>
      <c r="AA167" s="42">
        <f>(Donnees[[#This Row],[Likes]]+Donnees[[#This Row],[Commentaires]]+Donnees[[#This Row],[Partages]])/Donnees[[#This Row],[Vues]]</f>
        <v>0.1638675</v>
      </c>
      <c r="AB167" s="40">
        <f>IF(Donnees[[#This Row],[Engagement]]&gt;=VLOOKUP(Donnees[[#This Row],[Échantillon]],'Méthode &amp; limites'!$B$9:$D$11,2,FALSE),1,0)</f>
        <v>0</v>
      </c>
      <c r="AC167" s="43" t="str">
        <f>IF(Donnees[[#This Row],[Abonnés]]="","",Donnees[[#This Row],[Vues]]/Donnees[[#This Row],[Abonnés]])</f>
        <v/>
      </c>
      <c r="AD167" s="40" t="s">
        <v>44</v>
      </c>
      <c r="AE167" s="43">
        <f>SUMPRODUCT((Donnees[Échantillon]=Donnees[[#This Row],[Échantillon]])*(Donnees[Engagement]&lt;Donnees[[#This Row],[Engagement]]))+(SUMPRODUCT((Donnees[Échantillon]=Donnees[[#This Row],[Échantillon]])*(Donnees[Engagement]=Donnees[[#This Row],[Engagement]]))+1)/2</f>
        <v>41</v>
      </c>
      <c r="AF167" s="43">
        <f>SUMPRODUCT((Donnees[Échantillon]=Donnees[[#This Row],[Échantillon]])*(Donnees[Vues]&lt;Donnees[[#This Row],[Vues]]))+(SUMPRODUCT((Donnees[Échantillon]=Donnees[[#This Row],[Échantillon]])*(Donnees[Vues]=Donnees[[#This Row],[Vues]]))+1)/2</f>
        <v>35</v>
      </c>
      <c r="AG167" s="43">
        <f>SUMPRODUCT((Donnees[Échantillon]=Donnees[[#This Row],[Échantillon]])*(Donnees[Durée (s)]&lt;Donnees[[#This Row],[Durée (s)]]))+(SUMPRODUCT((Donnees[Échantillon]=Donnees[[#This Row],[Échantillon]])*(Donnees[Durée (s)]=Donnees[[#This Row],[Durée (s)]]))+1)/2</f>
        <v>6</v>
      </c>
      <c r="AH167" s="43">
        <f>SUMPRODUCT((Donnees[Échantillon]=Donnees[[#This Row],[Échantillon]])*(Donnees[Nb hashtags]&lt;Donnees[[#This Row],[Nb hashtags]]))+(SUMPRODUCT((Donnees[Échantillon]=Donnees[[#This Row],[Échantillon]])*(Donnees[Nb hashtags]=Donnees[[#This Row],[Nb hashtags]]))+1)/2</f>
        <v>74</v>
      </c>
      <c r="AI167" s="43">
        <f>SUMPRODUCT((Donnees[Échantillon]=Donnees[[#This Row],[Échantillon]])*(Donnees[Longueur du texte]&lt;Donnees[[#This Row],[Longueur du texte]]))+(SUMPRODUCT((Donnees[Échantillon]=Donnees[[#This Row],[Échantillon]])*(Donnees[Longueur du texte]=Donnees[[#This Row],[Longueur du texte]]))+1)/2</f>
        <v>76.5</v>
      </c>
      <c r="AJ167" s="43" t="str">
        <f>IF(Donnees[[#This Row],[Abonnés]]="","",SUMPRODUCT((Donnees[Échantillon]=Donnees[[#This Row],[Échantillon]])*(Donnees[Abonnés]&lt;Donnees[[#This Row],[Abonnés]]))+(SUMPRODUCT((Donnees[Échantillon]=Donnees[[#This Row],[Échantillon]])*(Donnees[Abonnés]=Donnees[[#This Row],[Abonnés]]))+1)/2)</f>
        <v/>
      </c>
      <c r="AK16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68" spans="1:37" x14ac:dyDescent="0.2">
      <c r="A168" s="40" t="s">
        <v>145</v>
      </c>
      <c r="B168" s="40" t="s">
        <v>207</v>
      </c>
      <c r="C168" s="40" t="s">
        <v>39</v>
      </c>
      <c r="D168" s="40">
        <v>64</v>
      </c>
      <c r="E168" s="40" t="s">
        <v>68</v>
      </c>
      <c r="F168" s="40" t="str">
        <f>IF(OR(Donnees[[#This Row],[Jour]]="samedi",Donnees[[#This Row],[Jour]]="dimanche"),"Oui","Non")</f>
        <v>Non</v>
      </c>
      <c r="G168" s="40">
        <v>2</v>
      </c>
      <c r="H168" s="40" t="str">
        <f>IF(Donnees[[#This Row],[Heure UTC]]&lt;6,"0-5 h",IF(Donnees[[#This Row],[Heure UTC]]&lt;12,"6-11 h",IF(Donnees[[#This Row],[Heure UTC]]&lt;18,"12-17 h","18-23 h")))</f>
        <v>0-5 h</v>
      </c>
      <c r="I168" s="40">
        <v>15</v>
      </c>
      <c r="J168" s="40" t="str">
        <f>IF(Donnees[[#This Row],[Durée (s)]]&lt;=10,"1. ≤ 10 s",IF(Donnees[[#This Row],[Durée (s)]]&lt;=15,"2. 11-15 s",IF(Donnees[[#This Row],[Durée (s)]]&lt;=30,"3. 16-30 s",IF(Donnees[[#This Row],[Durée (s)]]&lt;=60,"4. 31-60 s","5. &gt; 60 s"))))</f>
        <v>2. 11-15 s</v>
      </c>
      <c r="K168" s="40" t="str">
        <f>IF(Donnees[[#This Row],[Durée (s)]]&gt;15,"Oui","Non")</f>
        <v>Non</v>
      </c>
      <c r="L168" s="40">
        <v>4</v>
      </c>
      <c r="M168" s="40" t="s">
        <v>41</v>
      </c>
      <c r="N168" s="40">
        <v>31</v>
      </c>
      <c r="O168" s="40" t="s">
        <v>41</v>
      </c>
      <c r="P168" s="40" t="s">
        <v>41</v>
      </c>
      <c r="Q168" s="40" t="s">
        <v>41</v>
      </c>
      <c r="R168" s="40"/>
      <c r="S168" s="40"/>
      <c r="T168" s="41"/>
      <c r="U168" s="40" t="str">
        <f>IF(Donnees[[#This Row],[Abonnés]]="","",IF(Donnees[[#This Row],[Abonnés]]&lt;1000000,"1. &lt; 1 M",IF(Donnees[[#This Row],[Abonnés]]&lt;3000000,"2. 1-3 M",IF(Donnees[[#This Row],[Abonnés]]&lt;8000000,"3. 3-8 M","4. ≥ 8 M"))))</f>
        <v/>
      </c>
      <c r="V168" s="41"/>
      <c r="W168" s="41">
        <v>1800000</v>
      </c>
      <c r="X168" s="41">
        <v>275800</v>
      </c>
      <c r="Y168" s="41">
        <v>5293</v>
      </c>
      <c r="Z168" s="41">
        <v>10400</v>
      </c>
      <c r="AA168" s="42">
        <f>(Donnees[[#This Row],[Likes]]+Donnees[[#This Row],[Commentaires]]+Donnees[[#This Row],[Partages]])/Donnees[[#This Row],[Vues]]</f>
        <v>0.16194055555555556</v>
      </c>
      <c r="AB168" s="40">
        <f>IF(Donnees[[#This Row],[Engagement]]&gt;=VLOOKUP(Donnees[[#This Row],[Échantillon]],'Méthode &amp; limites'!$B$9:$D$11,2,FALSE),1,0)</f>
        <v>0</v>
      </c>
      <c r="AC168" s="43" t="str">
        <f>IF(Donnees[[#This Row],[Abonnés]]="","",Donnees[[#This Row],[Vues]]/Donnees[[#This Row],[Abonnés]])</f>
        <v/>
      </c>
      <c r="AD168" s="40" t="s">
        <v>44</v>
      </c>
      <c r="AE168" s="43">
        <f>SUMPRODUCT((Donnees[Échantillon]=Donnees[[#This Row],[Échantillon]])*(Donnees[Engagement]&lt;Donnees[[#This Row],[Engagement]]))+(SUMPRODUCT((Donnees[Échantillon]=Donnees[[#This Row],[Échantillon]])*(Donnees[Engagement]=Donnees[[#This Row],[Engagement]]))+1)/2</f>
        <v>38</v>
      </c>
      <c r="AF168" s="43">
        <f>SUMPRODUCT((Donnees[Échantillon]=Donnees[[#This Row],[Échantillon]])*(Donnees[Vues]&lt;Donnees[[#This Row],[Vues]]))+(SUMPRODUCT((Donnees[Échantillon]=Donnees[[#This Row],[Échantillon]])*(Donnees[Vues]=Donnees[[#This Row],[Vues]]))+1)/2</f>
        <v>34</v>
      </c>
      <c r="AG168" s="43">
        <f>SUMPRODUCT((Donnees[Échantillon]=Donnees[[#This Row],[Échantillon]])*(Donnees[Durée (s)]&lt;Donnees[[#This Row],[Durée (s)]]))+(SUMPRODUCT((Donnees[Échantillon]=Donnees[[#This Row],[Échantillon]])*(Donnees[Durée (s)]=Donnees[[#This Row],[Durée (s)]]))+1)/2</f>
        <v>43.5</v>
      </c>
      <c r="AH168" s="43">
        <f>SUMPRODUCT((Donnees[Échantillon]=Donnees[[#This Row],[Échantillon]])*(Donnees[Nb hashtags]&lt;Donnees[[#This Row],[Nb hashtags]]))+(SUMPRODUCT((Donnees[Échantillon]=Donnees[[#This Row],[Échantillon]])*(Donnees[Nb hashtags]=Donnees[[#This Row],[Nb hashtags]]))+1)/2</f>
        <v>84.5</v>
      </c>
      <c r="AI168" s="43">
        <f>SUMPRODUCT((Donnees[Échantillon]=Donnees[[#This Row],[Échantillon]])*(Donnees[Longueur du texte]&lt;Donnees[[#This Row],[Longueur du texte]]))+(SUMPRODUCT((Donnees[Échantillon]=Donnees[[#This Row],[Échantillon]])*(Donnees[Longueur du texte]=Donnees[[#This Row],[Longueur du texte]]))+1)/2</f>
        <v>46</v>
      </c>
      <c r="AJ168" s="43" t="str">
        <f>IF(Donnees[[#This Row],[Abonnés]]="","",SUMPRODUCT((Donnees[Échantillon]=Donnees[[#This Row],[Échantillon]])*(Donnees[Abonnés]&lt;Donnees[[#This Row],[Abonnés]]))+(SUMPRODUCT((Donnees[Échantillon]=Donnees[[#This Row],[Échantillon]])*(Donnees[Abonnés]=Donnees[[#This Row],[Abonnés]]))+1)/2)</f>
        <v/>
      </c>
      <c r="AK16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69" spans="1:37" x14ac:dyDescent="0.2">
      <c r="A169" s="40" t="s">
        <v>145</v>
      </c>
      <c r="B169" s="40" t="s">
        <v>208</v>
      </c>
      <c r="C169" s="40" t="s">
        <v>39</v>
      </c>
      <c r="D169" s="40">
        <v>143</v>
      </c>
      <c r="E169" s="40" t="s">
        <v>59</v>
      </c>
      <c r="F169" s="40" t="str">
        <f>IF(OR(Donnees[[#This Row],[Jour]]="samedi",Donnees[[#This Row],[Jour]]="dimanche"),"Oui","Non")</f>
        <v>Non</v>
      </c>
      <c r="G169" s="40">
        <v>23</v>
      </c>
      <c r="H169" s="40" t="str">
        <f>IF(Donnees[[#This Row],[Heure UTC]]&lt;6,"0-5 h",IF(Donnees[[#This Row],[Heure UTC]]&lt;12,"6-11 h",IF(Donnees[[#This Row],[Heure UTC]]&lt;18,"12-17 h","18-23 h")))</f>
        <v>18-23 h</v>
      </c>
      <c r="I169" s="40">
        <v>53</v>
      </c>
      <c r="J169" s="40" t="str">
        <f>IF(Donnees[[#This Row],[Durée (s)]]&lt;=10,"1. ≤ 10 s",IF(Donnees[[#This Row],[Durée (s)]]&lt;=15,"2. 11-15 s",IF(Donnees[[#This Row],[Durée (s)]]&lt;=30,"3. 16-30 s",IF(Donnees[[#This Row],[Durée (s)]]&lt;=60,"4. 31-60 s","5. &gt; 60 s"))))</f>
        <v>4. 31-60 s</v>
      </c>
      <c r="K169" s="40" t="str">
        <f>IF(Donnees[[#This Row],[Durée (s)]]&gt;15,"Oui","Non")</f>
        <v>Oui</v>
      </c>
      <c r="L169" s="40">
        <v>0</v>
      </c>
      <c r="M169" s="40" t="s">
        <v>41</v>
      </c>
      <c r="N169" s="40">
        <v>37</v>
      </c>
      <c r="O169" s="40" t="s">
        <v>41</v>
      </c>
      <c r="P169" s="40" t="s">
        <v>41</v>
      </c>
      <c r="Q169" s="40" t="s">
        <v>41</v>
      </c>
      <c r="R169" s="40"/>
      <c r="S169" s="40"/>
      <c r="T169" s="41"/>
      <c r="U169" s="40" t="str">
        <f>IF(Donnees[[#This Row],[Abonnés]]="","",IF(Donnees[[#This Row],[Abonnés]]&lt;1000000,"1. &lt; 1 M",IF(Donnees[[#This Row],[Abonnés]]&lt;3000000,"2. 1-3 M",IF(Donnees[[#This Row],[Abonnés]]&lt;8000000,"3. 3-8 M","4. ≥ 8 M"))))</f>
        <v/>
      </c>
      <c r="V169" s="41"/>
      <c r="W169" s="41">
        <v>1700000</v>
      </c>
      <c r="X169" s="41">
        <v>475400</v>
      </c>
      <c r="Y169" s="41">
        <v>2246</v>
      </c>
      <c r="Z169" s="41">
        <v>4665</v>
      </c>
      <c r="AA169" s="42">
        <f>(Donnees[[#This Row],[Likes]]+Donnees[[#This Row],[Commentaires]]+Donnees[[#This Row],[Partages]])/Donnees[[#This Row],[Vues]]</f>
        <v>0.28371235294117647</v>
      </c>
      <c r="AB169" s="40">
        <f>IF(Donnees[[#This Row],[Engagement]]&gt;=VLOOKUP(Donnees[[#This Row],[Échantillon]],'Méthode &amp; limites'!$B$9:$D$11,2,FALSE),1,0)</f>
        <v>1</v>
      </c>
      <c r="AC169" s="43" t="str">
        <f>IF(Donnees[[#This Row],[Abonnés]]="","",Donnees[[#This Row],[Vues]]/Donnees[[#This Row],[Abonnés]])</f>
        <v/>
      </c>
      <c r="AD169" s="40" t="s">
        <v>44</v>
      </c>
      <c r="AE169" s="43">
        <f>SUMPRODUCT((Donnees[Échantillon]=Donnees[[#This Row],[Échantillon]])*(Donnees[Engagement]&lt;Donnees[[#This Row],[Engagement]]))+(SUMPRODUCT((Donnees[Échantillon]=Donnees[[#This Row],[Échantillon]])*(Donnees[Engagement]=Donnees[[#This Row],[Engagement]]))+1)/2</f>
        <v>89</v>
      </c>
      <c r="AF169" s="43">
        <f>SUMPRODUCT((Donnees[Échantillon]=Donnees[[#This Row],[Échantillon]])*(Donnees[Vues]&lt;Donnees[[#This Row],[Vues]]))+(SUMPRODUCT((Donnees[Échantillon]=Donnees[[#This Row],[Échantillon]])*(Donnees[Vues]=Donnees[[#This Row],[Vues]]))+1)/2</f>
        <v>32.5</v>
      </c>
      <c r="AG169" s="43">
        <f>SUMPRODUCT((Donnees[Échantillon]=Donnees[[#This Row],[Échantillon]])*(Donnees[Durée (s)]&lt;Donnees[[#This Row],[Durée (s)]]))+(SUMPRODUCT((Donnees[Échantillon]=Donnees[[#This Row],[Échantillon]])*(Donnees[Durée (s)]=Donnees[[#This Row],[Durée (s)]]))+1)/2</f>
        <v>90</v>
      </c>
      <c r="AH169" s="43">
        <f>SUMPRODUCT((Donnees[Échantillon]=Donnees[[#This Row],[Échantillon]])*(Donnees[Nb hashtags]&lt;Donnees[[#This Row],[Nb hashtags]]))+(SUMPRODUCT((Donnees[Échantillon]=Donnees[[#This Row],[Échantillon]])*(Donnees[Nb hashtags]=Donnees[[#This Row],[Nb hashtags]]))+1)/2</f>
        <v>18.5</v>
      </c>
      <c r="AI169" s="43">
        <f>SUMPRODUCT((Donnees[Échantillon]=Donnees[[#This Row],[Échantillon]])*(Donnees[Longueur du texte]&lt;Donnees[[#This Row],[Longueur du texte]]))+(SUMPRODUCT((Donnees[Échantillon]=Donnees[[#This Row],[Échantillon]])*(Donnees[Longueur du texte]=Donnees[[#This Row],[Longueur du texte]]))+1)/2</f>
        <v>56</v>
      </c>
      <c r="AJ169" s="43" t="str">
        <f>IF(Donnees[[#This Row],[Abonnés]]="","",SUMPRODUCT((Donnees[Échantillon]=Donnees[[#This Row],[Échantillon]])*(Donnees[Abonnés]&lt;Donnees[[#This Row],[Abonnés]]))+(SUMPRODUCT((Donnees[Échantillon]=Donnees[[#This Row],[Échantillon]])*(Donnees[Abonnés]=Donnees[[#This Row],[Abonnés]]))+1)/2)</f>
        <v/>
      </c>
      <c r="AK16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70" spans="1:37" x14ac:dyDescent="0.2">
      <c r="A170" s="40" t="s">
        <v>145</v>
      </c>
      <c r="B170" s="40" t="s">
        <v>175</v>
      </c>
      <c r="C170" s="40" t="s">
        <v>39</v>
      </c>
      <c r="D170" s="40">
        <v>176</v>
      </c>
      <c r="E170" s="40" t="s">
        <v>68</v>
      </c>
      <c r="F170" s="40" t="str">
        <f>IF(OR(Donnees[[#This Row],[Jour]]="samedi",Donnees[[#This Row],[Jour]]="dimanche"),"Oui","Non")</f>
        <v>Non</v>
      </c>
      <c r="G170" s="40">
        <v>3</v>
      </c>
      <c r="H170" s="40" t="str">
        <f>IF(Donnees[[#This Row],[Heure UTC]]&lt;6,"0-5 h",IF(Donnees[[#This Row],[Heure UTC]]&lt;12,"6-11 h",IF(Donnees[[#This Row],[Heure UTC]]&lt;18,"12-17 h","18-23 h")))</f>
        <v>0-5 h</v>
      </c>
      <c r="I170" s="40">
        <v>13</v>
      </c>
      <c r="J170" s="40" t="str">
        <f>IF(Donnees[[#This Row],[Durée (s)]]&lt;=10,"1. ≤ 10 s",IF(Donnees[[#This Row],[Durée (s)]]&lt;=15,"2. 11-15 s",IF(Donnees[[#This Row],[Durée (s)]]&lt;=30,"3. 16-30 s",IF(Donnees[[#This Row],[Durée (s)]]&lt;=60,"4. 31-60 s","5. &gt; 60 s"))))</f>
        <v>2. 11-15 s</v>
      </c>
      <c r="K170" s="40" t="str">
        <f>IF(Donnees[[#This Row],[Durée (s)]]&gt;15,"Oui","Non")</f>
        <v>Non</v>
      </c>
      <c r="L170" s="40">
        <v>0</v>
      </c>
      <c r="M170" s="40" t="s">
        <v>41</v>
      </c>
      <c r="N170" s="40">
        <v>24</v>
      </c>
      <c r="O170" s="40" t="s">
        <v>41</v>
      </c>
      <c r="P170" s="40" t="s">
        <v>41</v>
      </c>
      <c r="Q170" s="40" t="s">
        <v>41</v>
      </c>
      <c r="R170" s="40"/>
      <c r="S170" s="40"/>
      <c r="T170" s="41"/>
      <c r="U170" s="40" t="str">
        <f>IF(Donnees[[#This Row],[Abonnés]]="","",IF(Donnees[[#This Row],[Abonnés]]&lt;1000000,"1. &lt; 1 M",IF(Donnees[[#This Row],[Abonnés]]&lt;3000000,"2. 1-3 M",IF(Donnees[[#This Row],[Abonnés]]&lt;8000000,"3. 3-8 M","4. ≥ 8 M"))))</f>
        <v/>
      </c>
      <c r="V170" s="41"/>
      <c r="W170" s="41">
        <v>1700000</v>
      </c>
      <c r="X170" s="41">
        <v>249600</v>
      </c>
      <c r="Y170" s="41">
        <v>6757</v>
      </c>
      <c r="Z170" s="41">
        <v>17900</v>
      </c>
      <c r="AA170" s="42">
        <f>(Donnees[[#This Row],[Likes]]+Donnees[[#This Row],[Commentaires]]+Donnees[[#This Row],[Partages]])/Donnees[[#This Row],[Vues]]</f>
        <v>0.16132764705882352</v>
      </c>
      <c r="AB170" s="40">
        <f>IF(Donnees[[#This Row],[Engagement]]&gt;=VLOOKUP(Donnees[[#This Row],[Échantillon]],'Méthode &amp; limites'!$B$9:$D$11,2,FALSE),1,0)</f>
        <v>0</v>
      </c>
      <c r="AC170" s="43" t="str">
        <f>IF(Donnees[[#This Row],[Abonnés]]="","",Donnees[[#This Row],[Vues]]/Donnees[[#This Row],[Abonnés]])</f>
        <v/>
      </c>
      <c r="AD170" s="40" t="s">
        <v>44</v>
      </c>
      <c r="AE170" s="43">
        <f>SUMPRODUCT((Donnees[Échantillon]=Donnees[[#This Row],[Échantillon]])*(Donnees[Engagement]&lt;Donnees[[#This Row],[Engagement]]))+(SUMPRODUCT((Donnees[Échantillon]=Donnees[[#This Row],[Échantillon]])*(Donnees[Engagement]=Donnees[[#This Row],[Engagement]]))+1)/2</f>
        <v>37</v>
      </c>
      <c r="AF170" s="43">
        <f>SUMPRODUCT((Donnees[Échantillon]=Donnees[[#This Row],[Échantillon]])*(Donnees[Vues]&lt;Donnees[[#This Row],[Vues]]))+(SUMPRODUCT((Donnees[Échantillon]=Donnees[[#This Row],[Échantillon]])*(Donnees[Vues]=Donnees[[#This Row],[Vues]]))+1)/2</f>
        <v>32.5</v>
      </c>
      <c r="AG170" s="43">
        <f>SUMPRODUCT((Donnees[Échantillon]=Donnees[[#This Row],[Échantillon]])*(Donnees[Durée (s)]&lt;Donnees[[#This Row],[Durée (s)]]))+(SUMPRODUCT((Donnees[Échantillon]=Donnees[[#This Row],[Échantillon]])*(Donnees[Durée (s)]=Donnees[[#This Row],[Durée (s)]]))+1)/2</f>
        <v>26</v>
      </c>
      <c r="AH170" s="43">
        <f>SUMPRODUCT((Donnees[Échantillon]=Donnees[[#This Row],[Échantillon]])*(Donnees[Nb hashtags]&lt;Donnees[[#This Row],[Nb hashtags]]))+(SUMPRODUCT((Donnees[Échantillon]=Donnees[[#This Row],[Échantillon]])*(Donnees[Nb hashtags]=Donnees[[#This Row],[Nb hashtags]]))+1)/2</f>
        <v>18.5</v>
      </c>
      <c r="AI170" s="43">
        <f>SUMPRODUCT((Donnees[Échantillon]=Donnees[[#This Row],[Échantillon]])*(Donnees[Longueur du texte]&lt;Donnees[[#This Row],[Longueur du texte]]))+(SUMPRODUCT((Donnees[Échantillon]=Donnees[[#This Row],[Échantillon]])*(Donnees[Longueur du texte]=Donnees[[#This Row],[Longueur du texte]]))+1)/2</f>
        <v>38.5</v>
      </c>
      <c r="AJ170" s="43" t="str">
        <f>IF(Donnees[[#This Row],[Abonnés]]="","",SUMPRODUCT((Donnees[Échantillon]=Donnees[[#This Row],[Échantillon]])*(Donnees[Abonnés]&lt;Donnees[[#This Row],[Abonnés]]))+(SUMPRODUCT((Donnees[Échantillon]=Donnees[[#This Row],[Échantillon]])*(Donnees[Abonnés]=Donnees[[#This Row],[Abonnés]]))+1)/2)</f>
        <v/>
      </c>
      <c r="AK17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71" spans="1:37" x14ac:dyDescent="0.2">
      <c r="A171" s="40" t="s">
        <v>145</v>
      </c>
      <c r="B171" s="40" t="s">
        <v>209</v>
      </c>
      <c r="C171" s="40" t="s">
        <v>39</v>
      </c>
      <c r="D171" s="40">
        <v>127</v>
      </c>
      <c r="E171" s="40" t="s">
        <v>68</v>
      </c>
      <c r="F171" s="40" t="str">
        <f>IF(OR(Donnees[[#This Row],[Jour]]="samedi",Donnees[[#This Row],[Jour]]="dimanche"),"Oui","Non")</f>
        <v>Non</v>
      </c>
      <c r="G171" s="40">
        <v>22</v>
      </c>
      <c r="H171" s="40" t="str">
        <f>IF(Donnees[[#This Row],[Heure UTC]]&lt;6,"0-5 h",IF(Donnees[[#This Row],[Heure UTC]]&lt;12,"6-11 h",IF(Donnees[[#This Row],[Heure UTC]]&lt;18,"12-17 h","18-23 h")))</f>
        <v>18-23 h</v>
      </c>
      <c r="I171" s="40">
        <v>15</v>
      </c>
      <c r="J171" s="40" t="str">
        <f>IF(Donnees[[#This Row],[Durée (s)]]&lt;=10,"1. ≤ 10 s",IF(Donnees[[#This Row],[Durée (s)]]&lt;=15,"2. 11-15 s",IF(Donnees[[#This Row],[Durée (s)]]&lt;=30,"3. 16-30 s",IF(Donnees[[#This Row],[Durée (s)]]&lt;=60,"4. 31-60 s","5. &gt; 60 s"))))</f>
        <v>2. 11-15 s</v>
      </c>
      <c r="K171" s="40" t="str">
        <f>IF(Donnees[[#This Row],[Durée (s)]]&gt;15,"Oui","Non")</f>
        <v>Non</v>
      </c>
      <c r="L171" s="40">
        <v>2</v>
      </c>
      <c r="M171" s="40" t="s">
        <v>41</v>
      </c>
      <c r="N171" s="40">
        <v>33</v>
      </c>
      <c r="O171" s="40" t="s">
        <v>41</v>
      </c>
      <c r="P171" s="40" t="s">
        <v>44</v>
      </c>
      <c r="Q171" s="40" t="s">
        <v>41</v>
      </c>
      <c r="R171" s="40"/>
      <c r="S171" s="40"/>
      <c r="T171" s="41"/>
      <c r="U171" s="40" t="str">
        <f>IF(Donnees[[#This Row],[Abonnés]]="","",IF(Donnees[[#This Row],[Abonnés]]&lt;1000000,"1. &lt; 1 M",IF(Donnees[[#This Row],[Abonnés]]&lt;3000000,"2. 1-3 M",IF(Donnees[[#This Row],[Abonnés]]&lt;8000000,"3. 3-8 M","4. ≥ 8 M"))))</f>
        <v/>
      </c>
      <c r="V171" s="41"/>
      <c r="W171" s="41">
        <v>1500000</v>
      </c>
      <c r="X171" s="41">
        <v>284400</v>
      </c>
      <c r="Y171" s="41">
        <v>1283</v>
      </c>
      <c r="Z171" s="41">
        <v>1380</v>
      </c>
      <c r="AA171" s="42">
        <f>(Donnees[[#This Row],[Likes]]+Donnees[[#This Row],[Commentaires]]+Donnees[[#This Row],[Partages]])/Donnees[[#This Row],[Vues]]</f>
        <v>0.19137533333333334</v>
      </c>
      <c r="AB171" s="40">
        <f>IF(Donnees[[#This Row],[Engagement]]&gt;=VLOOKUP(Donnees[[#This Row],[Échantillon]],'Méthode &amp; limites'!$B$9:$D$11,2,FALSE),1,0)</f>
        <v>0</v>
      </c>
      <c r="AC171" s="43" t="str">
        <f>IF(Donnees[[#This Row],[Abonnés]]="","",Donnees[[#This Row],[Vues]]/Donnees[[#This Row],[Abonnés]])</f>
        <v/>
      </c>
      <c r="AD171" s="40" t="s">
        <v>44</v>
      </c>
      <c r="AE171" s="43">
        <f>SUMPRODUCT((Donnees[Échantillon]=Donnees[[#This Row],[Échantillon]])*(Donnees[Engagement]&lt;Donnees[[#This Row],[Engagement]]))+(SUMPRODUCT((Donnees[Échantillon]=Donnees[[#This Row],[Échantillon]])*(Donnees[Engagement]=Donnees[[#This Row],[Engagement]]))+1)/2</f>
        <v>55</v>
      </c>
      <c r="AF171" s="43">
        <f>SUMPRODUCT((Donnees[Échantillon]=Donnees[[#This Row],[Échantillon]])*(Donnees[Vues]&lt;Donnees[[#This Row],[Vues]]))+(SUMPRODUCT((Donnees[Échantillon]=Donnees[[#This Row],[Échantillon]])*(Donnees[Vues]=Donnees[[#This Row],[Vues]]))+1)/2</f>
        <v>31</v>
      </c>
      <c r="AG171" s="43">
        <f>SUMPRODUCT((Donnees[Échantillon]=Donnees[[#This Row],[Échantillon]])*(Donnees[Durée (s)]&lt;Donnees[[#This Row],[Durée (s)]]))+(SUMPRODUCT((Donnees[Échantillon]=Donnees[[#This Row],[Échantillon]])*(Donnees[Durée (s)]=Donnees[[#This Row],[Durée (s)]]))+1)/2</f>
        <v>43.5</v>
      </c>
      <c r="AH171" s="43">
        <f>SUMPRODUCT((Donnees[Échantillon]=Donnees[[#This Row],[Échantillon]])*(Donnees[Nb hashtags]&lt;Donnees[[#This Row],[Nb hashtags]]))+(SUMPRODUCT((Donnees[Échantillon]=Donnees[[#This Row],[Échantillon]])*(Donnees[Nb hashtags]=Donnees[[#This Row],[Nb hashtags]]))+1)/2</f>
        <v>61</v>
      </c>
      <c r="AI171" s="43">
        <f>SUMPRODUCT((Donnees[Échantillon]=Donnees[[#This Row],[Échantillon]])*(Donnees[Longueur du texte]&lt;Donnees[[#This Row],[Longueur du texte]]))+(SUMPRODUCT((Donnees[Échantillon]=Donnees[[#This Row],[Échantillon]])*(Donnees[Longueur du texte]=Donnees[[#This Row],[Longueur du texte]]))+1)/2</f>
        <v>48</v>
      </c>
      <c r="AJ171" s="43" t="str">
        <f>IF(Donnees[[#This Row],[Abonnés]]="","",SUMPRODUCT((Donnees[Échantillon]=Donnees[[#This Row],[Échantillon]])*(Donnees[Abonnés]&lt;Donnees[[#This Row],[Abonnés]]))+(SUMPRODUCT((Donnees[Échantillon]=Donnees[[#This Row],[Échantillon]])*(Donnees[Abonnés]=Donnees[[#This Row],[Abonnés]]))+1)/2)</f>
        <v/>
      </c>
      <c r="AK17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72" spans="1:37" x14ac:dyDescent="0.2">
      <c r="A172" s="40" t="s">
        <v>145</v>
      </c>
      <c r="B172" s="40" t="s">
        <v>210</v>
      </c>
      <c r="C172" s="40" t="s">
        <v>39</v>
      </c>
      <c r="D172" s="40">
        <v>104</v>
      </c>
      <c r="E172" s="40" t="s">
        <v>56</v>
      </c>
      <c r="F172" s="40" t="str">
        <f>IF(OR(Donnees[[#This Row],[Jour]]="samedi",Donnees[[#This Row],[Jour]]="dimanche"),"Oui","Non")</f>
        <v>Oui</v>
      </c>
      <c r="G172" s="40">
        <v>0</v>
      </c>
      <c r="H172" s="40" t="str">
        <f>IF(Donnees[[#This Row],[Heure UTC]]&lt;6,"0-5 h",IF(Donnees[[#This Row],[Heure UTC]]&lt;12,"6-11 h",IF(Donnees[[#This Row],[Heure UTC]]&lt;18,"12-17 h","18-23 h")))</f>
        <v>0-5 h</v>
      </c>
      <c r="I172" s="40">
        <v>14</v>
      </c>
      <c r="J172" s="40" t="str">
        <f>IF(Donnees[[#This Row],[Durée (s)]]&lt;=10,"1. ≤ 10 s",IF(Donnees[[#This Row],[Durée (s)]]&lt;=15,"2. 11-15 s",IF(Donnees[[#This Row],[Durée (s)]]&lt;=30,"3. 16-30 s",IF(Donnees[[#This Row],[Durée (s)]]&lt;=60,"4. 31-60 s","5. &gt; 60 s"))))</f>
        <v>2. 11-15 s</v>
      </c>
      <c r="K172" s="40" t="str">
        <f>IF(Donnees[[#This Row],[Durée (s)]]&gt;15,"Oui","Non")</f>
        <v>Non</v>
      </c>
      <c r="L172" s="40">
        <v>0</v>
      </c>
      <c r="M172" s="40" t="s">
        <v>41</v>
      </c>
      <c r="N172" s="40">
        <v>0</v>
      </c>
      <c r="O172" s="40" t="s">
        <v>44</v>
      </c>
      <c r="P172" s="40" t="s">
        <v>41</v>
      </c>
      <c r="Q172" s="40" t="s">
        <v>41</v>
      </c>
      <c r="R172" s="40"/>
      <c r="S172" s="40"/>
      <c r="T172" s="41"/>
      <c r="U172" s="40" t="str">
        <f>IF(Donnees[[#This Row],[Abonnés]]="","",IF(Donnees[[#This Row],[Abonnés]]&lt;1000000,"1. &lt; 1 M",IF(Donnees[[#This Row],[Abonnés]]&lt;3000000,"2. 1-3 M",IF(Donnees[[#This Row],[Abonnés]]&lt;8000000,"3. 3-8 M","4. ≥ 8 M"))))</f>
        <v/>
      </c>
      <c r="V172" s="41"/>
      <c r="W172" s="41">
        <v>1400000</v>
      </c>
      <c r="X172" s="41">
        <v>453500</v>
      </c>
      <c r="Y172" s="41">
        <v>5971</v>
      </c>
      <c r="Z172" s="41">
        <v>6593</v>
      </c>
      <c r="AA172" s="42">
        <f>(Donnees[[#This Row],[Likes]]+Donnees[[#This Row],[Commentaires]]+Donnees[[#This Row],[Partages]])/Donnees[[#This Row],[Vues]]</f>
        <v>0.33290285714285717</v>
      </c>
      <c r="AB172" s="40">
        <f>IF(Donnees[[#This Row],[Engagement]]&gt;=VLOOKUP(Donnees[[#This Row],[Échantillon]],'Méthode &amp; limites'!$B$9:$D$11,2,FALSE),1,0)</f>
        <v>1</v>
      </c>
      <c r="AC172" s="43" t="str">
        <f>IF(Donnees[[#This Row],[Abonnés]]="","",Donnees[[#This Row],[Vues]]/Donnees[[#This Row],[Abonnés]])</f>
        <v/>
      </c>
      <c r="AD172" s="40" t="s">
        <v>44</v>
      </c>
      <c r="AE172" s="43">
        <f>SUMPRODUCT((Donnees[Échantillon]=Donnees[[#This Row],[Échantillon]])*(Donnees[Engagement]&lt;Donnees[[#This Row],[Engagement]]))+(SUMPRODUCT((Donnees[Échantillon]=Donnees[[#This Row],[Échantillon]])*(Donnees[Engagement]=Donnees[[#This Row],[Engagement]]))+1)/2</f>
        <v>98</v>
      </c>
      <c r="AF172" s="43">
        <f>SUMPRODUCT((Donnees[Échantillon]=Donnees[[#This Row],[Échantillon]])*(Donnees[Vues]&lt;Donnees[[#This Row],[Vues]]))+(SUMPRODUCT((Donnees[Échantillon]=Donnees[[#This Row],[Échantillon]])*(Donnees[Vues]=Donnees[[#This Row],[Vues]]))+1)/2</f>
        <v>29.5</v>
      </c>
      <c r="AG172" s="43">
        <f>SUMPRODUCT((Donnees[Échantillon]=Donnees[[#This Row],[Échantillon]])*(Donnees[Durée (s)]&lt;Donnees[[#This Row],[Durée (s)]]))+(SUMPRODUCT((Donnees[Échantillon]=Donnees[[#This Row],[Échantillon]])*(Donnees[Durée (s)]=Donnees[[#This Row],[Durée (s)]]))+1)/2</f>
        <v>31.5</v>
      </c>
      <c r="AH172" s="43">
        <f>SUMPRODUCT((Donnees[Échantillon]=Donnees[[#This Row],[Échantillon]])*(Donnees[Nb hashtags]&lt;Donnees[[#This Row],[Nb hashtags]]))+(SUMPRODUCT((Donnees[Échantillon]=Donnees[[#This Row],[Échantillon]])*(Donnees[Nb hashtags]=Donnees[[#This Row],[Nb hashtags]]))+1)/2</f>
        <v>18.5</v>
      </c>
      <c r="AI172" s="43">
        <f>SUMPRODUCT((Donnees[Échantillon]=Donnees[[#This Row],[Échantillon]])*(Donnees[Longueur du texte]&lt;Donnees[[#This Row],[Longueur du texte]]))+(SUMPRODUCT((Donnees[Échantillon]=Donnees[[#This Row],[Échantillon]])*(Donnees[Longueur du texte]=Donnees[[#This Row],[Longueur du texte]]))+1)/2</f>
        <v>6</v>
      </c>
      <c r="AJ172" s="43" t="str">
        <f>IF(Donnees[[#This Row],[Abonnés]]="","",SUMPRODUCT((Donnees[Échantillon]=Donnees[[#This Row],[Échantillon]])*(Donnees[Abonnés]&lt;Donnees[[#This Row],[Abonnés]]))+(SUMPRODUCT((Donnees[Échantillon]=Donnees[[#This Row],[Échantillon]])*(Donnees[Abonnés]=Donnees[[#This Row],[Abonnés]]))+1)/2)</f>
        <v/>
      </c>
      <c r="AK17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73" spans="1:37" x14ac:dyDescent="0.2">
      <c r="A173" s="40" t="s">
        <v>145</v>
      </c>
      <c r="B173" s="40" t="s">
        <v>211</v>
      </c>
      <c r="C173" s="40" t="s">
        <v>39</v>
      </c>
      <c r="D173" s="40">
        <v>160</v>
      </c>
      <c r="E173" s="40" t="s">
        <v>56</v>
      </c>
      <c r="F173" s="40" t="str">
        <f>IF(OR(Donnees[[#This Row],[Jour]]="samedi",Donnees[[#This Row],[Jour]]="dimanche"),"Oui","Non")</f>
        <v>Oui</v>
      </c>
      <c r="G173" s="40">
        <v>20</v>
      </c>
      <c r="H173" s="40" t="str">
        <f>IF(Donnees[[#This Row],[Heure UTC]]&lt;6,"0-5 h",IF(Donnees[[#This Row],[Heure UTC]]&lt;12,"6-11 h",IF(Donnees[[#This Row],[Heure UTC]]&lt;18,"12-17 h","18-23 h")))</f>
        <v>18-23 h</v>
      </c>
      <c r="I173" s="40">
        <v>58</v>
      </c>
      <c r="J173" s="40" t="str">
        <f>IF(Donnees[[#This Row],[Durée (s)]]&lt;=10,"1. ≤ 10 s",IF(Donnees[[#This Row],[Durée (s)]]&lt;=15,"2. 11-15 s",IF(Donnees[[#This Row],[Durée (s)]]&lt;=30,"3. 16-30 s",IF(Donnees[[#This Row],[Durée (s)]]&lt;=60,"4. 31-60 s","5. &gt; 60 s"))))</f>
        <v>4. 31-60 s</v>
      </c>
      <c r="K173" s="40" t="str">
        <f>IF(Donnees[[#This Row],[Durée (s)]]&gt;15,"Oui","Non")</f>
        <v>Oui</v>
      </c>
      <c r="L173" s="40">
        <v>1</v>
      </c>
      <c r="M173" s="40" t="s">
        <v>41</v>
      </c>
      <c r="N173" s="40">
        <v>23</v>
      </c>
      <c r="O173" s="40" t="s">
        <v>41</v>
      </c>
      <c r="P173" s="40" t="s">
        <v>44</v>
      </c>
      <c r="Q173" s="40" t="s">
        <v>44</v>
      </c>
      <c r="R173" s="40"/>
      <c r="S173" s="40"/>
      <c r="T173" s="41"/>
      <c r="U173" s="40" t="str">
        <f>IF(Donnees[[#This Row],[Abonnés]]="","",IF(Donnees[[#This Row],[Abonnés]]&lt;1000000,"1. &lt; 1 M",IF(Donnees[[#This Row],[Abonnés]]&lt;3000000,"2. 1-3 M",IF(Donnees[[#This Row],[Abonnés]]&lt;8000000,"3. 3-8 M","4. ≥ 8 M"))))</f>
        <v/>
      </c>
      <c r="V173" s="41"/>
      <c r="W173" s="41">
        <v>1400000</v>
      </c>
      <c r="X173" s="41">
        <v>293800</v>
      </c>
      <c r="Y173" s="41">
        <v>6947</v>
      </c>
      <c r="Z173" s="41">
        <v>18300</v>
      </c>
      <c r="AA173" s="42">
        <f>(Donnees[[#This Row],[Likes]]+Donnees[[#This Row],[Commentaires]]+Donnees[[#This Row],[Partages]])/Donnees[[#This Row],[Vues]]</f>
        <v>0.22789071428571428</v>
      </c>
      <c r="AB173" s="40">
        <f>IF(Donnees[[#This Row],[Engagement]]&gt;=VLOOKUP(Donnees[[#This Row],[Échantillon]],'Méthode &amp; limites'!$B$9:$D$11,2,FALSE),1,0)</f>
        <v>0</v>
      </c>
      <c r="AC173" s="43" t="str">
        <f>IF(Donnees[[#This Row],[Abonnés]]="","",Donnees[[#This Row],[Vues]]/Donnees[[#This Row],[Abonnés]])</f>
        <v/>
      </c>
      <c r="AD173" s="40" t="s">
        <v>44</v>
      </c>
      <c r="AE173" s="43">
        <f>SUMPRODUCT((Donnees[Échantillon]=Donnees[[#This Row],[Échantillon]])*(Donnees[Engagement]&lt;Donnees[[#This Row],[Engagement]]))+(SUMPRODUCT((Donnees[Échantillon]=Donnees[[#This Row],[Échantillon]])*(Donnees[Engagement]=Donnees[[#This Row],[Engagement]]))+1)/2</f>
        <v>68</v>
      </c>
      <c r="AF173" s="43">
        <f>SUMPRODUCT((Donnees[Échantillon]=Donnees[[#This Row],[Échantillon]])*(Donnees[Vues]&lt;Donnees[[#This Row],[Vues]]))+(SUMPRODUCT((Donnees[Échantillon]=Donnees[[#This Row],[Échantillon]])*(Donnees[Vues]=Donnees[[#This Row],[Vues]]))+1)/2</f>
        <v>29.5</v>
      </c>
      <c r="AG173" s="43">
        <f>SUMPRODUCT((Donnees[Échantillon]=Donnees[[#This Row],[Échantillon]])*(Donnees[Durée (s)]&lt;Donnees[[#This Row],[Durée (s)]]))+(SUMPRODUCT((Donnees[Échantillon]=Donnees[[#This Row],[Échantillon]])*(Donnees[Durée (s)]=Donnees[[#This Row],[Durée (s)]]))+1)/2</f>
        <v>93.5</v>
      </c>
      <c r="AH173" s="43">
        <f>SUMPRODUCT((Donnees[Échantillon]=Donnees[[#This Row],[Échantillon]])*(Donnees[Nb hashtags]&lt;Donnees[[#This Row],[Nb hashtags]]))+(SUMPRODUCT((Donnees[Échantillon]=Donnees[[#This Row],[Échantillon]])*(Donnees[Nb hashtags]=Donnees[[#This Row],[Nb hashtags]]))+1)/2</f>
        <v>45.5</v>
      </c>
      <c r="AI173" s="43">
        <f>SUMPRODUCT((Donnees[Échantillon]=Donnees[[#This Row],[Échantillon]])*(Donnees[Longueur du texte]&lt;Donnees[[#This Row],[Longueur du texte]]))+(SUMPRODUCT((Donnees[Échantillon]=Donnees[[#This Row],[Échantillon]])*(Donnees[Longueur du texte]=Donnees[[#This Row],[Longueur du texte]]))+1)/2</f>
        <v>35.5</v>
      </c>
      <c r="AJ173" s="43" t="str">
        <f>IF(Donnees[[#This Row],[Abonnés]]="","",SUMPRODUCT((Donnees[Échantillon]=Donnees[[#This Row],[Échantillon]])*(Donnees[Abonnés]&lt;Donnees[[#This Row],[Abonnés]]))+(SUMPRODUCT((Donnees[Échantillon]=Donnees[[#This Row],[Échantillon]])*(Donnees[Abonnés]=Donnees[[#This Row],[Abonnés]]))+1)/2)</f>
        <v/>
      </c>
      <c r="AK17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74" spans="1:37" x14ac:dyDescent="0.2">
      <c r="A174" s="40" t="s">
        <v>145</v>
      </c>
      <c r="B174" s="40" t="s">
        <v>212</v>
      </c>
      <c r="C174" s="40" t="s">
        <v>50</v>
      </c>
      <c r="D174" s="40">
        <v>0</v>
      </c>
      <c r="E174" s="40" t="s">
        <v>75</v>
      </c>
      <c r="F174" s="40" t="str">
        <f>IF(OR(Donnees[[#This Row],[Jour]]="samedi",Donnees[[#This Row],[Jour]]="dimanche"),"Oui","Non")</f>
        <v>Oui</v>
      </c>
      <c r="G174" s="40">
        <v>18</v>
      </c>
      <c r="H174" s="40" t="str">
        <f>IF(Donnees[[#This Row],[Heure UTC]]&lt;6,"0-5 h",IF(Donnees[[#This Row],[Heure UTC]]&lt;12,"6-11 h",IF(Donnees[[#This Row],[Heure UTC]]&lt;18,"12-17 h","18-23 h")))</f>
        <v>18-23 h</v>
      </c>
      <c r="I174" s="40">
        <v>14</v>
      </c>
      <c r="J174" s="40" t="str">
        <f>IF(Donnees[[#This Row],[Durée (s)]]&lt;=10,"1. ≤ 10 s",IF(Donnees[[#This Row],[Durée (s)]]&lt;=15,"2. 11-15 s",IF(Donnees[[#This Row],[Durée (s)]]&lt;=30,"3. 16-30 s",IF(Donnees[[#This Row],[Durée (s)]]&lt;=60,"4. 31-60 s","5. &gt; 60 s"))))</f>
        <v>2. 11-15 s</v>
      </c>
      <c r="K174" s="40" t="str">
        <f>IF(Donnees[[#This Row],[Durée (s)]]&gt;15,"Oui","Non")</f>
        <v>Non</v>
      </c>
      <c r="L174" s="40">
        <v>0</v>
      </c>
      <c r="M174" s="40" t="s">
        <v>41</v>
      </c>
      <c r="N174" s="40">
        <v>48</v>
      </c>
      <c r="O174" s="40" t="s">
        <v>41</v>
      </c>
      <c r="P174" s="40" t="s">
        <v>41</v>
      </c>
      <c r="Q174" s="40" t="s">
        <v>41</v>
      </c>
      <c r="R174" s="40"/>
      <c r="S174" s="40"/>
      <c r="T174" s="41"/>
      <c r="U174" s="40" t="str">
        <f>IF(Donnees[[#This Row],[Abonnés]]="","",IF(Donnees[[#This Row],[Abonnés]]&lt;1000000,"1. &lt; 1 M",IF(Donnees[[#This Row],[Abonnés]]&lt;3000000,"2. 1-3 M",IF(Donnees[[#This Row],[Abonnés]]&lt;8000000,"3. 3-8 M","4. ≥ 8 M"))))</f>
        <v/>
      </c>
      <c r="V174" s="41"/>
      <c r="W174" s="41">
        <v>1300000</v>
      </c>
      <c r="X174" s="41">
        <v>289300</v>
      </c>
      <c r="Y174" s="41">
        <v>3340</v>
      </c>
      <c r="Z174" s="41">
        <v>2860</v>
      </c>
      <c r="AA174" s="42">
        <f>(Donnees[[#This Row],[Likes]]+Donnees[[#This Row],[Commentaires]]+Donnees[[#This Row],[Partages]])/Donnees[[#This Row],[Vues]]</f>
        <v>0.22730769230769229</v>
      </c>
      <c r="AB174" s="40">
        <f>IF(Donnees[[#This Row],[Engagement]]&gt;=VLOOKUP(Donnees[[#This Row],[Échantillon]],'Méthode &amp; limites'!$B$9:$D$11,2,FALSE),1,0)</f>
        <v>0</v>
      </c>
      <c r="AC174" s="43" t="str">
        <f>IF(Donnees[[#This Row],[Abonnés]]="","",Donnees[[#This Row],[Vues]]/Donnees[[#This Row],[Abonnés]])</f>
        <v/>
      </c>
      <c r="AD174" s="40" t="s">
        <v>44</v>
      </c>
      <c r="AE174" s="43">
        <f>SUMPRODUCT((Donnees[Échantillon]=Donnees[[#This Row],[Échantillon]])*(Donnees[Engagement]&lt;Donnees[[#This Row],[Engagement]]))+(SUMPRODUCT((Donnees[Échantillon]=Donnees[[#This Row],[Échantillon]])*(Donnees[Engagement]=Donnees[[#This Row],[Engagement]]))+1)/2</f>
        <v>67</v>
      </c>
      <c r="AF174" s="43">
        <f>SUMPRODUCT((Donnees[Échantillon]=Donnees[[#This Row],[Échantillon]])*(Donnees[Vues]&lt;Donnees[[#This Row],[Vues]]))+(SUMPRODUCT((Donnees[Échantillon]=Donnees[[#This Row],[Échantillon]])*(Donnees[Vues]=Donnees[[#This Row],[Vues]]))+1)/2</f>
        <v>28</v>
      </c>
      <c r="AG174" s="43">
        <f>SUMPRODUCT((Donnees[Échantillon]=Donnees[[#This Row],[Échantillon]])*(Donnees[Durée (s)]&lt;Donnees[[#This Row],[Durée (s)]]))+(SUMPRODUCT((Donnees[Échantillon]=Donnees[[#This Row],[Échantillon]])*(Donnees[Durée (s)]=Donnees[[#This Row],[Durée (s)]]))+1)/2</f>
        <v>31.5</v>
      </c>
      <c r="AH174" s="43">
        <f>SUMPRODUCT((Donnees[Échantillon]=Donnees[[#This Row],[Échantillon]])*(Donnees[Nb hashtags]&lt;Donnees[[#This Row],[Nb hashtags]]))+(SUMPRODUCT((Donnees[Échantillon]=Donnees[[#This Row],[Échantillon]])*(Donnees[Nb hashtags]=Donnees[[#This Row],[Nb hashtags]]))+1)/2</f>
        <v>18.5</v>
      </c>
      <c r="AI174" s="43">
        <f>SUMPRODUCT((Donnees[Échantillon]=Donnees[[#This Row],[Échantillon]])*(Donnees[Longueur du texte]&lt;Donnees[[#This Row],[Longueur du texte]]))+(SUMPRODUCT((Donnees[Échantillon]=Donnees[[#This Row],[Échantillon]])*(Donnees[Longueur du texte]=Donnees[[#This Row],[Longueur du texte]]))+1)/2</f>
        <v>66.5</v>
      </c>
      <c r="AJ174" s="43" t="str">
        <f>IF(Donnees[[#This Row],[Abonnés]]="","",SUMPRODUCT((Donnees[Échantillon]=Donnees[[#This Row],[Échantillon]])*(Donnees[Abonnés]&lt;Donnees[[#This Row],[Abonnés]]))+(SUMPRODUCT((Donnees[Échantillon]=Donnees[[#This Row],[Échantillon]])*(Donnees[Abonnés]=Donnees[[#This Row],[Abonnés]]))+1)/2)</f>
        <v/>
      </c>
      <c r="AK17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75" spans="1:37" x14ac:dyDescent="0.2">
      <c r="A175" s="40" t="s">
        <v>145</v>
      </c>
      <c r="B175" s="40" t="s">
        <v>213</v>
      </c>
      <c r="C175" s="40" t="s">
        <v>39</v>
      </c>
      <c r="D175" s="40">
        <v>19</v>
      </c>
      <c r="E175" s="40" t="s">
        <v>71</v>
      </c>
      <c r="F175" s="40" t="str">
        <f>IF(OR(Donnees[[#This Row],[Jour]]="samedi",Donnees[[#This Row],[Jour]]="dimanche"),"Oui","Non")</f>
        <v>Non</v>
      </c>
      <c r="G175" s="40">
        <v>20</v>
      </c>
      <c r="H175" s="40" t="str">
        <f>IF(Donnees[[#This Row],[Heure UTC]]&lt;6,"0-5 h",IF(Donnees[[#This Row],[Heure UTC]]&lt;12,"6-11 h",IF(Donnees[[#This Row],[Heure UTC]]&lt;18,"12-17 h","18-23 h")))</f>
        <v>18-23 h</v>
      </c>
      <c r="I175" s="40">
        <v>18</v>
      </c>
      <c r="J175" s="40" t="str">
        <f>IF(Donnees[[#This Row],[Durée (s)]]&lt;=10,"1. ≤ 10 s",IF(Donnees[[#This Row],[Durée (s)]]&lt;=15,"2. 11-15 s",IF(Donnees[[#This Row],[Durée (s)]]&lt;=30,"3. 16-30 s",IF(Donnees[[#This Row],[Durée (s)]]&lt;=60,"4. 31-60 s","5. &gt; 60 s"))))</f>
        <v>3. 16-30 s</v>
      </c>
      <c r="K175" s="40" t="str">
        <f>IF(Donnees[[#This Row],[Durée (s)]]&gt;15,"Oui","Non")</f>
        <v>Oui</v>
      </c>
      <c r="L175" s="40">
        <v>0</v>
      </c>
      <c r="M175" s="40" t="s">
        <v>41</v>
      </c>
      <c r="N175" s="40">
        <v>19</v>
      </c>
      <c r="O175" s="40" t="s">
        <v>41</v>
      </c>
      <c r="P175" s="40" t="s">
        <v>41</v>
      </c>
      <c r="Q175" s="40" t="s">
        <v>41</v>
      </c>
      <c r="R175" s="40"/>
      <c r="S175" s="40"/>
      <c r="T175" s="41"/>
      <c r="U175" s="40" t="str">
        <f>IF(Donnees[[#This Row],[Abonnés]]="","",IF(Donnees[[#This Row],[Abonnés]]&lt;1000000,"1. &lt; 1 M",IF(Donnees[[#This Row],[Abonnés]]&lt;3000000,"2. 1-3 M",IF(Donnees[[#This Row],[Abonnés]]&lt;8000000,"3. 3-8 M","4. ≥ 8 M"))))</f>
        <v/>
      </c>
      <c r="V175" s="41"/>
      <c r="W175" s="41">
        <v>1200000</v>
      </c>
      <c r="X175" s="41">
        <v>285000</v>
      </c>
      <c r="Y175" s="41">
        <v>4399</v>
      </c>
      <c r="Z175" s="41">
        <v>2433</v>
      </c>
      <c r="AA175" s="42">
        <f>(Donnees[[#This Row],[Likes]]+Donnees[[#This Row],[Commentaires]]+Donnees[[#This Row],[Partages]])/Donnees[[#This Row],[Vues]]</f>
        <v>0.24319333333333334</v>
      </c>
      <c r="AB175" s="40">
        <f>IF(Donnees[[#This Row],[Engagement]]&gt;=VLOOKUP(Donnees[[#This Row],[Échantillon]],'Méthode &amp; limites'!$B$9:$D$11,2,FALSE),1,0)</f>
        <v>1</v>
      </c>
      <c r="AC175" s="43" t="str">
        <f>IF(Donnees[[#This Row],[Abonnés]]="","",Donnees[[#This Row],[Vues]]/Donnees[[#This Row],[Abonnés]])</f>
        <v/>
      </c>
      <c r="AD175" s="40" t="s">
        <v>44</v>
      </c>
      <c r="AE175" s="43">
        <f>SUMPRODUCT((Donnees[Échantillon]=Donnees[[#This Row],[Échantillon]])*(Donnees[Engagement]&lt;Donnees[[#This Row],[Engagement]]))+(SUMPRODUCT((Donnees[Échantillon]=Donnees[[#This Row],[Échantillon]])*(Donnees[Engagement]=Donnees[[#This Row],[Engagement]]))+1)/2</f>
        <v>76</v>
      </c>
      <c r="AF175" s="43">
        <f>SUMPRODUCT((Donnees[Échantillon]=Donnees[[#This Row],[Échantillon]])*(Donnees[Vues]&lt;Donnees[[#This Row],[Vues]]))+(SUMPRODUCT((Donnees[Échantillon]=Donnees[[#This Row],[Échantillon]])*(Donnees[Vues]=Donnees[[#This Row],[Vues]]))+1)/2</f>
        <v>26.5</v>
      </c>
      <c r="AG175" s="43">
        <f>SUMPRODUCT((Donnees[Échantillon]=Donnees[[#This Row],[Échantillon]])*(Donnees[Durée (s)]&lt;Donnees[[#This Row],[Durée (s)]]))+(SUMPRODUCT((Donnees[Échantillon]=Donnees[[#This Row],[Échantillon]])*(Donnees[Durée (s)]=Donnees[[#This Row],[Durée (s)]]))+1)/2</f>
        <v>56</v>
      </c>
      <c r="AH175" s="43">
        <f>SUMPRODUCT((Donnees[Échantillon]=Donnees[[#This Row],[Échantillon]])*(Donnees[Nb hashtags]&lt;Donnees[[#This Row],[Nb hashtags]]))+(SUMPRODUCT((Donnees[Échantillon]=Donnees[[#This Row],[Échantillon]])*(Donnees[Nb hashtags]=Donnees[[#This Row],[Nb hashtags]]))+1)/2</f>
        <v>18.5</v>
      </c>
      <c r="AI175" s="43">
        <f>SUMPRODUCT((Donnees[Échantillon]=Donnees[[#This Row],[Échantillon]])*(Donnees[Longueur du texte]&lt;Donnees[[#This Row],[Longueur du texte]]))+(SUMPRODUCT((Donnees[Échantillon]=Donnees[[#This Row],[Échantillon]])*(Donnees[Longueur du texte]=Donnees[[#This Row],[Longueur du texte]]))+1)/2</f>
        <v>29.5</v>
      </c>
      <c r="AJ175" s="43" t="str">
        <f>IF(Donnees[[#This Row],[Abonnés]]="","",SUMPRODUCT((Donnees[Échantillon]=Donnees[[#This Row],[Échantillon]])*(Donnees[Abonnés]&lt;Donnees[[#This Row],[Abonnés]]))+(SUMPRODUCT((Donnees[Échantillon]=Donnees[[#This Row],[Échantillon]])*(Donnees[Abonnés]=Donnees[[#This Row],[Abonnés]]))+1)/2)</f>
        <v/>
      </c>
      <c r="AK17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76" spans="1:37" x14ac:dyDescent="0.2">
      <c r="A176" s="40" t="s">
        <v>145</v>
      </c>
      <c r="B176" s="40" t="s">
        <v>214</v>
      </c>
      <c r="C176" s="40" t="s">
        <v>39</v>
      </c>
      <c r="D176" s="40">
        <v>180</v>
      </c>
      <c r="E176" s="40" t="s">
        <v>71</v>
      </c>
      <c r="F176" s="40" t="str">
        <f>IF(OR(Donnees[[#This Row],[Jour]]="samedi",Donnees[[#This Row],[Jour]]="dimanche"),"Oui","Non")</f>
        <v>Non</v>
      </c>
      <c r="G176" s="40">
        <v>23</v>
      </c>
      <c r="H176" s="40" t="str">
        <f>IF(Donnees[[#This Row],[Heure UTC]]&lt;6,"0-5 h",IF(Donnees[[#This Row],[Heure UTC]]&lt;12,"6-11 h",IF(Donnees[[#This Row],[Heure UTC]]&lt;18,"12-17 h","18-23 h")))</f>
        <v>18-23 h</v>
      </c>
      <c r="I176" s="40">
        <v>10</v>
      </c>
      <c r="J176" s="40" t="str">
        <f>IF(Donnees[[#This Row],[Durée (s)]]&lt;=10,"1. ≤ 10 s",IF(Donnees[[#This Row],[Durée (s)]]&lt;=15,"2. 11-15 s",IF(Donnees[[#This Row],[Durée (s)]]&lt;=30,"3. 16-30 s",IF(Donnees[[#This Row],[Durée (s)]]&lt;=60,"4. 31-60 s","5. &gt; 60 s"))))</f>
        <v>1. ≤ 10 s</v>
      </c>
      <c r="K176" s="40" t="str">
        <f>IF(Donnees[[#This Row],[Durée (s)]]&gt;15,"Oui","Non")</f>
        <v>Non</v>
      </c>
      <c r="L176" s="40">
        <v>4</v>
      </c>
      <c r="M176" s="40" t="s">
        <v>44</v>
      </c>
      <c r="N176" s="40">
        <v>25</v>
      </c>
      <c r="O176" s="40" t="s">
        <v>41</v>
      </c>
      <c r="P176" s="40" t="s">
        <v>41</v>
      </c>
      <c r="Q176" s="40" t="s">
        <v>44</v>
      </c>
      <c r="R176" s="40"/>
      <c r="S176" s="40"/>
      <c r="T176" s="41"/>
      <c r="U176" s="40" t="str">
        <f>IF(Donnees[[#This Row],[Abonnés]]="","",IF(Donnees[[#This Row],[Abonnés]]&lt;1000000,"1. &lt; 1 M",IF(Donnees[[#This Row],[Abonnés]]&lt;3000000,"2. 1-3 M",IF(Donnees[[#This Row],[Abonnés]]&lt;8000000,"3. 3-8 M","4. ≥ 8 M"))))</f>
        <v/>
      </c>
      <c r="V176" s="41"/>
      <c r="W176" s="41">
        <v>1200000</v>
      </c>
      <c r="X176" s="41">
        <v>453600</v>
      </c>
      <c r="Y176" s="41">
        <v>6616</v>
      </c>
      <c r="Z176" s="41">
        <v>6579</v>
      </c>
      <c r="AA176" s="42">
        <f>(Donnees[[#This Row],[Likes]]+Donnees[[#This Row],[Commentaires]]+Donnees[[#This Row],[Partages]])/Donnees[[#This Row],[Vues]]</f>
        <v>0.38899583333333332</v>
      </c>
      <c r="AB176" s="40">
        <f>IF(Donnees[[#This Row],[Engagement]]&gt;=VLOOKUP(Donnees[[#This Row],[Échantillon]],'Méthode &amp; limites'!$B$9:$D$11,2,FALSE),1,0)</f>
        <v>1</v>
      </c>
      <c r="AC176" s="43" t="str">
        <f>IF(Donnees[[#This Row],[Abonnés]]="","",Donnees[[#This Row],[Vues]]/Donnees[[#This Row],[Abonnés]])</f>
        <v/>
      </c>
      <c r="AD176" s="40" t="s">
        <v>44</v>
      </c>
      <c r="AE176" s="43">
        <f>SUMPRODUCT((Donnees[Échantillon]=Donnees[[#This Row],[Échantillon]])*(Donnees[Engagement]&lt;Donnees[[#This Row],[Engagement]]))+(SUMPRODUCT((Donnees[Échantillon]=Donnees[[#This Row],[Échantillon]])*(Donnees[Engagement]=Donnees[[#This Row],[Engagement]]))+1)/2</f>
        <v>100</v>
      </c>
      <c r="AF176" s="43">
        <f>SUMPRODUCT((Donnees[Échantillon]=Donnees[[#This Row],[Échantillon]])*(Donnees[Vues]&lt;Donnees[[#This Row],[Vues]]))+(SUMPRODUCT((Donnees[Échantillon]=Donnees[[#This Row],[Échantillon]])*(Donnees[Vues]=Donnees[[#This Row],[Vues]]))+1)/2</f>
        <v>26.5</v>
      </c>
      <c r="AG176" s="43">
        <f>SUMPRODUCT((Donnees[Échantillon]=Donnees[[#This Row],[Échantillon]])*(Donnees[Durée (s)]&lt;Donnees[[#This Row],[Durée (s)]]))+(SUMPRODUCT((Donnees[Échantillon]=Donnees[[#This Row],[Échantillon]])*(Donnees[Durée (s)]=Donnees[[#This Row],[Durée (s)]]))+1)/2</f>
        <v>11</v>
      </c>
      <c r="AH176" s="43">
        <f>SUMPRODUCT((Donnees[Échantillon]=Donnees[[#This Row],[Échantillon]])*(Donnees[Nb hashtags]&lt;Donnees[[#This Row],[Nb hashtags]]))+(SUMPRODUCT((Donnees[Échantillon]=Donnees[[#This Row],[Échantillon]])*(Donnees[Nb hashtags]=Donnees[[#This Row],[Nb hashtags]]))+1)/2</f>
        <v>84.5</v>
      </c>
      <c r="AI176" s="43">
        <f>SUMPRODUCT((Donnees[Échantillon]=Donnees[[#This Row],[Échantillon]])*(Donnees[Longueur du texte]&lt;Donnees[[#This Row],[Longueur du texte]]))+(SUMPRODUCT((Donnees[Échantillon]=Donnees[[#This Row],[Échantillon]])*(Donnees[Longueur du texte]=Donnees[[#This Row],[Longueur du texte]]))+1)/2</f>
        <v>40.5</v>
      </c>
      <c r="AJ176" s="43" t="str">
        <f>IF(Donnees[[#This Row],[Abonnés]]="","",SUMPRODUCT((Donnees[Échantillon]=Donnees[[#This Row],[Échantillon]])*(Donnees[Abonnés]&lt;Donnees[[#This Row],[Abonnés]]))+(SUMPRODUCT((Donnees[Échantillon]=Donnees[[#This Row],[Échantillon]])*(Donnees[Abonnés]=Donnees[[#This Row],[Abonnés]]))+1)/2)</f>
        <v/>
      </c>
      <c r="AK17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77" spans="1:37" x14ac:dyDescent="0.2">
      <c r="A177" s="40" t="s">
        <v>145</v>
      </c>
      <c r="B177" s="40" t="s">
        <v>215</v>
      </c>
      <c r="C177" s="40" t="s">
        <v>62</v>
      </c>
      <c r="D177" s="40">
        <v>20</v>
      </c>
      <c r="E177" s="40" t="s">
        <v>56</v>
      </c>
      <c r="F177" s="40" t="str">
        <f>IF(OR(Donnees[[#This Row],[Jour]]="samedi",Donnees[[#This Row],[Jour]]="dimanche"),"Oui","Non")</f>
        <v>Oui</v>
      </c>
      <c r="G177" s="40">
        <v>23</v>
      </c>
      <c r="H177" s="40" t="str">
        <f>IF(Donnees[[#This Row],[Heure UTC]]&lt;6,"0-5 h",IF(Donnees[[#This Row],[Heure UTC]]&lt;12,"6-11 h",IF(Donnees[[#This Row],[Heure UTC]]&lt;18,"12-17 h","18-23 h")))</f>
        <v>18-23 h</v>
      </c>
      <c r="I177" s="40">
        <v>10</v>
      </c>
      <c r="J177" s="40" t="str">
        <f>IF(Donnees[[#This Row],[Durée (s)]]&lt;=10,"1. ≤ 10 s",IF(Donnees[[#This Row],[Durée (s)]]&lt;=15,"2. 11-15 s",IF(Donnees[[#This Row],[Durée (s)]]&lt;=30,"3. 16-30 s",IF(Donnees[[#This Row],[Durée (s)]]&lt;=60,"4. 31-60 s","5. &gt; 60 s"))))</f>
        <v>1. ≤ 10 s</v>
      </c>
      <c r="K177" s="40" t="str">
        <f>IF(Donnees[[#This Row],[Durée (s)]]&gt;15,"Oui","Non")</f>
        <v>Non</v>
      </c>
      <c r="L177" s="40">
        <v>0</v>
      </c>
      <c r="M177" s="40" t="s">
        <v>41</v>
      </c>
      <c r="N177" s="40">
        <v>54</v>
      </c>
      <c r="O177" s="40" t="s">
        <v>41</v>
      </c>
      <c r="P177" s="40" t="s">
        <v>41</v>
      </c>
      <c r="Q177" s="40" t="s">
        <v>41</v>
      </c>
      <c r="R177" s="40"/>
      <c r="S177" s="40"/>
      <c r="T177" s="41"/>
      <c r="U177" s="40" t="str">
        <f>IF(Donnees[[#This Row],[Abonnés]]="","",IF(Donnees[[#This Row],[Abonnés]]&lt;1000000,"1. &lt; 1 M",IF(Donnees[[#This Row],[Abonnés]]&lt;3000000,"2. 1-3 M",IF(Donnees[[#This Row],[Abonnés]]&lt;8000000,"3. 3-8 M","4. ≥ 8 M"))))</f>
        <v/>
      </c>
      <c r="V177" s="41"/>
      <c r="W177" s="41">
        <v>1100000</v>
      </c>
      <c r="X177" s="41">
        <v>268900</v>
      </c>
      <c r="Y177" s="41">
        <v>2381</v>
      </c>
      <c r="Z177" s="41">
        <v>538</v>
      </c>
      <c r="AA177" s="42">
        <f>(Donnees[[#This Row],[Likes]]+Donnees[[#This Row],[Commentaires]]+Donnees[[#This Row],[Partages]])/Donnees[[#This Row],[Vues]]</f>
        <v>0.24710818181818181</v>
      </c>
      <c r="AB177" s="40">
        <f>IF(Donnees[[#This Row],[Engagement]]&gt;=VLOOKUP(Donnees[[#This Row],[Échantillon]],'Méthode &amp; limites'!$B$9:$D$11,2,FALSE),1,0)</f>
        <v>1</v>
      </c>
      <c r="AC177" s="43" t="str">
        <f>IF(Donnees[[#This Row],[Abonnés]]="","",Donnees[[#This Row],[Vues]]/Donnees[[#This Row],[Abonnés]])</f>
        <v/>
      </c>
      <c r="AD177" s="40" t="s">
        <v>44</v>
      </c>
      <c r="AE177" s="43">
        <f>SUMPRODUCT((Donnees[Échantillon]=Donnees[[#This Row],[Échantillon]])*(Donnees[Engagement]&lt;Donnees[[#This Row],[Engagement]]))+(SUMPRODUCT((Donnees[Échantillon]=Donnees[[#This Row],[Échantillon]])*(Donnees[Engagement]=Donnees[[#This Row],[Engagement]]))+1)/2</f>
        <v>77</v>
      </c>
      <c r="AF177" s="43">
        <f>SUMPRODUCT((Donnees[Échantillon]=Donnees[[#This Row],[Échantillon]])*(Donnees[Vues]&lt;Donnees[[#This Row],[Vues]]))+(SUMPRODUCT((Donnees[Échantillon]=Donnees[[#This Row],[Échantillon]])*(Donnees[Vues]=Donnees[[#This Row],[Vues]]))+1)/2</f>
        <v>24.5</v>
      </c>
      <c r="AG177" s="43">
        <f>SUMPRODUCT((Donnees[Échantillon]=Donnees[[#This Row],[Échantillon]])*(Donnees[Durée (s)]&lt;Donnees[[#This Row],[Durée (s)]]))+(SUMPRODUCT((Donnees[Échantillon]=Donnees[[#This Row],[Échantillon]])*(Donnees[Durée (s)]=Donnees[[#This Row],[Durée (s)]]))+1)/2</f>
        <v>11</v>
      </c>
      <c r="AH177" s="43">
        <f>SUMPRODUCT((Donnees[Échantillon]=Donnees[[#This Row],[Échantillon]])*(Donnees[Nb hashtags]&lt;Donnees[[#This Row],[Nb hashtags]]))+(SUMPRODUCT((Donnees[Échantillon]=Donnees[[#This Row],[Échantillon]])*(Donnees[Nb hashtags]=Donnees[[#This Row],[Nb hashtags]]))+1)/2</f>
        <v>18.5</v>
      </c>
      <c r="AI177" s="43">
        <f>SUMPRODUCT((Donnees[Échantillon]=Donnees[[#This Row],[Échantillon]])*(Donnees[Longueur du texte]&lt;Donnees[[#This Row],[Longueur du texte]]))+(SUMPRODUCT((Donnees[Échantillon]=Donnees[[#This Row],[Échantillon]])*(Donnees[Longueur du texte]=Donnees[[#This Row],[Longueur du texte]]))+1)/2</f>
        <v>73</v>
      </c>
      <c r="AJ177" s="43" t="str">
        <f>IF(Donnees[[#This Row],[Abonnés]]="","",SUMPRODUCT((Donnees[Échantillon]=Donnees[[#This Row],[Échantillon]])*(Donnees[Abonnés]&lt;Donnees[[#This Row],[Abonnés]]))+(SUMPRODUCT((Donnees[Échantillon]=Donnees[[#This Row],[Échantillon]])*(Donnees[Abonnés]=Donnees[[#This Row],[Abonnés]]))+1)/2)</f>
        <v/>
      </c>
      <c r="AK17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78" spans="1:37" x14ac:dyDescent="0.2">
      <c r="A178" s="40" t="s">
        <v>145</v>
      </c>
      <c r="B178" s="40" t="s">
        <v>216</v>
      </c>
      <c r="C178" s="40" t="s">
        <v>39</v>
      </c>
      <c r="D178" s="40">
        <v>73</v>
      </c>
      <c r="E178" s="40" t="s">
        <v>59</v>
      </c>
      <c r="F178" s="40" t="str">
        <f>IF(OR(Donnees[[#This Row],[Jour]]="samedi",Donnees[[#This Row],[Jour]]="dimanche"),"Oui","Non")</f>
        <v>Non</v>
      </c>
      <c r="G178" s="40">
        <v>19</v>
      </c>
      <c r="H178" s="40" t="str">
        <f>IF(Donnees[[#This Row],[Heure UTC]]&lt;6,"0-5 h",IF(Donnees[[#This Row],[Heure UTC]]&lt;12,"6-11 h",IF(Donnees[[#This Row],[Heure UTC]]&lt;18,"12-17 h","18-23 h")))</f>
        <v>18-23 h</v>
      </c>
      <c r="I178" s="40">
        <v>15</v>
      </c>
      <c r="J178" s="40" t="str">
        <f>IF(Donnees[[#This Row],[Durée (s)]]&lt;=10,"1. ≤ 10 s",IF(Donnees[[#This Row],[Durée (s)]]&lt;=15,"2. 11-15 s",IF(Donnees[[#This Row],[Durée (s)]]&lt;=30,"3. 16-30 s",IF(Donnees[[#This Row],[Durée (s)]]&lt;=60,"4. 31-60 s","5. &gt; 60 s"))))</f>
        <v>2. 11-15 s</v>
      </c>
      <c r="K178" s="40" t="str">
        <f>IF(Donnees[[#This Row],[Durée (s)]]&gt;15,"Oui","Non")</f>
        <v>Non</v>
      </c>
      <c r="L178" s="40">
        <v>0</v>
      </c>
      <c r="M178" s="40" t="s">
        <v>41</v>
      </c>
      <c r="N178" s="40">
        <v>70</v>
      </c>
      <c r="O178" s="40" t="s">
        <v>41</v>
      </c>
      <c r="P178" s="40" t="s">
        <v>41</v>
      </c>
      <c r="Q178" s="40" t="s">
        <v>41</v>
      </c>
      <c r="R178" s="40"/>
      <c r="S178" s="40"/>
      <c r="T178" s="41"/>
      <c r="U178" s="40" t="str">
        <f>IF(Donnees[[#This Row],[Abonnés]]="","",IF(Donnees[[#This Row],[Abonnés]]&lt;1000000,"1. &lt; 1 M",IF(Donnees[[#This Row],[Abonnés]]&lt;3000000,"2. 1-3 M",IF(Donnees[[#This Row],[Abonnés]]&lt;8000000,"3. 3-8 M","4. ≥ 8 M"))))</f>
        <v/>
      </c>
      <c r="V178" s="41"/>
      <c r="W178" s="41">
        <v>1100000</v>
      </c>
      <c r="X178" s="41">
        <v>38700</v>
      </c>
      <c r="Y178" s="41">
        <v>351</v>
      </c>
      <c r="Z178" s="41">
        <v>138</v>
      </c>
      <c r="AA178" s="42">
        <f>(Donnees[[#This Row],[Likes]]+Donnees[[#This Row],[Commentaires]]+Donnees[[#This Row],[Partages]])/Donnees[[#This Row],[Vues]]</f>
        <v>3.5626363636363637E-2</v>
      </c>
      <c r="AB178" s="40">
        <f>IF(Donnees[[#This Row],[Engagement]]&gt;=VLOOKUP(Donnees[[#This Row],[Échantillon]],'Méthode &amp; limites'!$B$9:$D$11,2,FALSE),1,0)</f>
        <v>0</v>
      </c>
      <c r="AC178" s="43" t="str">
        <f>IF(Donnees[[#This Row],[Abonnés]]="","",Donnees[[#This Row],[Vues]]/Donnees[[#This Row],[Abonnés]])</f>
        <v/>
      </c>
      <c r="AD178" s="40" t="s">
        <v>44</v>
      </c>
      <c r="AE178" s="43">
        <f>SUMPRODUCT((Donnees[Échantillon]=Donnees[[#This Row],[Échantillon]])*(Donnees[Engagement]&lt;Donnees[[#This Row],[Engagement]]))+(SUMPRODUCT((Donnees[Échantillon]=Donnees[[#This Row],[Échantillon]])*(Donnees[Engagement]=Donnees[[#This Row],[Engagement]]))+1)/2</f>
        <v>5</v>
      </c>
      <c r="AF178" s="43">
        <f>SUMPRODUCT((Donnees[Échantillon]=Donnees[[#This Row],[Échantillon]])*(Donnees[Vues]&lt;Donnees[[#This Row],[Vues]]))+(SUMPRODUCT((Donnees[Échantillon]=Donnees[[#This Row],[Échantillon]])*(Donnees[Vues]=Donnees[[#This Row],[Vues]]))+1)/2</f>
        <v>24.5</v>
      </c>
      <c r="AG178" s="43">
        <f>SUMPRODUCT((Donnees[Échantillon]=Donnees[[#This Row],[Échantillon]])*(Donnees[Durée (s)]&lt;Donnees[[#This Row],[Durée (s)]]))+(SUMPRODUCT((Donnees[Échantillon]=Donnees[[#This Row],[Échantillon]])*(Donnees[Durée (s)]=Donnees[[#This Row],[Durée (s)]]))+1)/2</f>
        <v>43.5</v>
      </c>
      <c r="AH178" s="43">
        <f>SUMPRODUCT((Donnees[Échantillon]=Donnees[[#This Row],[Échantillon]])*(Donnees[Nb hashtags]&lt;Donnees[[#This Row],[Nb hashtags]]))+(SUMPRODUCT((Donnees[Échantillon]=Donnees[[#This Row],[Échantillon]])*(Donnees[Nb hashtags]=Donnees[[#This Row],[Nb hashtags]]))+1)/2</f>
        <v>18.5</v>
      </c>
      <c r="AI178" s="43">
        <f>SUMPRODUCT((Donnees[Échantillon]=Donnees[[#This Row],[Échantillon]])*(Donnees[Longueur du texte]&lt;Donnees[[#This Row],[Longueur du texte]]))+(SUMPRODUCT((Donnees[Échantillon]=Donnees[[#This Row],[Échantillon]])*(Donnees[Longueur du texte]=Donnees[[#This Row],[Longueur du texte]]))+1)/2</f>
        <v>82</v>
      </c>
      <c r="AJ178" s="43" t="str">
        <f>IF(Donnees[[#This Row],[Abonnés]]="","",SUMPRODUCT((Donnees[Échantillon]=Donnees[[#This Row],[Échantillon]])*(Donnees[Abonnés]&lt;Donnees[[#This Row],[Abonnés]]))+(SUMPRODUCT((Donnees[Échantillon]=Donnees[[#This Row],[Échantillon]])*(Donnees[Abonnés]=Donnees[[#This Row],[Abonnés]]))+1)/2)</f>
        <v/>
      </c>
      <c r="AK17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79" spans="1:37" x14ac:dyDescent="0.2">
      <c r="A179" s="40" t="s">
        <v>145</v>
      </c>
      <c r="B179" s="40" t="s">
        <v>217</v>
      </c>
      <c r="C179" s="40" t="s">
        <v>39</v>
      </c>
      <c r="D179" s="40">
        <v>78</v>
      </c>
      <c r="E179" s="40" t="s">
        <v>68</v>
      </c>
      <c r="F179" s="40" t="str">
        <f>IF(OR(Donnees[[#This Row],[Jour]]="samedi",Donnees[[#This Row],[Jour]]="dimanche"),"Oui","Non")</f>
        <v>Non</v>
      </c>
      <c r="G179" s="40">
        <v>20</v>
      </c>
      <c r="H179" s="40" t="str">
        <f>IF(Donnees[[#This Row],[Heure UTC]]&lt;6,"0-5 h",IF(Donnees[[#This Row],[Heure UTC]]&lt;12,"6-11 h",IF(Donnees[[#This Row],[Heure UTC]]&lt;18,"12-17 h","18-23 h")))</f>
        <v>18-23 h</v>
      </c>
      <c r="I179" s="40">
        <v>15</v>
      </c>
      <c r="J179" s="40" t="str">
        <f>IF(Donnees[[#This Row],[Durée (s)]]&lt;=10,"1. ≤ 10 s",IF(Donnees[[#This Row],[Durée (s)]]&lt;=15,"2. 11-15 s",IF(Donnees[[#This Row],[Durée (s)]]&lt;=30,"3. 16-30 s",IF(Donnees[[#This Row],[Durée (s)]]&lt;=60,"4. 31-60 s","5. &gt; 60 s"))))</f>
        <v>2. 11-15 s</v>
      </c>
      <c r="K179" s="40" t="str">
        <f>IF(Donnees[[#This Row],[Durée (s)]]&gt;15,"Oui","Non")</f>
        <v>Non</v>
      </c>
      <c r="L179" s="40">
        <v>0</v>
      </c>
      <c r="M179" s="40" t="s">
        <v>41</v>
      </c>
      <c r="N179" s="40">
        <v>46</v>
      </c>
      <c r="O179" s="40" t="s">
        <v>41</v>
      </c>
      <c r="P179" s="40" t="s">
        <v>41</v>
      </c>
      <c r="Q179" s="40" t="s">
        <v>44</v>
      </c>
      <c r="R179" s="40"/>
      <c r="S179" s="40"/>
      <c r="T179" s="41"/>
      <c r="U179" s="40" t="str">
        <f>IF(Donnees[[#This Row],[Abonnés]]="","",IF(Donnees[[#This Row],[Abonnés]]&lt;1000000,"1. &lt; 1 M",IF(Donnees[[#This Row],[Abonnés]]&lt;3000000,"2. 1-3 M",IF(Donnees[[#This Row],[Abonnés]]&lt;8000000,"3. 3-8 M","4. ≥ 8 M"))))</f>
        <v/>
      </c>
      <c r="V179" s="41"/>
      <c r="W179" s="41">
        <v>1000000</v>
      </c>
      <c r="X179" s="41">
        <v>81200</v>
      </c>
      <c r="Y179" s="41">
        <v>2312</v>
      </c>
      <c r="Z179" s="41">
        <v>483</v>
      </c>
      <c r="AA179" s="42">
        <f>(Donnees[[#This Row],[Likes]]+Donnees[[#This Row],[Commentaires]]+Donnees[[#This Row],[Partages]])/Donnees[[#This Row],[Vues]]</f>
        <v>8.3995E-2</v>
      </c>
      <c r="AB179" s="40">
        <f>IF(Donnees[[#This Row],[Engagement]]&gt;=VLOOKUP(Donnees[[#This Row],[Échantillon]],'Méthode &amp; limites'!$B$9:$D$11,2,FALSE),1,0)</f>
        <v>0</v>
      </c>
      <c r="AC179" s="43" t="str">
        <f>IF(Donnees[[#This Row],[Abonnés]]="","",Donnees[[#This Row],[Vues]]/Donnees[[#This Row],[Abonnés]])</f>
        <v/>
      </c>
      <c r="AD179" s="40" t="s">
        <v>44</v>
      </c>
      <c r="AE179" s="43">
        <f>SUMPRODUCT((Donnees[Échantillon]=Donnees[[#This Row],[Échantillon]])*(Donnees[Engagement]&lt;Donnees[[#This Row],[Engagement]]))+(SUMPRODUCT((Donnees[Échantillon]=Donnees[[#This Row],[Échantillon]])*(Donnees[Engagement]=Donnees[[#This Row],[Engagement]]))+1)/2</f>
        <v>12</v>
      </c>
      <c r="AF179" s="43">
        <f>SUMPRODUCT((Donnees[Échantillon]=Donnees[[#This Row],[Échantillon]])*(Donnees[Vues]&lt;Donnees[[#This Row],[Vues]]))+(SUMPRODUCT((Donnees[Échantillon]=Donnees[[#This Row],[Échantillon]])*(Donnees[Vues]=Donnees[[#This Row],[Vues]]))+1)/2</f>
        <v>23</v>
      </c>
      <c r="AG179" s="43">
        <f>SUMPRODUCT((Donnees[Échantillon]=Donnees[[#This Row],[Échantillon]])*(Donnees[Durée (s)]&lt;Donnees[[#This Row],[Durée (s)]]))+(SUMPRODUCT((Donnees[Échantillon]=Donnees[[#This Row],[Échantillon]])*(Donnees[Durée (s)]=Donnees[[#This Row],[Durée (s)]]))+1)/2</f>
        <v>43.5</v>
      </c>
      <c r="AH179" s="43">
        <f>SUMPRODUCT((Donnees[Échantillon]=Donnees[[#This Row],[Échantillon]])*(Donnees[Nb hashtags]&lt;Donnees[[#This Row],[Nb hashtags]]))+(SUMPRODUCT((Donnees[Échantillon]=Donnees[[#This Row],[Échantillon]])*(Donnees[Nb hashtags]=Donnees[[#This Row],[Nb hashtags]]))+1)/2</f>
        <v>18.5</v>
      </c>
      <c r="AI179" s="43">
        <f>SUMPRODUCT((Donnees[Échantillon]=Donnees[[#This Row],[Échantillon]])*(Donnees[Longueur du texte]&lt;Donnees[[#This Row],[Longueur du texte]]))+(SUMPRODUCT((Donnees[Échantillon]=Donnees[[#This Row],[Échantillon]])*(Donnees[Longueur du texte]=Donnees[[#This Row],[Longueur du texte]]))+1)/2</f>
        <v>64</v>
      </c>
      <c r="AJ179" s="43" t="str">
        <f>IF(Donnees[[#This Row],[Abonnés]]="","",SUMPRODUCT((Donnees[Échantillon]=Donnees[[#This Row],[Échantillon]])*(Donnees[Abonnés]&lt;Donnees[[#This Row],[Abonnés]]))+(SUMPRODUCT((Donnees[Échantillon]=Donnees[[#This Row],[Échantillon]])*(Donnees[Abonnés]=Donnees[[#This Row],[Abonnés]]))+1)/2)</f>
        <v/>
      </c>
      <c r="AK17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80" spans="1:37" x14ac:dyDescent="0.2">
      <c r="A180" s="40" t="s">
        <v>145</v>
      </c>
      <c r="B180" s="40" t="s">
        <v>218</v>
      </c>
      <c r="C180" s="40" t="s">
        <v>39</v>
      </c>
      <c r="D180" s="40">
        <v>12</v>
      </c>
      <c r="E180" s="40" t="s">
        <v>71</v>
      </c>
      <c r="F180" s="40" t="str">
        <f>IF(OR(Donnees[[#This Row],[Jour]]="samedi",Donnees[[#This Row],[Jour]]="dimanche"),"Oui","Non")</f>
        <v>Non</v>
      </c>
      <c r="G180" s="40">
        <v>20</v>
      </c>
      <c r="H180" s="40" t="str">
        <f>IF(Donnees[[#This Row],[Heure UTC]]&lt;6,"0-5 h",IF(Donnees[[#This Row],[Heure UTC]]&lt;12,"6-11 h",IF(Donnees[[#This Row],[Heure UTC]]&lt;18,"12-17 h","18-23 h")))</f>
        <v>18-23 h</v>
      </c>
      <c r="I180" s="40">
        <v>46</v>
      </c>
      <c r="J180" s="40" t="str">
        <f>IF(Donnees[[#This Row],[Durée (s)]]&lt;=10,"1. ≤ 10 s",IF(Donnees[[#This Row],[Durée (s)]]&lt;=15,"2. 11-15 s",IF(Donnees[[#This Row],[Durée (s)]]&lt;=30,"3. 16-30 s",IF(Donnees[[#This Row],[Durée (s)]]&lt;=60,"4. 31-60 s","5. &gt; 60 s"))))</f>
        <v>4. 31-60 s</v>
      </c>
      <c r="K180" s="40" t="str">
        <f>IF(Donnees[[#This Row],[Durée (s)]]&gt;15,"Oui","Non")</f>
        <v>Oui</v>
      </c>
      <c r="L180" s="40">
        <v>0</v>
      </c>
      <c r="M180" s="40" t="s">
        <v>41</v>
      </c>
      <c r="N180" s="40">
        <v>133</v>
      </c>
      <c r="O180" s="40" t="s">
        <v>41</v>
      </c>
      <c r="P180" s="40" t="s">
        <v>41</v>
      </c>
      <c r="Q180" s="40" t="s">
        <v>41</v>
      </c>
      <c r="R180" s="40"/>
      <c r="S180" s="40"/>
      <c r="T180" s="41"/>
      <c r="U180" s="40" t="str">
        <f>IF(Donnees[[#This Row],[Abonnés]]="","",IF(Donnees[[#This Row],[Abonnés]]&lt;1000000,"1. &lt; 1 M",IF(Donnees[[#This Row],[Abonnés]]&lt;3000000,"2. 1-3 M",IF(Donnees[[#This Row],[Abonnés]]&lt;8000000,"3. 3-8 M","4. ≥ 8 M"))))</f>
        <v/>
      </c>
      <c r="V180" s="41"/>
      <c r="W180" s="41">
        <v>963000</v>
      </c>
      <c r="X180" s="41">
        <v>40600</v>
      </c>
      <c r="Y180" s="41">
        <v>6552</v>
      </c>
      <c r="Z180" s="41">
        <v>1765</v>
      </c>
      <c r="AA180" s="42">
        <f>(Donnees[[#This Row],[Likes]]+Donnees[[#This Row],[Commentaires]]+Donnees[[#This Row],[Partages]])/Donnees[[#This Row],[Vues]]</f>
        <v>5.0796469366562826E-2</v>
      </c>
      <c r="AB180" s="40">
        <f>IF(Donnees[[#This Row],[Engagement]]&gt;=VLOOKUP(Donnees[[#This Row],[Échantillon]],'Méthode &amp; limites'!$B$9:$D$11,2,FALSE),1,0)</f>
        <v>0</v>
      </c>
      <c r="AC180" s="43" t="str">
        <f>IF(Donnees[[#This Row],[Abonnés]]="","",Donnees[[#This Row],[Vues]]/Donnees[[#This Row],[Abonnés]])</f>
        <v/>
      </c>
      <c r="AD180" s="40" t="s">
        <v>44</v>
      </c>
      <c r="AE180" s="43">
        <f>SUMPRODUCT((Donnees[Échantillon]=Donnees[[#This Row],[Échantillon]])*(Donnees[Engagement]&lt;Donnees[[#This Row],[Engagement]]))+(SUMPRODUCT((Donnees[Échantillon]=Donnees[[#This Row],[Échantillon]])*(Donnees[Engagement]=Donnees[[#This Row],[Engagement]]))+1)/2</f>
        <v>9</v>
      </c>
      <c r="AF180" s="43">
        <f>SUMPRODUCT((Donnees[Échantillon]=Donnees[[#This Row],[Échantillon]])*(Donnees[Vues]&lt;Donnees[[#This Row],[Vues]]))+(SUMPRODUCT((Donnees[Échantillon]=Donnees[[#This Row],[Échantillon]])*(Donnees[Vues]=Donnees[[#This Row],[Vues]]))+1)/2</f>
        <v>22</v>
      </c>
      <c r="AG180" s="43">
        <f>SUMPRODUCT((Donnees[Échantillon]=Donnees[[#This Row],[Échantillon]])*(Donnees[Durée (s)]&lt;Donnees[[#This Row],[Durée (s)]]))+(SUMPRODUCT((Donnees[Échantillon]=Donnees[[#This Row],[Échantillon]])*(Donnees[Durée (s)]=Donnees[[#This Row],[Durée (s)]]))+1)/2</f>
        <v>85.5</v>
      </c>
      <c r="AH180" s="43">
        <f>SUMPRODUCT((Donnees[Échantillon]=Donnees[[#This Row],[Échantillon]])*(Donnees[Nb hashtags]&lt;Donnees[[#This Row],[Nb hashtags]]))+(SUMPRODUCT((Donnees[Échantillon]=Donnees[[#This Row],[Échantillon]])*(Donnees[Nb hashtags]=Donnees[[#This Row],[Nb hashtags]]))+1)/2</f>
        <v>18.5</v>
      </c>
      <c r="AI180" s="43">
        <f>SUMPRODUCT((Donnees[Échantillon]=Donnees[[#This Row],[Échantillon]])*(Donnees[Longueur du texte]&lt;Donnees[[#This Row],[Longueur du texte]]))+(SUMPRODUCT((Donnees[Échantillon]=Donnees[[#This Row],[Échantillon]])*(Donnees[Longueur du texte]=Donnees[[#This Row],[Longueur du texte]]))+1)/2</f>
        <v>99.5</v>
      </c>
      <c r="AJ180" s="43" t="str">
        <f>IF(Donnees[[#This Row],[Abonnés]]="","",SUMPRODUCT((Donnees[Échantillon]=Donnees[[#This Row],[Échantillon]])*(Donnees[Abonnés]&lt;Donnees[[#This Row],[Abonnés]]))+(SUMPRODUCT((Donnees[Échantillon]=Donnees[[#This Row],[Échantillon]])*(Donnees[Abonnés]=Donnees[[#This Row],[Abonnés]]))+1)/2)</f>
        <v/>
      </c>
      <c r="AK18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81" spans="1:37" x14ac:dyDescent="0.2">
      <c r="A181" s="40" t="s">
        <v>145</v>
      </c>
      <c r="B181" s="40" t="s">
        <v>219</v>
      </c>
      <c r="C181" s="40" t="s">
        <v>39</v>
      </c>
      <c r="D181" s="40">
        <v>81</v>
      </c>
      <c r="E181" s="40" t="s">
        <v>40</v>
      </c>
      <c r="F181" s="40" t="str">
        <f>IF(OR(Donnees[[#This Row],[Jour]]="samedi",Donnees[[#This Row],[Jour]]="dimanche"),"Oui","Non")</f>
        <v>Non</v>
      </c>
      <c r="G181" s="40">
        <v>0</v>
      </c>
      <c r="H181" s="40" t="str">
        <f>IF(Donnees[[#This Row],[Heure UTC]]&lt;6,"0-5 h",IF(Donnees[[#This Row],[Heure UTC]]&lt;12,"6-11 h",IF(Donnees[[#This Row],[Heure UTC]]&lt;18,"12-17 h","18-23 h")))</f>
        <v>0-5 h</v>
      </c>
      <c r="I181" s="40">
        <v>25</v>
      </c>
      <c r="J181" s="40" t="str">
        <f>IF(Donnees[[#This Row],[Durée (s)]]&lt;=10,"1. ≤ 10 s",IF(Donnees[[#This Row],[Durée (s)]]&lt;=15,"2. 11-15 s",IF(Donnees[[#This Row],[Durée (s)]]&lt;=30,"3. 16-30 s",IF(Donnees[[#This Row],[Durée (s)]]&lt;=60,"4. 31-60 s","5. &gt; 60 s"))))</f>
        <v>3. 16-30 s</v>
      </c>
      <c r="K181" s="40" t="str">
        <f>IF(Donnees[[#This Row],[Durée (s)]]&gt;15,"Oui","Non")</f>
        <v>Oui</v>
      </c>
      <c r="L181" s="40">
        <v>0</v>
      </c>
      <c r="M181" s="40" t="s">
        <v>41</v>
      </c>
      <c r="N181" s="40">
        <v>23</v>
      </c>
      <c r="O181" s="40" t="s">
        <v>41</v>
      </c>
      <c r="P181" s="40" t="s">
        <v>41</v>
      </c>
      <c r="Q181" s="40" t="s">
        <v>41</v>
      </c>
      <c r="R181" s="40"/>
      <c r="S181" s="40"/>
      <c r="T181" s="41"/>
      <c r="U181" s="40" t="str">
        <f>IF(Donnees[[#This Row],[Abonnés]]="","",IF(Donnees[[#This Row],[Abonnés]]&lt;1000000,"1. &lt; 1 M",IF(Donnees[[#This Row],[Abonnés]]&lt;3000000,"2. 1-3 M",IF(Donnees[[#This Row],[Abonnés]]&lt;8000000,"3. 3-8 M","4. ≥ 8 M"))))</f>
        <v/>
      </c>
      <c r="V181" s="41"/>
      <c r="W181" s="41">
        <v>758200</v>
      </c>
      <c r="X181" s="41">
        <v>181800</v>
      </c>
      <c r="Y181" s="41">
        <v>3222</v>
      </c>
      <c r="Z181" s="41">
        <v>17300</v>
      </c>
      <c r="AA181" s="42">
        <f>(Donnees[[#This Row],[Likes]]+Donnees[[#This Row],[Commentaires]]+Donnees[[#This Row],[Partages]])/Donnees[[#This Row],[Vues]]</f>
        <v>0.26684515958849908</v>
      </c>
      <c r="AB181" s="40">
        <f>IF(Donnees[[#This Row],[Engagement]]&gt;=VLOOKUP(Donnees[[#This Row],[Échantillon]],'Méthode &amp; limites'!$B$9:$D$11,2,FALSE),1,0)</f>
        <v>1</v>
      </c>
      <c r="AC181" s="43" t="str">
        <f>IF(Donnees[[#This Row],[Abonnés]]="","",Donnees[[#This Row],[Vues]]/Donnees[[#This Row],[Abonnés]])</f>
        <v/>
      </c>
      <c r="AD181" s="40" t="s">
        <v>44</v>
      </c>
      <c r="AE181" s="43">
        <f>SUMPRODUCT((Donnees[Échantillon]=Donnees[[#This Row],[Échantillon]])*(Donnees[Engagement]&lt;Donnees[[#This Row],[Engagement]]))+(SUMPRODUCT((Donnees[Échantillon]=Donnees[[#This Row],[Échantillon]])*(Donnees[Engagement]=Donnees[[#This Row],[Engagement]]))+1)/2</f>
        <v>87</v>
      </c>
      <c r="AF181" s="43">
        <f>SUMPRODUCT((Donnees[Échantillon]=Donnees[[#This Row],[Échantillon]])*(Donnees[Vues]&lt;Donnees[[#This Row],[Vues]]))+(SUMPRODUCT((Donnees[Échantillon]=Donnees[[#This Row],[Échantillon]])*(Donnees[Vues]=Donnees[[#This Row],[Vues]]))+1)/2</f>
        <v>21</v>
      </c>
      <c r="AG181" s="43">
        <f>SUMPRODUCT((Donnees[Échantillon]=Donnees[[#This Row],[Échantillon]])*(Donnees[Durée (s)]&lt;Donnees[[#This Row],[Durée (s)]]))+(SUMPRODUCT((Donnees[Échantillon]=Donnees[[#This Row],[Échantillon]])*(Donnees[Durée (s)]=Donnees[[#This Row],[Durée (s)]]))+1)/2</f>
        <v>67.5</v>
      </c>
      <c r="AH181" s="43">
        <f>SUMPRODUCT((Donnees[Échantillon]=Donnees[[#This Row],[Échantillon]])*(Donnees[Nb hashtags]&lt;Donnees[[#This Row],[Nb hashtags]]))+(SUMPRODUCT((Donnees[Échantillon]=Donnees[[#This Row],[Échantillon]])*(Donnees[Nb hashtags]=Donnees[[#This Row],[Nb hashtags]]))+1)/2</f>
        <v>18.5</v>
      </c>
      <c r="AI181" s="43">
        <f>SUMPRODUCT((Donnees[Échantillon]=Donnees[[#This Row],[Échantillon]])*(Donnees[Longueur du texte]&lt;Donnees[[#This Row],[Longueur du texte]]))+(SUMPRODUCT((Donnees[Échantillon]=Donnees[[#This Row],[Échantillon]])*(Donnees[Longueur du texte]=Donnees[[#This Row],[Longueur du texte]]))+1)/2</f>
        <v>35.5</v>
      </c>
      <c r="AJ181" s="43" t="str">
        <f>IF(Donnees[[#This Row],[Abonnés]]="","",SUMPRODUCT((Donnees[Échantillon]=Donnees[[#This Row],[Échantillon]])*(Donnees[Abonnés]&lt;Donnees[[#This Row],[Abonnés]]))+(SUMPRODUCT((Donnees[Échantillon]=Donnees[[#This Row],[Échantillon]])*(Donnees[Abonnés]=Donnees[[#This Row],[Abonnés]]))+1)/2)</f>
        <v/>
      </c>
      <c r="AK18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82" spans="1:37" x14ac:dyDescent="0.2">
      <c r="A182" s="40" t="s">
        <v>145</v>
      </c>
      <c r="B182" s="40" t="s">
        <v>220</v>
      </c>
      <c r="C182" s="40" t="s">
        <v>46</v>
      </c>
      <c r="D182" s="40">
        <v>17</v>
      </c>
      <c r="E182" s="40" t="s">
        <v>59</v>
      </c>
      <c r="F182" s="40" t="str">
        <f>IF(OR(Donnees[[#This Row],[Jour]]="samedi",Donnees[[#This Row],[Jour]]="dimanche"),"Oui","Non")</f>
        <v>Non</v>
      </c>
      <c r="G182" s="40">
        <v>13</v>
      </c>
      <c r="H182" s="40" t="str">
        <f>IF(Donnees[[#This Row],[Heure UTC]]&lt;6,"0-5 h",IF(Donnees[[#This Row],[Heure UTC]]&lt;12,"6-11 h",IF(Donnees[[#This Row],[Heure UTC]]&lt;18,"12-17 h","18-23 h")))</f>
        <v>12-17 h</v>
      </c>
      <c r="I182" s="40">
        <v>129</v>
      </c>
      <c r="J182" s="40" t="str">
        <f>IF(Donnees[[#This Row],[Durée (s)]]&lt;=10,"1. ≤ 10 s",IF(Donnees[[#This Row],[Durée (s)]]&lt;=15,"2. 11-15 s",IF(Donnees[[#This Row],[Durée (s)]]&lt;=30,"3. 16-30 s",IF(Donnees[[#This Row],[Durée (s)]]&lt;=60,"4. 31-60 s","5. &gt; 60 s"))))</f>
        <v>5. &gt; 60 s</v>
      </c>
      <c r="K182" s="40" t="str">
        <f>IF(Donnees[[#This Row],[Durée (s)]]&gt;15,"Oui","Non")</f>
        <v>Oui</v>
      </c>
      <c r="L182" s="40">
        <v>1</v>
      </c>
      <c r="M182" s="40" t="s">
        <v>41</v>
      </c>
      <c r="N182" s="40">
        <v>89</v>
      </c>
      <c r="O182" s="40" t="s">
        <v>41</v>
      </c>
      <c r="P182" s="40" t="s">
        <v>44</v>
      </c>
      <c r="Q182" s="40" t="s">
        <v>41</v>
      </c>
      <c r="R182" s="40"/>
      <c r="S182" s="40"/>
      <c r="T182" s="41"/>
      <c r="U182" s="40" t="str">
        <f>IF(Donnees[[#This Row],[Abonnés]]="","",IF(Donnees[[#This Row],[Abonnés]]&lt;1000000,"1. &lt; 1 M",IF(Donnees[[#This Row],[Abonnés]]&lt;3000000,"2. 1-3 M",IF(Donnees[[#This Row],[Abonnés]]&lt;8000000,"3. 3-8 M","4. ≥ 8 M"))))</f>
        <v/>
      </c>
      <c r="V182" s="41"/>
      <c r="W182" s="41">
        <v>686300</v>
      </c>
      <c r="X182" s="41">
        <v>136200</v>
      </c>
      <c r="Y182" s="41">
        <v>1569</v>
      </c>
      <c r="Z182" s="41">
        <v>3385</v>
      </c>
      <c r="AA182" s="42">
        <f>(Donnees[[#This Row],[Likes]]+Donnees[[#This Row],[Commentaires]]+Donnees[[#This Row],[Partages]])/Donnees[[#This Row],[Vues]]</f>
        <v>0.20567390354072562</v>
      </c>
      <c r="AB182" s="40">
        <f>IF(Donnees[[#This Row],[Engagement]]&gt;=VLOOKUP(Donnees[[#This Row],[Échantillon]],'Méthode &amp; limites'!$B$9:$D$11,2,FALSE),1,0)</f>
        <v>0</v>
      </c>
      <c r="AC182" s="43" t="str">
        <f>IF(Donnees[[#This Row],[Abonnés]]="","",Donnees[[#This Row],[Vues]]/Donnees[[#This Row],[Abonnés]])</f>
        <v/>
      </c>
      <c r="AD182" s="40" t="s">
        <v>44</v>
      </c>
      <c r="AE182" s="43">
        <f>SUMPRODUCT((Donnees[Échantillon]=Donnees[[#This Row],[Échantillon]])*(Donnees[Engagement]&lt;Donnees[[#This Row],[Engagement]]))+(SUMPRODUCT((Donnees[Échantillon]=Donnees[[#This Row],[Échantillon]])*(Donnees[Engagement]=Donnees[[#This Row],[Engagement]]))+1)/2</f>
        <v>60</v>
      </c>
      <c r="AF182" s="43">
        <f>SUMPRODUCT((Donnees[Échantillon]=Donnees[[#This Row],[Échantillon]])*(Donnees[Vues]&lt;Donnees[[#This Row],[Vues]]))+(SUMPRODUCT((Donnees[Échantillon]=Donnees[[#This Row],[Échantillon]])*(Donnees[Vues]=Donnees[[#This Row],[Vues]]))+1)/2</f>
        <v>20</v>
      </c>
      <c r="AG182" s="43">
        <f>SUMPRODUCT((Donnees[Échantillon]=Donnees[[#This Row],[Échantillon]])*(Donnees[Durée (s)]&lt;Donnees[[#This Row],[Durée (s)]]))+(SUMPRODUCT((Donnees[Échantillon]=Donnees[[#This Row],[Échantillon]])*(Donnees[Durée (s)]=Donnees[[#This Row],[Durée (s)]]))+1)/2</f>
        <v>99.5</v>
      </c>
      <c r="AH182" s="43">
        <f>SUMPRODUCT((Donnees[Échantillon]=Donnees[[#This Row],[Échantillon]])*(Donnees[Nb hashtags]&lt;Donnees[[#This Row],[Nb hashtags]]))+(SUMPRODUCT((Donnees[Échantillon]=Donnees[[#This Row],[Échantillon]])*(Donnees[Nb hashtags]=Donnees[[#This Row],[Nb hashtags]]))+1)/2</f>
        <v>45.5</v>
      </c>
      <c r="AI182" s="43">
        <f>SUMPRODUCT((Donnees[Échantillon]=Donnees[[#This Row],[Échantillon]])*(Donnees[Longueur du texte]&lt;Donnees[[#This Row],[Longueur du texte]]))+(SUMPRODUCT((Donnees[Échantillon]=Donnees[[#This Row],[Échantillon]])*(Donnees[Longueur du texte]=Donnees[[#This Row],[Longueur du texte]]))+1)/2</f>
        <v>90</v>
      </c>
      <c r="AJ182" s="43" t="str">
        <f>IF(Donnees[[#This Row],[Abonnés]]="","",SUMPRODUCT((Donnees[Échantillon]=Donnees[[#This Row],[Échantillon]])*(Donnees[Abonnés]&lt;Donnees[[#This Row],[Abonnés]]))+(SUMPRODUCT((Donnees[Échantillon]=Donnees[[#This Row],[Échantillon]])*(Donnees[Abonnés]=Donnees[[#This Row],[Abonnés]]))+1)/2)</f>
        <v/>
      </c>
      <c r="AK18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83" spans="1:37" x14ac:dyDescent="0.2">
      <c r="A183" s="40" t="s">
        <v>145</v>
      </c>
      <c r="B183" s="40" t="s">
        <v>221</v>
      </c>
      <c r="C183" s="40" t="s">
        <v>39</v>
      </c>
      <c r="D183" s="40">
        <v>81</v>
      </c>
      <c r="E183" s="40" t="s">
        <v>40</v>
      </c>
      <c r="F183" s="40" t="str">
        <f>IF(OR(Donnees[[#This Row],[Jour]]="samedi",Donnees[[#This Row],[Jour]]="dimanche"),"Oui","Non")</f>
        <v>Non</v>
      </c>
      <c r="G183" s="40">
        <v>0</v>
      </c>
      <c r="H183" s="40" t="str">
        <f>IF(Donnees[[#This Row],[Heure UTC]]&lt;6,"0-5 h",IF(Donnees[[#This Row],[Heure UTC]]&lt;12,"6-11 h",IF(Donnees[[#This Row],[Heure UTC]]&lt;18,"12-17 h","18-23 h")))</f>
        <v>0-5 h</v>
      </c>
      <c r="I183" s="40">
        <v>25</v>
      </c>
      <c r="J183" s="40" t="str">
        <f>IF(Donnees[[#This Row],[Durée (s)]]&lt;=10,"1. ≤ 10 s",IF(Donnees[[#This Row],[Durée (s)]]&lt;=15,"2. 11-15 s",IF(Donnees[[#This Row],[Durée (s)]]&lt;=30,"3. 16-30 s",IF(Donnees[[#This Row],[Durée (s)]]&lt;=60,"4. 31-60 s","5. &gt; 60 s"))))</f>
        <v>3. 16-30 s</v>
      </c>
      <c r="K183" s="40" t="str">
        <f>IF(Donnees[[#This Row],[Durée (s)]]&gt;15,"Oui","Non")</f>
        <v>Oui</v>
      </c>
      <c r="L183" s="40">
        <v>0</v>
      </c>
      <c r="M183" s="40" t="s">
        <v>41</v>
      </c>
      <c r="N183" s="40">
        <v>20</v>
      </c>
      <c r="O183" s="40" t="s">
        <v>41</v>
      </c>
      <c r="P183" s="40" t="s">
        <v>41</v>
      </c>
      <c r="Q183" s="40" t="s">
        <v>41</v>
      </c>
      <c r="R183" s="40"/>
      <c r="S183" s="40"/>
      <c r="T183" s="41"/>
      <c r="U183" s="40" t="str">
        <f>IF(Donnees[[#This Row],[Abonnés]]="","",IF(Donnees[[#This Row],[Abonnés]]&lt;1000000,"1. &lt; 1 M",IF(Donnees[[#This Row],[Abonnés]]&lt;3000000,"2. 1-3 M",IF(Donnees[[#This Row],[Abonnés]]&lt;8000000,"3. 3-8 M","4. ≥ 8 M"))))</f>
        <v/>
      </c>
      <c r="V183" s="41"/>
      <c r="W183" s="41">
        <v>630000</v>
      </c>
      <c r="X183" s="41">
        <v>58300</v>
      </c>
      <c r="Y183" s="41">
        <v>1322</v>
      </c>
      <c r="Z183" s="41">
        <v>766</v>
      </c>
      <c r="AA183" s="42">
        <f>(Donnees[[#This Row],[Likes]]+Donnees[[#This Row],[Commentaires]]+Donnees[[#This Row],[Partages]])/Donnees[[#This Row],[Vues]]</f>
        <v>9.5853968253968261E-2</v>
      </c>
      <c r="AB183" s="40">
        <f>IF(Donnees[[#This Row],[Engagement]]&gt;=VLOOKUP(Donnees[[#This Row],[Échantillon]],'Méthode &amp; limites'!$B$9:$D$11,2,FALSE),1,0)</f>
        <v>0</v>
      </c>
      <c r="AC183" s="43" t="str">
        <f>IF(Donnees[[#This Row],[Abonnés]]="","",Donnees[[#This Row],[Vues]]/Donnees[[#This Row],[Abonnés]])</f>
        <v/>
      </c>
      <c r="AD183" s="40" t="s">
        <v>44</v>
      </c>
      <c r="AE183" s="43">
        <f>SUMPRODUCT((Donnees[Échantillon]=Donnees[[#This Row],[Échantillon]])*(Donnees[Engagement]&lt;Donnees[[#This Row],[Engagement]]))+(SUMPRODUCT((Donnees[Échantillon]=Donnees[[#This Row],[Échantillon]])*(Donnees[Engagement]=Donnees[[#This Row],[Engagement]]))+1)/2</f>
        <v>19</v>
      </c>
      <c r="AF183" s="43">
        <f>SUMPRODUCT((Donnees[Échantillon]=Donnees[[#This Row],[Échantillon]])*(Donnees[Vues]&lt;Donnees[[#This Row],[Vues]]))+(SUMPRODUCT((Donnees[Échantillon]=Donnees[[#This Row],[Échantillon]])*(Donnees[Vues]=Donnees[[#This Row],[Vues]]))+1)/2</f>
        <v>19</v>
      </c>
      <c r="AG183" s="43">
        <f>SUMPRODUCT((Donnees[Échantillon]=Donnees[[#This Row],[Échantillon]])*(Donnees[Durée (s)]&lt;Donnees[[#This Row],[Durée (s)]]))+(SUMPRODUCT((Donnees[Échantillon]=Donnees[[#This Row],[Échantillon]])*(Donnees[Durée (s)]=Donnees[[#This Row],[Durée (s)]]))+1)/2</f>
        <v>67.5</v>
      </c>
      <c r="AH183" s="43">
        <f>SUMPRODUCT((Donnees[Échantillon]=Donnees[[#This Row],[Échantillon]])*(Donnees[Nb hashtags]&lt;Donnees[[#This Row],[Nb hashtags]]))+(SUMPRODUCT((Donnees[Échantillon]=Donnees[[#This Row],[Échantillon]])*(Donnees[Nb hashtags]=Donnees[[#This Row],[Nb hashtags]]))+1)/2</f>
        <v>18.5</v>
      </c>
      <c r="AI183" s="43">
        <f>SUMPRODUCT((Donnees[Échantillon]=Donnees[[#This Row],[Échantillon]])*(Donnees[Longueur du texte]&lt;Donnees[[#This Row],[Longueur du texte]]))+(SUMPRODUCT((Donnees[Échantillon]=Donnees[[#This Row],[Échantillon]])*(Donnees[Longueur du texte]=Donnees[[#This Row],[Longueur du texte]]))+1)/2</f>
        <v>32</v>
      </c>
      <c r="AJ183" s="43" t="str">
        <f>IF(Donnees[[#This Row],[Abonnés]]="","",SUMPRODUCT((Donnees[Échantillon]=Donnees[[#This Row],[Échantillon]])*(Donnees[Abonnés]&lt;Donnees[[#This Row],[Abonnés]]))+(SUMPRODUCT((Donnees[Échantillon]=Donnees[[#This Row],[Échantillon]])*(Donnees[Abonnés]=Donnees[[#This Row],[Abonnés]]))+1)/2)</f>
        <v/>
      </c>
      <c r="AK18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84" spans="1:37" x14ac:dyDescent="0.2">
      <c r="A184" s="40" t="s">
        <v>145</v>
      </c>
      <c r="B184" s="40" t="s">
        <v>222</v>
      </c>
      <c r="C184" s="40" t="s">
        <v>39</v>
      </c>
      <c r="D184" s="40">
        <v>11</v>
      </c>
      <c r="E184" s="40" t="s">
        <v>40</v>
      </c>
      <c r="F184" s="40" t="str">
        <f>IF(OR(Donnees[[#This Row],[Jour]]="samedi",Donnees[[#This Row],[Jour]]="dimanche"),"Oui","Non")</f>
        <v>Non</v>
      </c>
      <c r="G184" s="40">
        <v>19</v>
      </c>
      <c r="H184" s="40" t="str">
        <f>IF(Donnees[[#This Row],[Heure UTC]]&lt;6,"0-5 h",IF(Donnees[[#This Row],[Heure UTC]]&lt;12,"6-11 h",IF(Donnees[[#This Row],[Heure UTC]]&lt;18,"12-17 h","18-23 h")))</f>
        <v>18-23 h</v>
      </c>
      <c r="I184" s="40">
        <v>30</v>
      </c>
      <c r="J184" s="40" t="str">
        <f>IF(Donnees[[#This Row],[Durée (s)]]&lt;=10,"1. ≤ 10 s",IF(Donnees[[#This Row],[Durée (s)]]&lt;=15,"2. 11-15 s",IF(Donnees[[#This Row],[Durée (s)]]&lt;=30,"3. 16-30 s",IF(Donnees[[#This Row],[Durée (s)]]&lt;=60,"4. 31-60 s","5. &gt; 60 s"))))</f>
        <v>3. 16-30 s</v>
      </c>
      <c r="K184" s="40" t="str">
        <f>IF(Donnees[[#This Row],[Durée (s)]]&gt;15,"Oui","Non")</f>
        <v>Oui</v>
      </c>
      <c r="L184" s="40">
        <v>3</v>
      </c>
      <c r="M184" s="40" t="s">
        <v>41</v>
      </c>
      <c r="N184" s="40">
        <v>18</v>
      </c>
      <c r="O184" s="40" t="s">
        <v>41</v>
      </c>
      <c r="P184" s="40" t="s">
        <v>44</v>
      </c>
      <c r="Q184" s="40" t="s">
        <v>41</v>
      </c>
      <c r="R184" s="40"/>
      <c r="S184" s="40"/>
      <c r="T184" s="41"/>
      <c r="U184" s="40" t="str">
        <f>IF(Donnees[[#This Row],[Abonnés]]="","",IF(Donnees[[#This Row],[Abonnés]]&lt;1000000,"1. &lt; 1 M",IF(Donnees[[#This Row],[Abonnés]]&lt;3000000,"2. 1-3 M",IF(Donnees[[#This Row],[Abonnés]]&lt;8000000,"3. 3-8 M","4. ≥ 8 M"))))</f>
        <v/>
      </c>
      <c r="V184" s="41"/>
      <c r="W184" s="41">
        <v>620100</v>
      </c>
      <c r="X184" s="41">
        <v>46400</v>
      </c>
      <c r="Y184" s="41">
        <v>413</v>
      </c>
      <c r="Z184" s="41">
        <v>2578</v>
      </c>
      <c r="AA184" s="42">
        <f>(Donnees[[#This Row],[Likes]]+Donnees[[#This Row],[Commentaires]]+Donnees[[#This Row],[Partages]])/Donnees[[#This Row],[Vues]]</f>
        <v>7.9650056442509276E-2</v>
      </c>
      <c r="AB184" s="40">
        <f>IF(Donnees[[#This Row],[Engagement]]&gt;=VLOOKUP(Donnees[[#This Row],[Échantillon]],'Méthode &amp; limites'!$B$9:$D$11,2,FALSE),1,0)</f>
        <v>0</v>
      </c>
      <c r="AC184" s="43" t="str">
        <f>IF(Donnees[[#This Row],[Abonnés]]="","",Donnees[[#This Row],[Vues]]/Donnees[[#This Row],[Abonnés]])</f>
        <v/>
      </c>
      <c r="AD184" s="40" t="s">
        <v>44</v>
      </c>
      <c r="AE184" s="43">
        <f>SUMPRODUCT((Donnees[Échantillon]=Donnees[[#This Row],[Échantillon]])*(Donnees[Engagement]&lt;Donnees[[#This Row],[Engagement]]))+(SUMPRODUCT((Donnees[Échantillon]=Donnees[[#This Row],[Échantillon]])*(Donnees[Engagement]=Donnees[[#This Row],[Engagement]]))+1)/2</f>
        <v>10</v>
      </c>
      <c r="AF184" s="43">
        <f>SUMPRODUCT((Donnees[Échantillon]=Donnees[[#This Row],[Échantillon]])*(Donnees[Vues]&lt;Donnees[[#This Row],[Vues]]))+(SUMPRODUCT((Donnees[Échantillon]=Donnees[[#This Row],[Échantillon]])*(Donnees[Vues]=Donnees[[#This Row],[Vues]]))+1)/2</f>
        <v>18</v>
      </c>
      <c r="AG184" s="43">
        <f>SUMPRODUCT((Donnees[Échantillon]=Donnees[[#This Row],[Échantillon]])*(Donnees[Durée (s)]&lt;Donnees[[#This Row],[Durée (s)]]))+(SUMPRODUCT((Donnees[Échantillon]=Donnees[[#This Row],[Échantillon]])*(Donnees[Durée (s)]=Donnees[[#This Row],[Durée (s)]]))+1)/2</f>
        <v>73.5</v>
      </c>
      <c r="AH184" s="43">
        <f>SUMPRODUCT((Donnees[Échantillon]=Donnees[[#This Row],[Échantillon]])*(Donnees[Nb hashtags]&lt;Donnees[[#This Row],[Nb hashtags]]))+(SUMPRODUCT((Donnees[Échantillon]=Donnees[[#This Row],[Échantillon]])*(Donnees[Nb hashtags]=Donnees[[#This Row],[Nb hashtags]]))+1)/2</f>
        <v>74</v>
      </c>
      <c r="AI184" s="43">
        <f>SUMPRODUCT((Donnees[Échantillon]=Donnees[[#This Row],[Échantillon]])*(Donnees[Longueur du texte]&lt;Donnees[[#This Row],[Longueur du texte]]))+(SUMPRODUCT((Donnees[Échantillon]=Donnees[[#This Row],[Échantillon]])*(Donnees[Longueur du texte]=Donnees[[#This Row],[Longueur du texte]]))+1)/2</f>
        <v>26</v>
      </c>
      <c r="AJ184" s="43" t="str">
        <f>IF(Donnees[[#This Row],[Abonnés]]="","",SUMPRODUCT((Donnees[Échantillon]=Donnees[[#This Row],[Échantillon]])*(Donnees[Abonnés]&lt;Donnees[[#This Row],[Abonnés]]))+(SUMPRODUCT((Donnees[Échantillon]=Donnees[[#This Row],[Échantillon]])*(Donnees[Abonnés]=Donnees[[#This Row],[Abonnés]]))+1)/2)</f>
        <v/>
      </c>
      <c r="AK18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85" spans="1:37" x14ac:dyDescent="0.2">
      <c r="A185" s="40" t="s">
        <v>145</v>
      </c>
      <c r="B185" s="40" t="s">
        <v>223</v>
      </c>
      <c r="C185" s="40" t="s">
        <v>62</v>
      </c>
      <c r="D185" s="40">
        <v>2</v>
      </c>
      <c r="E185" s="40" t="s">
        <v>47</v>
      </c>
      <c r="F185" s="40" t="str">
        <f>IF(OR(Donnees[[#This Row],[Jour]]="samedi",Donnees[[#This Row],[Jour]]="dimanche"),"Oui","Non")</f>
        <v>Non</v>
      </c>
      <c r="G185" s="40">
        <v>2</v>
      </c>
      <c r="H185" s="40" t="str">
        <f>IF(Donnees[[#This Row],[Heure UTC]]&lt;6,"0-5 h",IF(Donnees[[#This Row],[Heure UTC]]&lt;12,"6-11 h",IF(Donnees[[#This Row],[Heure UTC]]&lt;18,"12-17 h","18-23 h")))</f>
        <v>0-5 h</v>
      </c>
      <c r="I185" s="40">
        <v>70</v>
      </c>
      <c r="J185" s="40" t="str">
        <f>IF(Donnees[[#This Row],[Durée (s)]]&lt;=10,"1. ≤ 10 s",IF(Donnees[[#This Row],[Durée (s)]]&lt;=15,"2. 11-15 s",IF(Donnees[[#This Row],[Durée (s)]]&lt;=30,"3. 16-30 s",IF(Donnees[[#This Row],[Durée (s)]]&lt;=60,"4. 31-60 s","5. &gt; 60 s"))))</f>
        <v>5. &gt; 60 s</v>
      </c>
      <c r="K185" s="40" t="str">
        <f>IF(Donnees[[#This Row],[Durée (s)]]&gt;15,"Oui","Non")</f>
        <v>Oui</v>
      </c>
      <c r="L185" s="40">
        <v>5</v>
      </c>
      <c r="M185" s="40" t="s">
        <v>41</v>
      </c>
      <c r="N185" s="40">
        <v>34</v>
      </c>
      <c r="O185" s="40" t="s">
        <v>41</v>
      </c>
      <c r="P185" s="40" t="s">
        <v>41</v>
      </c>
      <c r="Q185" s="40" t="s">
        <v>41</v>
      </c>
      <c r="R185" s="40"/>
      <c r="S185" s="40"/>
      <c r="T185" s="41"/>
      <c r="U185" s="40" t="str">
        <f>IF(Donnees[[#This Row],[Abonnés]]="","",IF(Donnees[[#This Row],[Abonnés]]&lt;1000000,"1. &lt; 1 M",IF(Donnees[[#This Row],[Abonnés]]&lt;3000000,"2. 1-3 M",IF(Donnees[[#This Row],[Abonnés]]&lt;8000000,"3. 3-8 M","4. ≥ 8 M"))))</f>
        <v/>
      </c>
      <c r="V185" s="41"/>
      <c r="W185" s="41">
        <v>574900</v>
      </c>
      <c r="X185" s="41">
        <v>143500</v>
      </c>
      <c r="Y185" s="41">
        <v>1549</v>
      </c>
      <c r="Z185" s="41">
        <v>3832</v>
      </c>
      <c r="AA185" s="42">
        <f>(Donnees[[#This Row],[Likes]]+Donnees[[#This Row],[Commentaires]]+Donnees[[#This Row],[Partages]])/Donnees[[#This Row],[Vues]]</f>
        <v>0.25896851626369805</v>
      </c>
      <c r="AB185" s="40">
        <f>IF(Donnees[[#This Row],[Engagement]]&gt;=VLOOKUP(Donnees[[#This Row],[Échantillon]],'Méthode &amp; limites'!$B$9:$D$11,2,FALSE),1,0)</f>
        <v>1</v>
      </c>
      <c r="AC185" s="43" t="str">
        <f>IF(Donnees[[#This Row],[Abonnés]]="","",Donnees[[#This Row],[Vues]]/Donnees[[#This Row],[Abonnés]])</f>
        <v/>
      </c>
      <c r="AD185" s="40" t="s">
        <v>44</v>
      </c>
      <c r="AE185" s="43">
        <f>SUMPRODUCT((Donnees[Échantillon]=Donnees[[#This Row],[Échantillon]])*(Donnees[Engagement]&lt;Donnees[[#This Row],[Engagement]]))+(SUMPRODUCT((Donnees[Échantillon]=Donnees[[#This Row],[Échantillon]])*(Donnees[Engagement]=Donnees[[#This Row],[Engagement]]))+1)/2</f>
        <v>83</v>
      </c>
      <c r="AF185" s="43">
        <f>SUMPRODUCT((Donnees[Échantillon]=Donnees[[#This Row],[Échantillon]])*(Donnees[Vues]&lt;Donnees[[#This Row],[Vues]]))+(SUMPRODUCT((Donnees[Échantillon]=Donnees[[#This Row],[Échantillon]])*(Donnees[Vues]=Donnees[[#This Row],[Vues]]))+1)/2</f>
        <v>17</v>
      </c>
      <c r="AG185" s="43">
        <f>SUMPRODUCT((Donnees[Échantillon]=Donnees[[#This Row],[Échantillon]])*(Donnees[Durée (s)]&lt;Donnees[[#This Row],[Durée (s)]]))+(SUMPRODUCT((Donnees[Échantillon]=Donnees[[#This Row],[Échantillon]])*(Donnees[Durée (s)]=Donnees[[#This Row],[Durée (s)]]))+1)/2</f>
        <v>97.5</v>
      </c>
      <c r="AH185" s="43">
        <f>SUMPRODUCT((Donnees[Échantillon]=Donnees[[#This Row],[Échantillon]])*(Donnees[Nb hashtags]&lt;Donnees[[#This Row],[Nb hashtags]]))+(SUMPRODUCT((Donnees[Échantillon]=Donnees[[#This Row],[Échantillon]])*(Donnees[Nb hashtags]=Donnees[[#This Row],[Nb hashtags]]))+1)/2</f>
        <v>90.5</v>
      </c>
      <c r="AI185" s="43">
        <f>SUMPRODUCT((Donnees[Échantillon]=Donnees[[#This Row],[Échantillon]])*(Donnees[Longueur du texte]&lt;Donnees[[#This Row],[Longueur du texte]]))+(SUMPRODUCT((Donnees[Échantillon]=Donnees[[#This Row],[Échantillon]])*(Donnees[Longueur du texte]=Donnees[[#This Row],[Longueur du texte]]))+1)/2</f>
        <v>50</v>
      </c>
      <c r="AJ185" s="43" t="str">
        <f>IF(Donnees[[#This Row],[Abonnés]]="","",SUMPRODUCT((Donnees[Échantillon]=Donnees[[#This Row],[Échantillon]])*(Donnees[Abonnés]&lt;Donnees[[#This Row],[Abonnés]]))+(SUMPRODUCT((Donnees[Échantillon]=Donnees[[#This Row],[Échantillon]])*(Donnees[Abonnés]=Donnees[[#This Row],[Abonnés]]))+1)/2)</f>
        <v/>
      </c>
      <c r="AK18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86" spans="1:37" x14ac:dyDescent="0.2">
      <c r="A186" s="40" t="s">
        <v>145</v>
      </c>
      <c r="B186" s="40" t="s">
        <v>224</v>
      </c>
      <c r="C186" s="40" t="s">
        <v>39</v>
      </c>
      <c r="D186" s="40">
        <v>60</v>
      </c>
      <c r="E186" s="40" t="s">
        <v>40</v>
      </c>
      <c r="F186" s="40" t="str">
        <f>IF(OR(Donnees[[#This Row],[Jour]]="samedi",Donnees[[#This Row],[Jour]]="dimanche"),"Oui","Non")</f>
        <v>Non</v>
      </c>
      <c r="G186" s="40">
        <v>19</v>
      </c>
      <c r="H186" s="40" t="str">
        <f>IF(Donnees[[#This Row],[Heure UTC]]&lt;6,"0-5 h",IF(Donnees[[#This Row],[Heure UTC]]&lt;12,"6-11 h",IF(Donnees[[#This Row],[Heure UTC]]&lt;18,"12-17 h","18-23 h")))</f>
        <v>18-23 h</v>
      </c>
      <c r="I186" s="40">
        <v>15</v>
      </c>
      <c r="J186" s="40" t="str">
        <f>IF(Donnees[[#This Row],[Durée (s)]]&lt;=10,"1. ≤ 10 s",IF(Donnees[[#This Row],[Durée (s)]]&lt;=15,"2. 11-15 s",IF(Donnees[[#This Row],[Durée (s)]]&lt;=30,"3. 16-30 s",IF(Donnees[[#This Row],[Durée (s)]]&lt;=60,"4. 31-60 s","5. &gt; 60 s"))))</f>
        <v>2. 11-15 s</v>
      </c>
      <c r="K186" s="40" t="str">
        <f>IF(Donnees[[#This Row],[Durée (s)]]&gt;15,"Oui","Non")</f>
        <v>Non</v>
      </c>
      <c r="L186" s="40">
        <v>2</v>
      </c>
      <c r="M186" s="40" t="s">
        <v>41</v>
      </c>
      <c r="N186" s="40">
        <v>115</v>
      </c>
      <c r="O186" s="40" t="s">
        <v>41</v>
      </c>
      <c r="P186" s="40" t="s">
        <v>44</v>
      </c>
      <c r="Q186" s="40" t="s">
        <v>41</v>
      </c>
      <c r="R186" s="40"/>
      <c r="S186" s="40"/>
      <c r="T186" s="41"/>
      <c r="U186" s="40" t="str">
        <f>IF(Donnees[[#This Row],[Abonnés]]="","",IF(Donnees[[#This Row],[Abonnés]]&lt;1000000,"1. &lt; 1 M",IF(Donnees[[#This Row],[Abonnés]]&lt;3000000,"2. 1-3 M",IF(Donnees[[#This Row],[Abonnés]]&lt;8000000,"3. 3-8 M","4. ≥ 8 M"))))</f>
        <v/>
      </c>
      <c r="V186" s="41"/>
      <c r="W186" s="41">
        <v>549900</v>
      </c>
      <c r="X186" s="41">
        <v>22600</v>
      </c>
      <c r="Y186" s="41">
        <v>808</v>
      </c>
      <c r="Z186" s="41">
        <v>215</v>
      </c>
      <c r="AA186" s="42">
        <f>(Donnees[[#This Row],[Likes]]+Donnees[[#This Row],[Commentaires]]+Donnees[[#This Row],[Partages]])/Donnees[[#This Row],[Vues]]</f>
        <v>4.2958719767230404E-2</v>
      </c>
      <c r="AB186" s="40">
        <f>IF(Donnees[[#This Row],[Engagement]]&gt;=VLOOKUP(Donnees[[#This Row],[Échantillon]],'Méthode &amp; limites'!$B$9:$D$11,2,FALSE),1,0)</f>
        <v>0</v>
      </c>
      <c r="AC186" s="43" t="str">
        <f>IF(Donnees[[#This Row],[Abonnés]]="","",Donnees[[#This Row],[Vues]]/Donnees[[#This Row],[Abonnés]])</f>
        <v/>
      </c>
      <c r="AD186" s="40" t="s">
        <v>44</v>
      </c>
      <c r="AE186" s="43">
        <f>SUMPRODUCT((Donnees[Échantillon]=Donnees[[#This Row],[Échantillon]])*(Donnees[Engagement]&lt;Donnees[[#This Row],[Engagement]]))+(SUMPRODUCT((Donnees[Échantillon]=Donnees[[#This Row],[Échantillon]])*(Donnees[Engagement]=Donnees[[#This Row],[Engagement]]))+1)/2</f>
        <v>7</v>
      </c>
      <c r="AF186" s="43">
        <f>SUMPRODUCT((Donnees[Échantillon]=Donnees[[#This Row],[Échantillon]])*(Donnees[Vues]&lt;Donnees[[#This Row],[Vues]]))+(SUMPRODUCT((Donnees[Échantillon]=Donnees[[#This Row],[Échantillon]])*(Donnees[Vues]=Donnees[[#This Row],[Vues]]))+1)/2</f>
        <v>16</v>
      </c>
      <c r="AG186" s="43">
        <f>SUMPRODUCT((Donnees[Échantillon]=Donnees[[#This Row],[Échantillon]])*(Donnees[Durée (s)]&lt;Donnees[[#This Row],[Durée (s)]]))+(SUMPRODUCT((Donnees[Échantillon]=Donnees[[#This Row],[Échantillon]])*(Donnees[Durée (s)]=Donnees[[#This Row],[Durée (s)]]))+1)/2</f>
        <v>43.5</v>
      </c>
      <c r="AH186" s="43">
        <f>SUMPRODUCT((Donnees[Échantillon]=Donnees[[#This Row],[Échantillon]])*(Donnees[Nb hashtags]&lt;Donnees[[#This Row],[Nb hashtags]]))+(SUMPRODUCT((Donnees[Échantillon]=Donnees[[#This Row],[Échantillon]])*(Donnees[Nb hashtags]=Donnees[[#This Row],[Nb hashtags]]))+1)/2</f>
        <v>61</v>
      </c>
      <c r="AI186" s="43">
        <f>SUMPRODUCT((Donnees[Échantillon]=Donnees[[#This Row],[Échantillon]])*(Donnees[Longueur du texte]&lt;Donnees[[#This Row],[Longueur du texte]]))+(SUMPRODUCT((Donnees[Échantillon]=Donnees[[#This Row],[Échantillon]])*(Donnees[Longueur du texte]=Donnees[[#This Row],[Longueur du texte]]))+1)/2</f>
        <v>96.5</v>
      </c>
      <c r="AJ186" s="43" t="str">
        <f>IF(Donnees[[#This Row],[Abonnés]]="","",SUMPRODUCT((Donnees[Échantillon]=Donnees[[#This Row],[Échantillon]])*(Donnees[Abonnés]&lt;Donnees[[#This Row],[Abonnés]]))+(SUMPRODUCT((Donnees[Échantillon]=Donnees[[#This Row],[Échantillon]])*(Donnees[Abonnés]=Donnees[[#This Row],[Abonnés]]))+1)/2)</f>
        <v/>
      </c>
      <c r="AK18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87" spans="1:37" x14ac:dyDescent="0.2">
      <c r="A187" s="40" t="s">
        <v>145</v>
      </c>
      <c r="B187" s="40" t="s">
        <v>225</v>
      </c>
      <c r="C187" s="40" t="s">
        <v>46</v>
      </c>
      <c r="D187" s="40">
        <v>54</v>
      </c>
      <c r="E187" s="40" t="s">
        <v>71</v>
      </c>
      <c r="F187" s="40" t="str">
        <f>IF(OR(Donnees[[#This Row],[Jour]]="samedi",Donnees[[#This Row],[Jour]]="dimanche"),"Oui","Non")</f>
        <v>Non</v>
      </c>
      <c r="G187" s="40">
        <v>21</v>
      </c>
      <c r="H187" s="40" t="str">
        <f>IF(Donnees[[#This Row],[Heure UTC]]&lt;6,"0-5 h",IF(Donnees[[#This Row],[Heure UTC]]&lt;12,"6-11 h",IF(Donnees[[#This Row],[Heure UTC]]&lt;18,"12-17 h","18-23 h")))</f>
        <v>18-23 h</v>
      </c>
      <c r="I187" s="40">
        <v>30</v>
      </c>
      <c r="J187" s="40" t="str">
        <f>IF(Donnees[[#This Row],[Durée (s)]]&lt;=10,"1. ≤ 10 s",IF(Donnees[[#This Row],[Durée (s)]]&lt;=15,"2. 11-15 s",IF(Donnees[[#This Row],[Durée (s)]]&lt;=30,"3. 16-30 s",IF(Donnees[[#This Row],[Durée (s)]]&lt;=60,"4. 31-60 s","5. &gt; 60 s"))))</f>
        <v>3. 16-30 s</v>
      </c>
      <c r="K187" s="40" t="str">
        <f>IF(Donnees[[#This Row],[Durée (s)]]&gt;15,"Oui","Non")</f>
        <v>Oui</v>
      </c>
      <c r="L187" s="40">
        <v>2</v>
      </c>
      <c r="M187" s="40" t="s">
        <v>44</v>
      </c>
      <c r="N187" s="40">
        <v>75</v>
      </c>
      <c r="O187" s="40" t="s">
        <v>41</v>
      </c>
      <c r="P187" s="40" t="s">
        <v>41</v>
      </c>
      <c r="Q187" s="40" t="s">
        <v>41</v>
      </c>
      <c r="R187" s="40"/>
      <c r="S187" s="40"/>
      <c r="T187" s="41"/>
      <c r="U187" s="40" t="str">
        <f>IF(Donnees[[#This Row],[Abonnés]]="","",IF(Donnees[[#This Row],[Abonnés]]&lt;1000000,"1. &lt; 1 M",IF(Donnees[[#This Row],[Abonnés]]&lt;3000000,"2. 1-3 M",IF(Donnees[[#This Row],[Abonnés]]&lt;8000000,"3. 3-8 M","4. ≥ 8 M"))))</f>
        <v/>
      </c>
      <c r="V187" s="41"/>
      <c r="W187" s="41">
        <v>523900</v>
      </c>
      <c r="X187" s="41">
        <v>17300</v>
      </c>
      <c r="Y187" s="41">
        <v>260</v>
      </c>
      <c r="Z187" s="41">
        <v>187</v>
      </c>
      <c r="AA187" s="42">
        <f>(Donnees[[#This Row],[Likes]]+Donnees[[#This Row],[Commentaires]]+Donnees[[#This Row],[Partages]])/Donnees[[#This Row],[Vues]]</f>
        <v>3.3874785264363431E-2</v>
      </c>
      <c r="AB187" s="40">
        <f>IF(Donnees[[#This Row],[Engagement]]&gt;=VLOOKUP(Donnees[[#This Row],[Échantillon]],'Méthode &amp; limites'!$B$9:$D$11,2,FALSE),1,0)</f>
        <v>0</v>
      </c>
      <c r="AC187" s="43" t="str">
        <f>IF(Donnees[[#This Row],[Abonnés]]="","",Donnees[[#This Row],[Vues]]/Donnees[[#This Row],[Abonnés]])</f>
        <v/>
      </c>
      <c r="AD187" s="40" t="s">
        <v>44</v>
      </c>
      <c r="AE187" s="43">
        <f>SUMPRODUCT((Donnees[Échantillon]=Donnees[[#This Row],[Échantillon]])*(Donnees[Engagement]&lt;Donnees[[#This Row],[Engagement]]))+(SUMPRODUCT((Donnees[Échantillon]=Donnees[[#This Row],[Échantillon]])*(Donnees[Engagement]=Donnees[[#This Row],[Engagement]]))+1)/2</f>
        <v>4</v>
      </c>
      <c r="AF187" s="43">
        <f>SUMPRODUCT((Donnees[Échantillon]=Donnees[[#This Row],[Échantillon]])*(Donnees[Vues]&lt;Donnees[[#This Row],[Vues]]))+(SUMPRODUCT((Donnees[Échantillon]=Donnees[[#This Row],[Échantillon]])*(Donnees[Vues]=Donnees[[#This Row],[Vues]]))+1)/2</f>
        <v>15</v>
      </c>
      <c r="AG187" s="43">
        <f>SUMPRODUCT((Donnees[Échantillon]=Donnees[[#This Row],[Échantillon]])*(Donnees[Durée (s)]&lt;Donnees[[#This Row],[Durée (s)]]))+(SUMPRODUCT((Donnees[Échantillon]=Donnees[[#This Row],[Échantillon]])*(Donnees[Durée (s)]=Donnees[[#This Row],[Durée (s)]]))+1)/2</f>
        <v>73.5</v>
      </c>
      <c r="AH187" s="43">
        <f>SUMPRODUCT((Donnees[Échantillon]=Donnees[[#This Row],[Échantillon]])*(Donnees[Nb hashtags]&lt;Donnees[[#This Row],[Nb hashtags]]))+(SUMPRODUCT((Donnees[Échantillon]=Donnees[[#This Row],[Échantillon]])*(Donnees[Nb hashtags]=Donnees[[#This Row],[Nb hashtags]]))+1)/2</f>
        <v>61</v>
      </c>
      <c r="AI187" s="43">
        <f>SUMPRODUCT((Donnees[Échantillon]=Donnees[[#This Row],[Échantillon]])*(Donnees[Longueur du texte]&lt;Donnees[[#This Row],[Longueur du texte]]))+(SUMPRODUCT((Donnees[Échantillon]=Donnees[[#This Row],[Échantillon]])*(Donnees[Longueur du texte]=Donnees[[#This Row],[Longueur du texte]]))+1)/2</f>
        <v>84</v>
      </c>
      <c r="AJ187" s="43" t="str">
        <f>IF(Donnees[[#This Row],[Abonnés]]="","",SUMPRODUCT((Donnees[Échantillon]=Donnees[[#This Row],[Échantillon]])*(Donnees[Abonnés]&lt;Donnees[[#This Row],[Abonnés]]))+(SUMPRODUCT((Donnees[Échantillon]=Donnees[[#This Row],[Échantillon]])*(Donnees[Abonnés]=Donnees[[#This Row],[Abonnés]]))+1)/2)</f>
        <v/>
      </c>
      <c r="AK18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88" spans="1:37" x14ac:dyDescent="0.2">
      <c r="A188" s="40" t="s">
        <v>145</v>
      </c>
      <c r="B188" s="40" t="s">
        <v>226</v>
      </c>
      <c r="C188" s="40" t="s">
        <v>46</v>
      </c>
      <c r="D188" s="40">
        <v>57</v>
      </c>
      <c r="E188" s="40" t="s">
        <v>68</v>
      </c>
      <c r="F188" s="40" t="str">
        <f>IF(OR(Donnees[[#This Row],[Jour]]="samedi",Donnees[[#This Row],[Jour]]="dimanche"),"Oui","Non")</f>
        <v>Non</v>
      </c>
      <c r="G188" s="40">
        <v>16</v>
      </c>
      <c r="H188" s="40" t="str">
        <f>IF(Donnees[[#This Row],[Heure UTC]]&lt;6,"0-5 h",IF(Donnees[[#This Row],[Heure UTC]]&lt;12,"6-11 h",IF(Donnees[[#This Row],[Heure UTC]]&lt;18,"12-17 h","18-23 h")))</f>
        <v>12-17 h</v>
      </c>
      <c r="I188" s="40">
        <v>56</v>
      </c>
      <c r="J188" s="40" t="str">
        <f>IF(Donnees[[#This Row],[Durée (s)]]&lt;=10,"1. ≤ 10 s",IF(Donnees[[#This Row],[Durée (s)]]&lt;=15,"2. 11-15 s",IF(Donnees[[#This Row],[Durée (s)]]&lt;=30,"3. 16-30 s",IF(Donnees[[#This Row],[Durée (s)]]&lt;=60,"4. 31-60 s","5. &gt; 60 s"))))</f>
        <v>4. 31-60 s</v>
      </c>
      <c r="K188" s="40" t="str">
        <f>IF(Donnees[[#This Row],[Durée (s)]]&gt;15,"Oui","Non")</f>
        <v>Oui</v>
      </c>
      <c r="L188" s="40">
        <v>2</v>
      </c>
      <c r="M188" s="40" t="s">
        <v>41</v>
      </c>
      <c r="N188" s="40">
        <v>54</v>
      </c>
      <c r="O188" s="40" t="s">
        <v>41</v>
      </c>
      <c r="P188" s="40" t="s">
        <v>44</v>
      </c>
      <c r="Q188" s="40" t="s">
        <v>41</v>
      </c>
      <c r="R188" s="40"/>
      <c r="S188" s="40"/>
      <c r="T188" s="41"/>
      <c r="U188" s="40" t="str">
        <f>IF(Donnees[[#This Row],[Abonnés]]="","",IF(Donnees[[#This Row],[Abonnés]]&lt;1000000,"1. &lt; 1 M",IF(Donnees[[#This Row],[Abonnés]]&lt;3000000,"2. 1-3 M",IF(Donnees[[#This Row],[Abonnés]]&lt;8000000,"3. 3-8 M","4. ≥ 8 M"))))</f>
        <v/>
      </c>
      <c r="V188" s="41"/>
      <c r="W188" s="41">
        <v>510500</v>
      </c>
      <c r="X188" s="41">
        <v>45600</v>
      </c>
      <c r="Y188" s="41">
        <v>406</v>
      </c>
      <c r="Z188" s="41">
        <v>213</v>
      </c>
      <c r="AA188" s="42">
        <f>(Donnees[[#This Row],[Likes]]+Donnees[[#This Row],[Commentaires]]+Donnees[[#This Row],[Partages]])/Donnees[[#This Row],[Vues]]</f>
        <v>9.0536728697355531E-2</v>
      </c>
      <c r="AB188" s="40">
        <f>IF(Donnees[[#This Row],[Engagement]]&gt;=VLOOKUP(Donnees[[#This Row],[Échantillon]],'Méthode &amp; limites'!$B$9:$D$11,2,FALSE),1,0)</f>
        <v>0</v>
      </c>
      <c r="AC188" s="43" t="str">
        <f>IF(Donnees[[#This Row],[Abonnés]]="","",Donnees[[#This Row],[Vues]]/Donnees[[#This Row],[Abonnés]])</f>
        <v/>
      </c>
      <c r="AD188" s="40" t="s">
        <v>44</v>
      </c>
      <c r="AE188" s="43">
        <f>SUMPRODUCT((Donnees[Échantillon]=Donnees[[#This Row],[Échantillon]])*(Donnees[Engagement]&lt;Donnees[[#This Row],[Engagement]]))+(SUMPRODUCT((Donnees[Échantillon]=Donnees[[#This Row],[Échantillon]])*(Donnees[Engagement]=Donnees[[#This Row],[Engagement]]))+1)/2</f>
        <v>15</v>
      </c>
      <c r="AF188" s="43">
        <f>SUMPRODUCT((Donnees[Échantillon]=Donnees[[#This Row],[Échantillon]])*(Donnees[Vues]&lt;Donnees[[#This Row],[Vues]]))+(SUMPRODUCT((Donnees[Échantillon]=Donnees[[#This Row],[Échantillon]])*(Donnees[Vues]=Donnees[[#This Row],[Vues]]))+1)/2</f>
        <v>14</v>
      </c>
      <c r="AG188" s="43">
        <f>SUMPRODUCT((Donnees[Échantillon]=Donnees[[#This Row],[Échantillon]])*(Donnees[Durée (s)]&lt;Donnees[[#This Row],[Durée (s)]]))+(SUMPRODUCT((Donnees[Échantillon]=Donnees[[#This Row],[Échantillon]])*(Donnees[Durée (s)]=Donnees[[#This Row],[Durée (s)]]))+1)/2</f>
        <v>91</v>
      </c>
      <c r="AH188" s="43">
        <f>SUMPRODUCT((Donnees[Échantillon]=Donnees[[#This Row],[Échantillon]])*(Donnees[Nb hashtags]&lt;Donnees[[#This Row],[Nb hashtags]]))+(SUMPRODUCT((Donnees[Échantillon]=Donnees[[#This Row],[Échantillon]])*(Donnees[Nb hashtags]=Donnees[[#This Row],[Nb hashtags]]))+1)/2</f>
        <v>61</v>
      </c>
      <c r="AI188" s="43">
        <f>SUMPRODUCT((Donnees[Échantillon]=Donnees[[#This Row],[Échantillon]])*(Donnees[Longueur du texte]&lt;Donnees[[#This Row],[Longueur du texte]]))+(SUMPRODUCT((Donnees[Échantillon]=Donnees[[#This Row],[Échantillon]])*(Donnees[Longueur du texte]=Donnees[[#This Row],[Longueur du texte]]))+1)/2</f>
        <v>73</v>
      </c>
      <c r="AJ188" s="43" t="str">
        <f>IF(Donnees[[#This Row],[Abonnés]]="","",SUMPRODUCT((Donnees[Échantillon]=Donnees[[#This Row],[Échantillon]])*(Donnees[Abonnés]&lt;Donnees[[#This Row],[Abonnés]]))+(SUMPRODUCT((Donnees[Échantillon]=Donnees[[#This Row],[Échantillon]])*(Donnees[Abonnés]=Donnees[[#This Row],[Abonnés]]))+1)/2)</f>
        <v/>
      </c>
      <c r="AK18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89" spans="1:37" x14ac:dyDescent="0.2">
      <c r="A189" s="40" t="s">
        <v>145</v>
      </c>
      <c r="B189" s="40" t="s">
        <v>227</v>
      </c>
      <c r="C189" s="40" t="s">
        <v>46</v>
      </c>
      <c r="D189" s="40">
        <v>43</v>
      </c>
      <c r="E189" s="40" t="s">
        <v>68</v>
      </c>
      <c r="F189" s="40" t="str">
        <f>IF(OR(Donnees[[#This Row],[Jour]]="samedi",Donnees[[#This Row],[Jour]]="dimanche"),"Oui","Non")</f>
        <v>Non</v>
      </c>
      <c r="G189" s="40">
        <v>2</v>
      </c>
      <c r="H189" s="40" t="str">
        <f>IF(Donnees[[#This Row],[Heure UTC]]&lt;6,"0-5 h",IF(Donnees[[#This Row],[Heure UTC]]&lt;12,"6-11 h",IF(Donnees[[#This Row],[Heure UTC]]&lt;18,"12-17 h","18-23 h")))</f>
        <v>0-5 h</v>
      </c>
      <c r="I189" s="40">
        <v>15</v>
      </c>
      <c r="J189" s="40" t="str">
        <f>IF(Donnees[[#This Row],[Durée (s)]]&lt;=10,"1. ≤ 10 s",IF(Donnees[[#This Row],[Durée (s)]]&lt;=15,"2. 11-15 s",IF(Donnees[[#This Row],[Durée (s)]]&lt;=30,"3. 16-30 s",IF(Donnees[[#This Row],[Durée (s)]]&lt;=60,"4. 31-60 s","5. &gt; 60 s"))))</f>
        <v>2. 11-15 s</v>
      </c>
      <c r="K189" s="40" t="str">
        <f>IF(Donnees[[#This Row],[Durée (s)]]&gt;15,"Oui","Non")</f>
        <v>Non</v>
      </c>
      <c r="L189" s="40">
        <v>2</v>
      </c>
      <c r="M189" s="40" t="s">
        <v>41</v>
      </c>
      <c r="N189" s="40">
        <v>79</v>
      </c>
      <c r="O189" s="40" t="s">
        <v>41</v>
      </c>
      <c r="P189" s="40" t="s">
        <v>41</v>
      </c>
      <c r="Q189" s="40" t="s">
        <v>41</v>
      </c>
      <c r="R189" s="40"/>
      <c r="S189" s="40"/>
      <c r="T189" s="41"/>
      <c r="U189" s="40" t="str">
        <f>IF(Donnees[[#This Row],[Abonnés]]="","",IF(Donnees[[#This Row],[Abonnés]]&lt;1000000,"1. &lt; 1 M",IF(Donnees[[#This Row],[Abonnés]]&lt;3000000,"2. 1-3 M",IF(Donnees[[#This Row],[Abonnés]]&lt;8000000,"3. 3-8 M","4. ≥ 8 M"))))</f>
        <v/>
      </c>
      <c r="V189" s="41"/>
      <c r="W189" s="41">
        <v>453300</v>
      </c>
      <c r="X189" s="41">
        <v>4159</v>
      </c>
      <c r="Y189" s="41">
        <v>68</v>
      </c>
      <c r="Z189" s="41">
        <v>30</v>
      </c>
      <c r="AA189" s="42">
        <f>(Donnees[[#This Row],[Likes]]+Donnees[[#This Row],[Commentaires]]+Donnees[[#This Row],[Partages]])/Donnees[[#This Row],[Vues]]</f>
        <v>9.3911317008603581E-3</v>
      </c>
      <c r="AB189" s="40">
        <f>IF(Donnees[[#This Row],[Engagement]]&gt;=VLOOKUP(Donnees[[#This Row],[Échantillon]],'Méthode &amp; limites'!$B$9:$D$11,2,FALSE),1,0)</f>
        <v>0</v>
      </c>
      <c r="AC189" s="43" t="str">
        <f>IF(Donnees[[#This Row],[Abonnés]]="","",Donnees[[#This Row],[Vues]]/Donnees[[#This Row],[Abonnés]])</f>
        <v/>
      </c>
      <c r="AD189" s="40" t="s">
        <v>44</v>
      </c>
      <c r="AE189" s="43">
        <f>SUMPRODUCT((Donnees[Échantillon]=Donnees[[#This Row],[Échantillon]])*(Donnees[Engagement]&lt;Donnees[[#This Row],[Engagement]]))+(SUMPRODUCT((Donnees[Échantillon]=Donnees[[#This Row],[Échantillon]])*(Donnees[Engagement]=Donnees[[#This Row],[Engagement]]))+1)/2</f>
        <v>1</v>
      </c>
      <c r="AF189" s="43">
        <f>SUMPRODUCT((Donnees[Échantillon]=Donnees[[#This Row],[Échantillon]])*(Donnees[Vues]&lt;Donnees[[#This Row],[Vues]]))+(SUMPRODUCT((Donnees[Échantillon]=Donnees[[#This Row],[Échantillon]])*(Donnees[Vues]=Donnees[[#This Row],[Vues]]))+1)/2</f>
        <v>13</v>
      </c>
      <c r="AG189" s="43">
        <f>SUMPRODUCT((Donnees[Échantillon]=Donnees[[#This Row],[Échantillon]])*(Donnees[Durée (s)]&lt;Donnees[[#This Row],[Durée (s)]]))+(SUMPRODUCT((Donnees[Échantillon]=Donnees[[#This Row],[Échantillon]])*(Donnees[Durée (s)]=Donnees[[#This Row],[Durée (s)]]))+1)/2</f>
        <v>43.5</v>
      </c>
      <c r="AH189" s="43">
        <f>SUMPRODUCT((Donnees[Échantillon]=Donnees[[#This Row],[Échantillon]])*(Donnees[Nb hashtags]&lt;Donnees[[#This Row],[Nb hashtags]]))+(SUMPRODUCT((Donnees[Échantillon]=Donnees[[#This Row],[Échantillon]])*(Donnees[Nb hashtags]=Donnees[[#This Row],[Nb hashtags]]))+1)/2</f>
        <v>61</v>
      </c>
      <c r="AI189" s="43">
        <f>SUMPRODUCT((Donnees[Échantillon]=Donnees[[#This Row],[Échantillon]])*(Donnees[Longueur du texte]&lt;Donnees[[#This Row],[Longueur du texte]]))+(SUMPRODUCT((Donnees[Échantillon]=Donnees[[#This Row],[Échantillon]])*(Donnees[Longueur du texte]=Donnees[[#This Row],[Longueur du texte]]))+1)/2</f>
        <v>85</v>
      </c>
      <c r="AJ189" s="43" t="str">
        <f>IF(Donnees[[#This Row],[Abonnés]]="","",SUMPRODUCT((Donnees[Échantillon]=Donnees[[#This Row],[Échantillon]])*(Donnees[Abonnés]&lt;Donnees[[#This Row],[Abonnés]]))+(SUMPRODUCT((Donnees[Échantillon]=Donnees[[#This Row],[Échantillon]])*(Donnees[Abonnés]=Donnees[[#This Row],[Abonnés]]))+1)/2)</f>
        <v/>
      </c>
      <c r="AK18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90" spans="1:37" x14ac:dyDescent="0.2">
      <c r="A190" s="40" t="s">
        <v>145</v>
      </c>
      <c r="B190" s="40" t="s">
        <v>228</v>
      </c>
      <c r="C190" s="40" t="s">
        <v>39</v>
      </c>
      <c r="D190" s="40">
        <v>45</v>
      </c>
      <c r="E190" s="40" t="s">
        <v>59</v>
      </c>
      <c r="F190" s="40" t="str">
        <f>IF(OR(Donnees[[#This Row],[Jour]]="samedi",Donnees[[#This Row],[Jour]]="dimanche"),"Oui","Non")</f>
        <v>Non</v>
      </c>
      <c r="G190" s="40">
        <v>22</v>
      </c>
      <c r="H190" s="40" t="str">
        <f>IF(Donnees[[#This Row],[Heure UTC]]&lt;6,"0-5 h",IF(Donnees[[#This Row],[Heure UTC]]&lt;12,"6-11 h",IF(Donnees[[#This Row],[Heure UTC]]&lt;18,"12-17 h","18-23 h")))</f>
        <v>18-23 h</v>
      </c>
      <c r="I190" s="40">
        <v>38</v>
      </c>
      <c r="J190" s="40" t="str">
        <f>IF(Donnees[[#This Row],[Durée (s)]]&lt;=10,"1. ≤ 10 s",IF(Donnees[[#This Row],[Durée (s)]]&lt;=15,"2. 11-15 s",IF(Donnees[[#This Row],[Durée (s)]]&lt;=30,"3. 16-30 s",IF(Donnees[[#This Row],[Durée (s)]]&lt;=60,"4. 31-60 s","5. &gt; 60 s"))))</f>
        <v>4. 31-60 s</v>
      </c>
      <c r="K190" s="40" t="str">
        <f>IF(Donnees[[#This Row],[Durée (s)]]&gt;15,"Oui","Non")</f>
        <v>Oui</v>
      </c>
      <c r="L190" s="40">
        <v>0</v>
      </c>
      <c r="M190" s="40" t="s">
        <v>41</v>
      </c>
      <c r="N190" s="40">
        <v>40</v>
      </c>
      <c r="O190" s="40" t="s">
        <v>41</v>
      </c>
      <c r="P190" s="40" t="s">
        <v>44</v>
      </c>
      <c r="Q190" s="40" t="s">
        <v>41</v>
      </c>
      <c r="R190" s="40"/>
      <c r="S190" s="40"/>
      <c r="T190" s="41"/>
      <c r="U190" s="40" t="str">
        <f>IF(Donnees[[#This Row],[Abonnés]]="","",IF(Donnees[[#This Row],[Abonnés]]&lt;1000000,"1. &lt; 1 M",IF(Donnees[[#This Row],[Abonnés]]&lt;3000000,"2. 1-3 M",IF(Donnees[[#This Row],[Abonnés]]&lt;8000000,"3. 3-8 M","4. ≥ 8 M"))))</f>
        <v/>
      </c>
      <c r="V190" s="41"/>
      <c r="W190" s="41">
        <v>425000</v>
      </c>
      <c r="X190" s="41">
        <v>43400</v>
      </c>
      <c r="Y190" s="41">
        <v>1783</v>
      </c>
      <c r="Z190" s="41">
        <v>4180</v>
      </c>
      <c r="AA190" s="42">
        <f>(Donnees[[#This Row],[Likes]]+Donnees[[#This Row],[Commentaires]]+Donnees[[#This Row],[Partages]])/Donnees[[#This Row],[Vues]]</f>
        <v>0.11614823529411765</v>
      </c>
      <c r="AB190" s="40">
        <f>IF(Donnees[[#This Row],[Engagement]]&gt;=VLOOKUP(Donnees[[#This Row],[Échantillon]],'Méthode &amp; limites'!$B$9:$D$11,2,FALSE),1,0)</f>
        <v>0</v>
      </c>
      <c r="AC190" s="43" t="str">
        <f>IF(Donnees[[#This Row],[Abonnés]]="","",Donnees[[#This Row],[Vues]]/Donnees[[#This Row],[Abonnés]])</f>
        <v/>
      </c>
      <c r="AD190" s="40" t="s">
        <v>44</v>
      </c>
      <c r="AE190" s="43">
        <f>SUMPRODUCT((Donnees[Échantillon]=Donnees[[#This Row],[Échantillon]])*(Donnees[Engagement]&lt;Donnees[[#This Row],[Engagement]]))+(SUMPRODUCT((Donnees[Échantillon]=Donnees[[#This Row],[Échantillon]])*(Donnees[Engagement]=Donnees[[#This Row],[Engagement]]))+1)/2</f>
        <v>24</v>
      </c>
      <c r="AF190" s="43">
        <f>SUMPRODUCT((Donnees[Échantillon]=Donnees[[#This Row],[Échantillon]])*(Donnees[Vues]&lt;Donnees[[#This Row],[Vues]]))+(SUMPRODUCT((Donnees[Échantillon]=Donnees[[#This Row],[Échantillon]])*(Donnees[Vues]=Donnees[[#This Row],[Vues]]))+1)/2</f>
        <v>12</v>
      </c>
      <c r="AG190" s="43">
        <f>SUMPRODUCT((Donnees[Échantillon]=Donnees[[#This Row],[Échantillon]])*(Donnees[Durée (s)]&lt;Donnees[[#This Row],[Durée (s)]]))+(SUMPRODUCT((Donnees[Échantillon]=Donnees[[#This Row],[Échantillon]])*(Donnees[Durée (s)]=Donnees[[#This Row],[Durée (s)]]))+1)/2</f>
        <v>77.5</v>
      </c>
      <c r="AH190" s="43">
        <f>SUMPRODUCT((Donnees[Échantillon]=Donnees[[#This Row],[Échantillon]])*(Donnees[Nb hashtags]&lt;Donnees[[#This Row],[Nb hashtags]]))+(SUMPRODUCT((Donnees[Échantillon]=Donnees[[#This Row],[Échantillon]])*(Donnees[Nb hashtags]=Donnees[[#This Row],[Nb hashtags]]))+1)/2</f>
        <v>18.5</v>
      </c>
      <c r="AI190" s="43">
        <f>SUMPRODUCT((Donnees[Échantillon]=Donnees[[#This Row],[Échantillon]])*(Donnees[Longueur du texte]&lt;Donnees[[#This Row],[Longueur du texte]]))+(SUMPRODUCT((Donnees[Échantillon]=Donnees[[#This Row],[Échantillon]])*(Donnees[Longueur du texte]=Donnees[[#This Row],[Longueur du texte]]))+1)/2</f>
        <v>59</v>
      </c>
      <c r="AJ190" s="43" t="str">
        <f>IF(Donnees[[#This Row],[Abonnés]]="","",SUMPRODUCT((Donnees[Échantillon]=Donnees[[#This Row],[Échantillon]])*(Donnees[Abonnés]&lt;Donnees[[#This Row],[Abonnés]]))+(SUMPRODUCT((Donnees[Échantillon]=Donnees[[#This Row],[Échantillon]])*(Donnees[Abonnés]=Donnees[[#This Row],[Abonnés]]))+1)/2)</f>
        <v/>
      </c>
      <c r="AK19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91" spans="1:37" x14ac:dyDescent="0.2">
      <c r="A191" s="40" t="s">
        <v>145</v>
      </c>
      <c r="B191" s="40" t="s">
        <v>229</v>
      </c>
      <c r="C191" s="40" t="s">
        <v>39</v>
      </c>
      <c r="D191" s="40">
        <v>1</v>
      </c>
      <c r="E191" s="40" t="s">
        <v>68</v>
      </c>
      <c r="F191" s="40" t="str">
        <f>IF(OR(Donnees[[#This Row],[Jour]]="samedi",Donnees[[#This Row],[Jour]]="dimanche"),"Oui","Non")</f>
        <v>Non</v>
      </c>
      <c r="G191" s="40">
        <v>19</v>
      </c>
      <c r="H191" s="40" t="str">
        <f>IF(Donnees[[#This Row],[Heure UTC]]&lt;6,"0-5 h",IF(Donnees[[#This Row],[Heure UTC]]&lt;12,"6-11 h",IF(Donnees[[#This Row],[Heure UTC]]&lt;18,"12-17 h","18-23 h")))</f>
        <v>18-23 h</v>
      </c>
      <c r="I191" s="40">
        <v>70</v>
      </c>
      <c r="J191" s="40" t="str">
        <f>IF(Donnees[[#This Row],[Durée (s)]]&lt;=10,"1. ≤ 10 s",IF(Donnees[[#This Row],[Durée (s)]]&lt;=15,"2. 11-15 s",IF(Donnees[[#This Row],[Durée (s)]]&lt;=30,"3. 16-30 s",IF(Donnees[[#This Row],[Durée (s)]]&lt;=60,"4. 31-60 s","5. &gt; 60 s"))))</f>
        <v>5. &gt; 60 s</v>
      </c>
      <c r="K191" s="40" t="str">
        <f>IF(Donnees[[#This Row],[Durée (s)]]&gt;15,"Oui","Non")</f>
        <v>Oui</v>
      </c>
      <c r="L191" s="40">
        <v>4</v>
      </c>
      <c r="M191" s="40" t="s">
        <v>41</v>
      </c>
      <c r="N191" s="40">
        <v>9</v>
      </c>
      <c r="O191" s="40" t="s">
        <v>41</v>
      </c>
      <c r="P191" s="40" t="s">
        <v>44</v>
      </c>
      <c r="Q191" s="40" t="s">
        <v>41</v>
      </c>
      <c r="R191" s="40"/>
      <c r="S191" s="40"/>
      <c r="T191" s="41"/>
      <c r="U191" s="40" t="str">
        <f>IF(Donnees[[#This Row],[Abonnés]]="","",IF(Donnees[[#This Row],[Abonnés]]&lt;1000000,"1. &lt; 1 M",IF(Donnees[[#This Row],[Abonnés]]&lt;3000000,"2. 1-3 M",IF(Donnees[[#This Row],[Abonnés]]&lt;8000000,"3. 3-8 M","4. ≥ 8 M"))))</f>
        <v/>
      </c>
      <c r="V191" s="41"/>
      <c r="W191" s="41">
        <v>355800</v>
      </c>
      <c r="X191" s="41">
        <v>76000</v>
      </c>
      <c r="Y191" s="41">
        <v>1344</v>
      </c>
      <c r="Z191" s="41">
        <v>704</v>
      </c>
      <c r="AA191" s="42">
        <f>(Donnees[[#This Row],[Likes]]+Donnees[[#This Row],[Commentaires]]+Donnees[[#This Row],[Partages]])/Donnees[[#This Row],[Vues]]</f>
        <v>0.21935919055649242</v>
      </c>
      <c r="AB191" s="40">
        <f>IF(Donnees[[#This Row],[Engagement]]&gt;=VLOOKUP(Donnees[[#This Row],[Échantillon]],'Méthode &amp; limites'!$B$9:$D$11,2,FALSE),1,0)</f>
        <v>0</v>
      </c>
      <c r="AC191" s="43" t="str">
        <f>IF(Donnees[[#This Row],[Abonnés]]="","",Donnees[[#This Row],[Vues]]/Donnees[[#This Row],[Abonnés]])</f>
        <v/>
      </c>
      <c r="AD191" s="40" t="s">
        <v>44</v>
      </c>
      <c r="AE191" s="43">
        <f>SUMPRODUCT((Donnees[Échantillon]=Donnees[[#This Row],[Échantillon]])*(Donnees[Engagement]&lt;Donnees[[#This Row],[Engagement]]))+(SUMPRODUCT((Donnees[Échantillon]=Donnees[[#This Row],[Échantillon]])*(Donnees[Engagement]=Donnees[[#This Row],[Engagement]]))+1)/2</f>
        <v>63</v>
      </c>
      <c r="AF191" s="43">
        <f>SUMPRODUCT((Donnees[Échantillon]=Donnees[[#This Row],[Échantillon]])*(Donnees[Vues]&lt;Donnees[[#This Row],[Vues]]))+(SUMPRODUCT((Donnees[Échantillon]=Donnees[[#This Row],[Échantillon]])*(Donnees[Vues]=Donnees[[#This Row],[Vues]]))+1)/2</f>
        <v>11</v>
      </c>
      <c r="AG191" s="43">
        <f>SUMPRODUCT((Donnees[Échantillon]=Donnees[[#This Row],[Échantillon]])*(Donnees[Durée (s)]&lt;Donnees[[#This Row],[Durée (s)]]))+(SUMPRODUCT((Donnees[Échantillon]=Donnees[[#This Row],[Échantillon]])*(Donnees[Durée (s)]=Donnees[[#This Row],[Durée (s)]]))+1)/2</f>
        <v>97.5</v>
      </c>
      <c r="AH191" s="43">
        <f>SUMPRODUCT((Donnees[Échantillon]=Donnees[[#This Row],[Échantillon]])*(Donnees[Nb hashtags]&lt;Donnees[[#This Row],[Nb hashtags]]))+(SUMPRODUCT((Donnees[Échantillon]=Donnees[[#This Row],[Échantillon]])*(Donnees[Nb hashtags]=Donnees[[#This Row],[Nb hashtags]]))+1)/2</f>
        <v>84.5</v>
      </c>
      <c r="AI191" s="43">
        <f>SUMPRODUCT((Donnees[Échantillon]=Donnees[[#This Row],[Échantillon]])*(Donnees[Longueur du texte]&lt;Donnees[[#This Row],[Longueur du texte]]))+(SUMPRODUCT((Donnees[Échantillon]=Donnees[[#This Row],[Échantillon]])*(Donnees[Longueur du texte]=Donnees[[#This Row],[Longueur du texte]]))+1)/2</f>
        <v>17.5</v>
      </c>
      <c r="AJ191" s="43" t="str">
        <f>IF(Donnees[[#This Row],[Abonnés]]="","",SUMPRODUCT((Donnees[Échantillon]=Donnees[[#This Row],[Échantillon]])*(Donnees[Abonnés]&lt;Donnees[[#This Row],[Abonnés]]))+(SUMPRODUCT((Donnees[Échantillon]=Donnees[[#This Row],[Échantillon]])*(Donnees[Abonnés]=Donnees[[#This Row],[Abonnés]]))+1)/2)</f>
        <v/>
      </c>
      <c r="AK19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92" spans="1:37" x14ac:dyDescent="0.2">
      <c r="A192" s="40" t="s">
        <v>145</v>
      </c>
      <c r="B192" s="40" t="s">
        <v>207</v>
      </c>
      <c r="C192" s="40" t="s">
        <v>39</v>
      </c>
      <c r="D192" s="40">
        <v>10</v>
      </c>
      <c r="E192" s="40" t="s">
        <v>59</v>
      </c>
      <c r="F192" s="40" t="str">
        <f>IF(OR(Donnees[[#This Row],[Jour]]="samedi",Donnees[[#This Row],[Jour]]="dimanche"),"Oui","Non")</f>
        <v>Non</v>
      </c>
      <c r="G192" s="40">
        <v>23</v>
      </c>
      <c r="H192" s="40" t="str">
        <f>IF(Donnees[[#This Row],[Heure UTC]]&lt;6,"0-5 h",IF(Donnees[[#This Row],[Heure UTC]]&lt;12,"6-11 h",IF(Donnees[[#This Row],[Heure UTC]]&lt;18,"12-17 h","18-23 h")))</f>
        <v>18-23 h</v>
      </c>
      <c r="I192" s="40">
        <v>13</v>
      </c>
      <c r="J192" s="40" t="str">
        <f>IF(Donnees[[#This Row],[Durée (s)]]&lt;=10,"1. ≤ 10 s",IF(Donnees[[#This Row],[Durée (s)]]&lt;=15,"2. 11-15 s",IF(Donnees[[#This Row],[Durée (s)]]&lt;=30,"3. 16-30 s",IF(Donnees[[#This Row],[Durée (s)]]&lt;=60,"4. 31-60 s","5. &gt; 60 s"))))</f>
        <v>2. 11-15 s</v>
      </c>
      <c r="K192" s="40" t="str">
        <f>IF(Donnees[[#This Row],[Durée (s)]]&gt;15,"Oui","Non")</f>
        <v>Non</v>
      </c>
      <c r="L192" s="40">
        <v>3</v>
      </c>
      <c r="M192" s="40" t="s">
        <v>41</v>
      </c>
      <c r="N192" s="40">
        <v>80</v>
      </c>
      <c r="O192" s="40" t="s">
        <v>41</v>
      </c>
      <c r="P192" s="40" t="s">
        <v>41</v>
      </c>
      <c r="Q192" s="40" t="s">
        <v>41</v>
      </c>
      <c r="R192" s="40"/>
      <c r="S192" s="40"/>
      <c r="T192" s="41"/>
      <c r="U192" s="40" t="str">
        <f>IF(Donnees[[#This Row],[Abonnés]]="","",IF(Donnees[[#This Row],[Abonnés]]&lt;1000000,"1. &lt; 1 M",IF(Donnees[[#This Row],[Abonnés]]&lt;3000000,"2. 1-3 M",IF(Donnees[[#This Row],[Abonnés]]&lt;8000000,"3. 3-8 M","4. ≥ 8 M"))))</f>
        <v/>
      </c>
      <c r="V192" s="41"/>
      <c r="W192" s="41">
        <v>260200</v>
      </c>
      <c r="X192" s="41">
        <v>26600</v>
      </c>
      <c r="Y192" s="41">
        <v>528</v>
      </c>
      <c r="Z192" s="41">
        <v>730</v>
      </c>
      <c r="AA192" s="42">
        <f>(Donnees[[#This Row],[Likes]]+Donnees[[#This Row],[Commentaires]]+Donnees[[#This Row],[Partages]])/Donnees[[#This Row],[Vues]]</f>
        <v>0.10706379707916987</v>
      </c>
      <c r="AB192" s="40">
        <f>IF(Donnees[[#This Row],[Engagement]]&gt;=VLOOKUP(Donnees[[#This Row],[Échantillon]],'Méthode &amp; limites'!$B$9:$D$11,2,FALSE),1,0)</f>
        <v>0</v>
      </c>
      <c r="AC192" s="43" t="str">
        <f>IF(Donnees[[#This Row],[Abonnés]]="","",Donnees[[#This Row],[Vues]]/Donnees[[#This Row],[Abonnés]])</f>
        <v/>
      </c>
      <c r="AD192" s="40" t="s">
        <v>44</v>
      </c>
      <c r="AE192" s="43">
        <f>SUMPRODUCT((Donnees[Échantillon]=Donnees[[#This Row],[Échantillon]])*(Donnees[Engagement]&lt;Donnees[[#This Row],[Engagement]]))+(SUMPRODUCT((Donnees[Échantillon]=Donnees[[#This Row],[Échantillon]])*(Donnees[Engagement]=Donnees[[#This Row],[Engagement]]))+1)/2</f>
        <v>22</v>
      </c>
      <c r="AF192" s="43">
        <f>SUMPRODUCT((Donnees[Échantillon]=Donnees[[#This Row],[Échantillon]])*(Donnees[Vues]&lt;Donnees[[#This Row],[Vues]]))+(SUMPRODUCT((Donnees[Échantillon]=Donnees[[#This Row],[Échantillon]])*(Donnees[Vues]=Donnees[[#This Row],[Vues]]))+1)/2</f>
        <v>10</v>
      </c>
      <c r="AG192" s="43">
        <f>SUMPRODUCT((Donnees[Échantillon]=Donnees[[#This Row],[Échantillon]])*(Donnees[Durée (s)]&lt;Donnees[[#This Row],[Durée (s)]]))+(SUMPRODUCT((Donnees[Échantillon]=Donnees[[#This Row],[Échantillon]])*(Donnees[Durée (s)]=Donnees[[#This Row],[Durée (s)]]))+1)/2</f>
        <v>26</v>
      </c>
      <c r="AH192" s="43">
        <f>SUMPRODUCT((Donnees[Échantillon]=Donnees[[#This Row],[Échantillon]])*(Donnees[Nb hashtags]&lt;Donnees[[#This Row],[Nb hashtags]]))+(SUMPRODUCT((Donnees[Échantillon]=Donnees[[#This Row],[Échantillon]])*(Donnees[Nb hashtags]=Donnees[[#This Row],[Nb hashtags]]))+1)/2</f>
        <v>74</v>
      </c>
      <c r="AI192" s="43">
        <f>SUMPRODUCT((Donnees[Échantillon]=Donnees[[#This Row],[Échantillon]])*(Donnees[Longueur du texte]&lt;Donnees[[#This Row],[Longueur du texte]]))+(SUMPRODUCT((Donnees[Échantillon]=Donnees[[#This Row],[Échantillon]])*(Donnees[Longueur du texte]=Donnees[[#This Row],[Longueur du texte]]))+1)/2</f>
        <v>86.5</v>
      </c>
      <c r="AJ192" s="43" t="str">
        <f>IF(Donnees[[#This Row],[Abonnés]]="","",SUMPRODUCT((Donnees[Échantillon]=Donnees[[#This Row],[Échantillon]])*(Donnees[Abonnés]&lt;Donnees[[#This Row],[Abonnés]]))+(SUMPRODUCT((Donnees[Échantillon]=Donnees[[#This Row],[Échantillon]])*(Donnees[Abonnés]=Donnees[[#This Row],[Abonnés]]))+1)/2)</f>
        <v/>
      </c>
      <c r="AK192"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93" spans="1:37" x14ac:dyDescent="0.2">
      <c r="A193" s="40" t="s">
        <v>145</v>
      </c>
      <c r="B193" s="40" t="s">
        <v>230</v>
      </c>
      <c r="C193" s="40" t="s">
        <v>46</v>
      </c>
      <c r="D193" s="40">
        <v>44</v>
      </c>
      <c r="E193" s="40" t="s">
        <v>47</v>
      </c>
      <c r="F193" s="40" t="str">
        <f>IF(OR(Donnees[[#This Row],[Jour]]="samedi",Donnees[[#This Row],[Jour]]="dimanche"),"Oui","Non")</f>
        <v>Non</v>
      </c>
      <c r="G193" s="40">
        <v>20</v>
      </c>
      <c r="H193" s="40" t="str">
        <f>IF(Donnees[[#This Row],[Heure UTC]]&lt;6,"0-5 h",IF(Donnees[[#This Row],[Heure UTC]]&lt;12,"6-11 h",IF(Donnees[[#This Row],[Heure UTC]]&lt;18,"12-17 h","18-23 h")))</f>
        <v>18-23 h</v>
      </c>
      <c r="I193" s="40">
        <v>59</v>
      </c>
      <c r="J193" s="40" t="str">
        <f>IF(Donnees[[#This Row],[Durée (s)]]&lt;=10,"1. ≤ 10 s",IF(Donnees[[#This Row],[Durée (s)]]&lt;=15,"2. 11-15 s",IF(Donnees[[#This Row],[Durée (s)]]&lt;=30,"3. 16-30 s",IF(Donnees[[#This Row],[Durée (s)]]&lt;=60,"4. 31-60 s","5. &gt; 60 s"))))</f>
        <v>4. 31-60 s</v>
      </c>
      <c r="K193" s="40" t="str">
        <f>IF(Donnees[[#This Row],[Durée (s)]]&gt;15,"Oui","Non")</f>
        <v>Oui</v>
      </c>
      <c r="L193" s="40">
        <v>5</v>
      </c>
      <c r="M193" s="40" t="s">
        <v>44</v>
      </c>
      <c r="N193" s="40">
        <v>49</v>
      </c>
      <c r="O193" s="40" t="s">
        <v>41</v>
      </c>
      <c r="P193" s="40" t="s">
        <v>44</v>
      </c>
      <c r="Q193" s="40" t="s">
        <v>41</v>
      </c>
      <c r="R193" s="40"/>
      <c r="S193" s="40"/>
      <c r="T193" s="41"/>
      <c r="U193" s="40" t="str">
        <f>IF(Donnees[[#This Row],[Abonnés]]="","",IF(Donnees[[#This Row],[Abonnés]]&lt;1000000,"1. &lt; 1 M",IF(Donnees[[#This Row],[Abonnés]]&lt;3000000,"2. 1-3 M",IF(Donnees[[#This Row],[Abonnés]]&lt;8000000,"3. 3-8 M","4. ≥ 8 M"))))</f>
        <v/>
      </c>
      <c r="V193" s="41"/>
      <c r="W193" s="41">
        <v>198900</v>
      </c>
      <c r="X193" s="41">
        <v>26600</v>
      </c>
      <c r="Y193" s="41">
        <v>615</v>
      </c>
      <c r="Z193" s="41">
        <v>400</v>
      </c>
      <c r="AA193" s="42">
        <f>(Donnees[[#This Row],[Likes]]+Donnees[[#This Row],[Commentaires]]+Donnees[[#This Row],[Partages]])/Donnees[[#This Row],[Vues]]</f>
        <v>0.13883861236802414</v>
      </c>
      <c r="AB193" s="40">
        <f>IF(Donnees[[#This Row],[Engagement]]&gt;=VLOOKUP(Donnees[[#This Row],[Échantillon]],'Méthode &amp; limites'!$B$9:$D$11,2,FALSE),1,0)</f>
        <v>0</v>
      </c>
      <c r="AC193" s="43" t="str">
        <f>IF(Donnees[[#This Row],[Abonnés]]="","",Donnees[[#This Row],[Vues]]/Donnees[[#This Row],[Abonnés]])</f>
        <v/>
      </c>
      <c r="AD193" s="40" t="s">
        <v>44</v>
      </c>
      <c r="AE193" s="43">
        <f>SUMPRODUCT((Donnees[Échantillon]=Donnees[[#This Row],[Échantillon]])*(Donnees[Engagement]&lt;Donnees[[#This Row],[Engagement]]))+(SUMPRODUCT((Donnees[Échantillon]=Donnees[[#This Row],[Échantillon]])*(Donnees[Engagement]=Donnees[[#This Row],[Engagement]]))+1)/2</f>
        <v>32</v>
      </c>
      <c r="AF193" s="43">
        <f>SUMPRODUCT((Donnees[Échantillon]=Donnees[[#This Row],[Échantillon]])*(Donnees[Vues]&lt;Donnees[[#This Row],[Vues]]))+(SUMPRODUCT((Donnees[Échantillon]=Donnees[[#This Row],[Échantillon]])*(Donnees[Vues]=Donnees[[#This Row],[Vues]]))+1)/2</f>
        <v>9</v>
      </c>
      <c r="AG193" s="43">
        <f>SUMPRODUCT((Donnees[Échantillon]=Donnees[[#This Row],[Échantillon]])*(Donnees[Durée (s)]&lt;Donnees[[#This Row],[Durée (s)]]))+(SUMPRODUCT((Donnees[Échantillon]=Donnees[[#This Row],[Échantillon]])*(Donnees[Durée (s)]=Donnees[[#This Row],[Durée (s)]]))+1)/2</f>
        <v>95</v>
      </c>
      <c r="AH193" s="43">
        <f>SUMPRODUCT((Donnees[Échantillon]=Donnees[[#This Row],[Échantillon]])*(Donnees[Nb hashtags]&lt;Donnees[[#This Row],[Nb hashtags]]))+(SUMPRODUCT((Donnees[Échantillon]=Donnees[[#This Row],[Échantillon]])*(Donnees[Nb hashtags]=Donnees[[#This Row],[Nb hashtags]]))+1)/2</f>
        <v>90.5</v>
      </c>
      <c r="AI193" s="43">
        <f>SUMPRODUCT((Donnees[Échantillon]=Donnees[[#This Row],[Échantillon]])*(Donnees[Longueur du texte]&lt;Donnees[[#This Row],[Longueur du texte]]))+(SUMPRODUCT((Donnees[Échantillon]=Donnees[[#This Row],[Échantillon]])*(Donnees[Longueur du texte]=Donnees[[#This Row],[Longueur du texte]]))+1)/2</f>
        <v>68</v>
      </c>
      <c r="AJ193" s="43" t="str">
        <f>IF(Donnees[[#This Row],[Abonnés]]="","",SUMPRODUCT((Donnees[Échantillon]=Donnees[[#This Row],[Échantillon]])*(Donnees[Abonnés]&lt;Donnees[[#This Row],[Abonnés]]))+(SUMPRODUCT((Donnees[Échantillon]=Donnees[[#This Row],[Échantillon]])*(Donnees[Abonnés]=Donnees[[#This Row],[Abonnés]]))+1)/2)</f>
        <v/>
      </c>
      <c r="AK193"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94" spans="1:37" x14ac:dyDescent="0.2">
      <c r="A194" s="40" t="s">
        <v>145</v>
      </c>
      <c r="B194" s="40" t="s">
        <v>231</v>
      </c>
      <c r="C194" s="40" t="s">
        <v>39</v>
      </c>
      <c r="D194" s="40">
        <v>40</v>
      </c>
      <c r="E194" s="40" t="s">
        <v>71</v>
      </c>
      <c r="F194" s="40" t="str">
        <f>IF(OR(Donnees[[#This Row],[Jour]]="samedi",Donnees[[#This Row],[Jour]]="dimanche"),"Oui","Non")</f>
        <v>Non</v>
      </c>
      <c r="G194" s="40">
        <v>14</v>
      </c>
      <c r="H194" s="40" t="str">
        <f>IF(Donnees[[#This Row],[Heure UTC]]&lt;6,"0-5 h",IF(Donnees[[#This Row],[Heure UTC]]&lt;12,"6-11 h",IF(Donnees[[#This Row],[Heure UTC]]&lt;18,"12-17 h","18-23 h")))</f>
        <v>12-17 h</v>
      </c>
      <c r="I194" s="40">
        <v>10</v>
      </c>
      <c r="J194" s="40" t="str">
        <f>IF(Donnees[[#This Row],[Durée (s)]]&lt;=10,"1. ≤ 10 s",IF(Donnees[[#This Row],[Durée (s)]]&lt;=15,"2. 11-15 s",IF(Donnees[[#This Row],[Durée (s)]]&lt;=30,"3. 16-30 s",IF(Donnees[[#This Row],[Durée (s)]]&lt;=60,"4. 31-60 s","5. &gt; 60 s"))))</f>
        <v>1. ≤ 10 s</v>
      </c>
      <c r="K194" s="40" t="str">
        <f>IF(Donnees[[#This Row],[Durée (s)]]&gt;15,"Oui","Non")</f>
        <v>Non</v>
      </c>
      <c r="L194" s="40">
        <v>3</v>
      </c>
      <c r="M194" s="40" t="s">
        <v>41</v>
      </c>
      <c r="N194" s="40">
        <v>55</v>
      </c>
      <c r="O194" s="40" t="s">
        <v>41</v>
      </c>
      <c r="P194" s="40" t="s">
        <v>41</v>
      </c>
      <c r="Q194" s="40" t="s">
        <v>41</v>
      </c>
      <c r="R194" s="40"/>
      <c r="S194" s="40"/>
      <c r="T194" s="41"/>
      <c r="U194" s="40" t="str">
        <f>IF(Donnees[[#This Row],[Abonnés]]="","",IF(Donnees[[#This Row],[Abonnés]]&lt;1000000,"1. &lt; 1 M",IF(Donnees[[#This Row],[Abonnés]]&lt;3000000,"2. 1-3 M",IF(Donnees[[#This Row],[Abonnés]]&lt;8000000,"3. 3-8 M","4. ≥ 8 M"))))</f>
        <v/>
      </c>
      <c r="V194" s="41"/>
      <c r="W194" s="41">
        <v>180600</v>
      </c>
      <c r="X194" s="41">
        <v>19900</v>
      </c>
      <c r="Y194" s="41">
        <v>1344</v>
      </c>
      <c r="Z194" s="41">
        <v>367</v>
      </c>
      <c r="AA194" s="42">
        <f>(Donnees[[#This Row],[Likes]]+Donnees[[#This Row],[Commentaires]]+Donnees[[#This Row],[Partages]])/Donnees[[#This Row],[Vues]]</f>
        <v>0.11966223698781839</v>
      </c>
      <c r="AB194" s="40">
        <f>IF(Donnees[[#This Row],[Engagement]]&gt;=VLOOKUP(Donnees[[#This Row],[Échantillon]],'Méthode &amp; limites'!$B$9:$D$11,2,FALSE),1,0)</f>
        <v>0</v>
      </c>
      <c r="AC194" s="43" t="str">
        <f>IF(Donnees[[#This Row],[Abonnés]]="","",Donnees[[#This Row],[Vues]]/Donnees[[#This Row],[Abonnés]])</f>
        <v/>
      </c>
      <c r="AD194" s="40" t="s">
        <v>44</v>
      </c>
      <c r="AE194" s="43">
        <f>SUMPRODUCT((Donnees[Échantillon]=Donnees[[#This Row],[Échantillon]])*(Donnees[Engagement]&lt;Donnees[[#This Row],[Engagement]]))+(SUMPRODUCT((Donnees[Échantillon]=Donnees[[#This Row],[Échantillon]])*(Donnees[Engagement]=Donnees[[#This Row],[Engagement]]))+1)/2</f>
        <v>25</v>
      </c>
      <c r="AF194" s="43">
        <f>SUMPRODUCT((Donnees[Échantillon]=Donnees[[#This Row],[Échantillon]])*(Donnees[Vues]&lt;Donnees[[#This Row],[Vues]]))+(SUMPRODUCT((Donnees[Échantillon]=Donnees[[#This Row],[Échantillon]])*(Donnees[Vues]=Donnees[[#This Row],[Vues]]))+1)/2</f>
        <v>8</v>
      </c>
      <c r="AG194" s="43">
        <f>SUMPRODUCT((Donnees[Échantillon]=Donnees[[#This Row],[Échantillon]])*(Donnees[Durée (s)]&lt;Donnees[[#This Row],[Durée (s)]]))+(SUMPRODUCT((Donnees[Échantillon]=Donnees[[#This Row],[Échantillon]])*(Donnees[Durée (s)]=Donnees[[#This Row],[Durée (s)]]))+1)/2</f>
        <v>11</v>
      </c>
      <c r="AH194" s="43">
        <f>SUMPRODUCT((Donnees[Échantillon]=Donnees[[#This Row],[Échantillon]])*(Donnees[Nb hashtags]&lt;Donnees[[#This Row],[Nb hashtags]]))+(SUMPRODUCT((Donnees[Échantillon]=Donnees[[#This Row],[Échantillon]])*(Donnees[Nb hashtags]=Donnees[[#This Row],[Nb hashtags]]))+1)/2</f>
        <v>74</v>
      </c>
      <c r="AI194" s="43">
        <f>SUMPRODUCT((Donnees[Échantillon]=Donnees[[#This Row],[Échantillon]])*(Donnees[Longueur du texte]&lt;Donnees[[#This Row],[Longueur du texte]]))+(SUMPRODUCT((Donnees[Échantillon]=Donnees[[#This Row],[Échantillon]])*(Donnees[Longueur du texte]=Donnees[[#This Row],[Longueur du texte]]))+1)/2</f>
        <v>75</v>
      </c>
      <c r="AJ194" s="43" t="str">
        <f>IF(Donnees[[#This Row],[Abonnés]]="","",SUMPRODUCT((Donnees[Échantillon]=Donnees[[#This Row],[Échantillon]])*(Donnees[Abonnés]&lt;Donnees[[#This Row],[Abonnés]]))+(SUMPRODUCT((Donnees[Échantillon]=Donnees[[#This Row],[Échantillon]])*(Donnees[Abonnés]=Donnees[[#This Row],[Abonnés]]))+1)/2)</f>
        <v/>
      </c>
      <c r="AK194"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95" spans="1:37" x14ac:dyDescent="0.2">
      <c r="A195" s="40" t="s">
        <v>145</v>
      </c>
      <c r="B195" s="40" t="s">
        <v>232</v>
      </c>
      <c r="C195" s="40" t="s">
        <v>39</v>
      </c>
      <c r="D195" s="40">
        <v>41</v>
      </c>
      <c r="E195" s="40" t="s">
        <v>56</v>
      </c>
      <c r="F195" s="40" t="str">
        <f>IF(OR(Donnees[[#This Row],[Jour]]="samedi",Donnees[[#This Row],[Jour]]="dimanche"),"Oui","Non")</f>
        <v>Oui</v>
      </c>
      <c r="G195" s="40">
        <v>9</v>
      </c>
      <c r="H195" s="40" t="str">
        <f>IF(Donnees[[#This Row],[Heure UTC]]&lt;6,"0-5 h",IF(Donnees[[#This Row],[Heure UTC]]&lt;12,"6-11 h",IF(Donnees[[#This Row],[Heure UTC]]&lt;18,"12-17 h","18-23 h")))</f>
        <v>6-11 h</v>
      </c>
      <c r="I195" s="40">
        <v>21</v>
      </c>
      <c r="J195" s="40" t="str">
        <f>IF(Donnees[[#This Row],[Durée (s)]]&lt;=10,"1. ≤ 10 s",IF(Donnees[[#This Row],[Durée (s)]]&lt;=15,"2. 11-15 s",IF(Donnees[[#This Row],[Durée (s)]]&lt;=30,"3. 16-30 s",IF(Donnees[[#This Row],[Durée (s)]]&lt;=60,"4. 31-60 s","5. &gt; 60 s"))))</f>
        <v>3. 16-30 s</v>
      </c>
      <c r="K195" s="40" t="str">
        <f>IF(Donnees[[#This Row],[Durée (s)]]&gt;15,"Oui","Non")</f>
        <v>Oui</v>
      </c>
      <c r="L195" s="40">
        <v>1</v>
      </c>
      <c r="M195" s="40" t="s">
        <v>41</v>
      </c>
      <c r="N195" s="40">
        <v>13</v>
      </c>
      <c r="O195" s="40" t="s">
        <v>41</v>
      </c>
      <c r="P195" s="40" t="s">
        <v>41</v>
      </c>
      <c r="Q195" s="40" t="s">
        <v>44</v>
      </c>
      <c r="R195" s="40"/>
      <c r="S195" s="40"/>
      <c r="T195" s="41"/>
      <c r="U195" s="40" t="str">
        <f>IF(Donnees[[#This Row],[Abonnés]]="","",IF(Donnees[[#This Row],[Abonnés]]&lt;1000000,"1. &lt; 1 M",IF(Donnees[[#This Row],[Abonnés]]&lt;3000000,"2. 1-3 M",IF(Donnees[[#This Row],[Abonnés]]&lt;8000000,"3. 3-8 M","4. ≥ 8 M"))))</f>
        <v/>
      </c>
      <c r="V195" s="41"/>
      <c r="W195" s="41">
        <v>150400</v>
      </c>
      <c r="X195" s="41">
        <v>12100</v>
      </c>
      <c r="Y195" s="41">
        <v>882</v>
      </c>
      <c r="Z195" s="41">
        <v>74</v>
      </c>
      <c r="AA195" s="42">
        <f>(Donnees[[#This Row],[Likes]]+Donnees[[#This Row],[Commentaires]]+Donnees[[#This Row],[Partages]])/Donnees[[#This Row],[Vues]]</f>
        <v>8.6808510638297878E-2</v>
      </c>
      <c r="AB195" s="40">
        <f>IF(Donnees[[#This Row],[Engagement]]&gt;=VLOOKUP(Donnees[[#This Row],[Échantillon]],'Méthode &amp; limites'!$B$9:$D$11,2,FALSE),1,0)</f>
        <v>0</v>
      </c>
      <c r="AC195" s="43" t="str">
        <f>IF(Donnees[[#This Row],[Abonnés]]="","",Donnees[[#This Row],[Vues]]/Donnees[[#This Row],[Abonnés]])</f>
        <v/>
      </c>
      <c r="AD195" s="40" t="s">
        <v>44</v>
      </c>
      <c r="AE195" s="43">
        <f>SUMPRODUCT((Donnees[Échantillon]=Donnees[[#This Row],[Échantillon]])*(Donnees[Engagement]&lt;Donnees[[#This Row],[Engagement]]))+(SUMPRODUCT((Donnees[Échantillon]=Donnees[[#This Row],[Échantillon]])*(Donnees[Engagement]=Donnees[[#This Row],[Engagement]]))+1)/2</f>
        <v>14</v>
      </c>
      <c r="AF195" s="43">
        <f>SUMPRODUCT((Donnees[Échantillon]=Donnees[[#This Row],[Échantillon]])*(Donnees[Vues]&lt;Donnees[[#This Row],[Vues]]))+(SUMPRODUCT((Donnees[Échantillon]=Donnees[[#This Row],[Échantillon]])*(Donnees[Vues]=Donnees[[#This Row],[Vues]]))+1)/2</f>
        <v>7</v>
      </c>
      <c r="AG195" s="43">
        <f>SUMPRODUCT((Donnees[Échantillon]=Donnees[[#This Row],[Échantillon]])*(Donnees[Durée (s)]&lt;Donnees[[#This Row],[Durée (s)]]))+(SUMPRODUCT((Donnees[Échantillon]=Donnees[[#This Row],[Échantillon]])*(Donnees[Durée (s)]=Donnees[[#This Row],[Durée (s)]]))+1)/2</f>
        <v>59</v>
      </c>
      <c r="AH195" s="43">
        <f>SUMPRODUCT((Donnees[Échantillon]=Donnees[[#This Row],[Échantillon]])*(Donnees[Nb hashtags]&lt;Donnees[[#This Row],[Nb hashtags]]))+(SUMPRODUCT((Donnees[Échantillon]=Donnees[[#This Row],[Échantillon]])*(Donnees[Nb hashtags]=Donnees[[#This Row],[Nb hashtags]]))+1)/2</f>
        <v>45.5</v>
      </c>
      <c r="AI195" s="43">
        <f>SUMPRODUCT((Donnees[Échantillon]=Donnees[[#This Row],[Échantillon]])*(Donnees[Longueur du texte]&lt;Donnees[[#This Row],[Longueur du texte]]))+(SUMPRODUCT((Donnees[Échantillon]=Donnees[[#This Row],[Échantillon]])*(Donnees[Longueur du texte]=Donnees[[#This Row],[Longueur du texte]]))+1)/2</f>
        <v>20</v>
      </c>
      <c r="AJ195" s="43" t="str">
        <f>IF(Donnees[[#This Row],[Abonnés]]="","",SUMPRODUCT((Donnees[Échantillon]=Donnees[[#This Row],[Échantillon]])*(Donnees[Abonnés]&lt;Donnees[[#This Row],[Abonnés]]))+(SUMPRODUCT((Donnees[Échantillon]=Donnees[[#This Row],[Échantillon]])*(Donnees[Abonnés]=Donnees[[#This Row],[Abonnés]]))+1)/2)</f>
        <v/>
      </c>
      <c r="AK195"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96" spans="1:37" x14ac:dyDescent="0.2">
      <c r="A196" s="40" t="s">
        <v>145</v>
      </c>
      <c r="B196" s="40" t="s">
        <v>233</v>
      </c>
      <c r="C196" s="40" t="s">
        <v>46</v>
      </c>
      <c r="D196" s="40">
        <v>64</v>
      </c>
      <c r="E196" s="40" t="s">
        <v>68</v>
      </c>
      <c r="F196" s="40" t="str">
        <f>IF(OR(Donnees[[#This Row],[Jour]]="samedi",Donnees[[#This Row],[Jour]]="dimanche"),"Oui","Non")</f>
        <v>Non</v>
      </c>
      <c r="G196" s="40">
        <v>21</v>
      </c>
      <c r="H196" s="40" t="str">
        <f>IF(Donnees[[#This Row],[Heure UTC]]&lt;6,"0-5 h",IF(Donnees[[#This Row],[Heure UTC]]&lt;12,"6-11 h",IF(Donnees[[#This Row],[Heure UTC]]&lt;18,"12-17 h","18-23 h")))</f>
        <v>18-23 h</v>
      </c>
      <c r="I196" s="40">
        <v>40</v>
      </c>
      <c r="J196" s="40" t="str">
        <f>IF(Donnees[[#This Row],[Durée (s)]]&lt;=10,"1. ≤ 10 s",IF(Donnees[[#This Row],[Durée (s)]]&lt;=15,"2. 11-15 s",IF(Donnees[[#This Row],[Durée (s)]]&lt;=30,"3. 16-30 s",IF(Donnees[[#This Row],[Durée (s)]]&lt;=60,"4. 31-60 s","5. &gt; 60 s"))))</f>
        <v>4. 31-60 s</v>
      </c>
      <c r="K196" s="40" t="str">
        <f>IF(Donnees[[#This Row],[Durée (s)]]&gt;15,"Oui","Non")</f>
        <v>Oui</v>
      </c>
      <c r="L196" s="40">
        <v>5</v>
      </c>
      <c r="M196" s="40" t="s">
        <v>41</v>
      </c>
      <c r="N196" s="40">
        <v>46</v>
      </c>
      <c r="O196" s="40" t="s">
        <v>41</v>
      </c>
      <c r="P196" s="40" t="s">
        <v>41</v>
      </c>
      <c r="Q196" s="40" t="s">
        <v>41</v>
      </c>
      <c r="R196" s="40"/>
      <c r="S196" s="40"/>
      <c r="T196" s="41"/>
      <c r="U196" s="40" t="str">
        <f>IF(Donnees[[#This Row],[Abonnés]]="","",IF(Donnees[[#This Row],[Abonnés]]&lt;1000000,"1. &lt; 1 M",IF(Donnees[[#This Row],[Abonnés]]&lt;3000000,"2. 1-3 M",IF(Donnees[[#This Row],[Abonnés]]&lt;8000000,"3. 3-8 M","4. ≥ 8 M"))))</f>
        <v/>
      </c>
      <c r="V196" s="41"/>
      <c r="W196" s="41">
        <v>107400</v>
      </c>
      <c r="X196" s="41">
        <v>16700</v>
      </c>
      <c r="Y196" s="41">
        <v>584</v>
      </c>
      <c r="Z196" s="41">
        <v>335</v>
      </c>
      <c r="AA196" s="42">
        <f>(Donnees[[#This Row],[Likes]]+Donnees[[#This Row],[Commentaires]]+Donnees[[#This Row],[Partages]])/Donnees[[#This Row],[Vues]]</f>
        <v>0.16405027932960894</v>
      </c>
      <c r="AB196" s="40">
        <f>IF(Donnees[[#This Row],[Engagement]]&gt;=VLOOKUP(Donnees[[#This Row],[Échantillon]],'Méthode &amp; limites'!$B$9:$D$11,2,FALSE),1,0)</f>
        <v>0</v>
      </c>
      <c r="AC196" s="43" t="str">
        <f>IF(Donnees[[#This Row],[Abonnés]]="","",Donnees[[#This Row],[Vues]]/Donnees[[#This Row],[Abonnés]])</f>
        <v/>
      </c>
      <c r="AD196" s="40" t="s">
        <v>44</v>
      </c>
      <c r="AE196" s="43">
        <f>SUMPRODUCT((Donnees[Échantillon]=Donnees[[#This Row],[Échantillon]])*(Donnees[Engagement]&lt;Donnees[[#This Row],[Engagement]]))+(SUMPRODUCT((Donnees[Échantillon]=Donnees[[#This Row],[Échantillon]])*(Donnees[Engagement]=Donnees[[#This Row],[Engagement]]))+1)/2</f>
        <v>42</v>
      </c>
      <c r="AF196" s="43">
        <f>SUMPRODUCT((Donnees[Échantillon]=Donnees[[#This Row],[Échantillon]])*(Donnees[Vues]&lt;Donnees[[#This Row],[Vues]]))+(SUMPRODUCT((Donnees[Échantillon]=Donnees[[#This Row],[Échantillon]])*(Donnees[Vues]=Donnees[[#This Row],[Vues]]))+1)/2</f>
        <v>6</v>
      </c>
      <c r="AG196" s="43">
        <f>SUMPRODUCT((Donnees[Échantillon]=Donnees[[#This Row],[Échantillon]])*(Donnees[Durée (s)]&lt;Donnees[[#This Row],[Durée (s)]]))+(SUMPRODUCT((Donnees[Échantillon]=Donnees[[#This Row],[Échantillon]])*(Donnees[Durée (s)]=Donnees[[#This Row],[Durée (s)]]))+1)/2</f>
        <v>79</v>
      </c>
      <c r="AH196" s="43">
        <f>SUMPRODUCT((Donnees[Échantillon]=Donnees[[#This Row],[Échantillon]])*(Donnees[Nb hashtags]&lt;Donnees[[#This Row],[Nb hashtags]]))+(SUMPRODUCT((Donnees[Échantillon]=Donnees[[#This Row],[Échantillon]])*(Donnees[Nb hashtags]=Donnees[[#This Row],[Nb hashtags]]))+1)/2</f>
        <v>90.5</v>
      </c>
      <c r="AI196" s="43">
        <f>SUMPRODUCT((Donnees[Échantillon]=Donnees[[#This Row],[Échantillon]])*(Donnees[Longueur du texte]&lt;Donnees[[#This Row],[Longueur du texte]]))+(SUMPRODUCT((Donnees[Échantillon]=Donnees[[#This Row],[Échantillon]])*(Donnees[Longueur du texte]=Donnees[[#This Row],[Longueur du texte]]))+1)/2</f>
        <v>64</v>
      </c>
      <c r="AJ196" s="43" t="str">
        <f>IF(Donnees[[#This Row],[Abonnés]]="","",SUMPRODUCT((Donnees[Échantillon]=Donnees[[#This Row],[Échantillon]])*(Donnees[Abonnés]&lt;Donnees[[#This Row],[Abonnés]]))+(SUMPRODUCT((Donnees[Échantillon]=Donnees[[#This Row],[Échantillon]])*(Donnees[Abonnés]=Donnees[[#This Row],[Abonnés]]))+1)/2)</f>
        <v/>
      </c>
      <c r="AK196"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97" spans="1:37" x14ac:dyDescent="0.2">
      <c r="A197" s="40" t="s">
        <v>145</v>
      </c>
      <c r="B197" s="40" t="s">
        <v>214</v>
      </c>
      <c r="C197" s="40" t="s">
        <v>39</v>
      </c>
      <c r="D197" s="40">
        <v>175</v>
      </c>
      <c r="E197" s="40" t="s">
        <v>75</v>
      </c>
      <c r="F197" s="40" t="str">
        <f>IF(OR(Donnees[[#This Row],[Jour]]="samedi",Donnees[[#This Row],[Jour]]="dimanche"),"Oui","Non")</f>
        <v>Oui</v>
      </c>
      <c r="G197" s="40">
        <v>0</v>
      </c>
      <c r="H197" s="40" t="str">
        <f>IF(Donnees[[#This Row],[Heure UTC]]&lt;6,"0-5 h",IF(Donnees[[#This Row],[Heure UTC]]&lt;12,"6-11 h",IF(Donnees[[#This Row],[Heure UTC]]&lt;18,"12-17 h","18-23 h")))</f>
        <v>0-5 h</v>
      </c>
      <c r="I197" s="40">
        <v>10</v>
      </c>
      <c r="J197" s="40" t="str">
        <f>IF(Donnees[[#This Row],[Durée (s)]]&lt;=10,"1. ≤ 10 s",IF(Donnees[[#This Row],[Durée (s)]]&lt;=15,"2. 11-15 s",IF(Donnees[[#This Row],[Durée (s)]]&lt;=30,"3. 16-30 s",IF(Donnees[[#This Row],[Durée (s)]]&lt;=60,"4. 31-60 s","5. &gt; 60 s"))))</f>
        <v>1. ≤ 10 s</v>
      </c>
      <c r="K197" s="40" t="str">
        <f>IF(Donnees[[#This Row],[Durée (s)]]&gt;15,"Oui","Non")</f>
        <v>Non</v>
      </c>
      <c r="L197" s="40">
        <v>3</v>
      </c>
      <c r="M197" s="40" t="s">
        <v>44</v>
      </c>
      <c r="N197" s="40">
        <v>35</v>
      </c>
      <c r="O197" s="40" t="s">
        <v>41</v>
      </c>
      <c r="P197" s="40" t="s">
        <v>44</v>
      </c>
      <c r="Q197" s="40" t="s">
        <v>44</v>
      </c>
      <c r="R197" s="40"/>
      <c r="S197" s="40"/>
      <c r="T197" s="41"/>
      <c r="U197" s="40" t="str">
        <f>IF(Donnees[[#This Row],[Abonnés]]="","",IF(Donnees[[#This Row],[Abonnés]]&lt;1000000,"1. &lt; 1 M",IF(Donnees[[#This Row],[Abonnés]]&lt;3000000,"2. 1-3 M",IF(Donnees[[#This Row],[Abonnés]]&lt;8000000,"3. 3-8 M","4. ≥ 8 M"))))</f>
        <v/>
      </c>
      <c r="V197" s="41"/>
      <c r="W197" s="41">
        <v>73800</v>
      </c>
      <c r="X197" s="41">
        <v>7528</v>
      </c>
      <c r="Y197" s="41">
        <v>119</v>
      </c>
      <c r="Z197" s="41">
        <v>32</v>
      </c>
      <c r="AA197" s="42">
        <f>(Donnees[[#This Row],[Likes]]+Donnees[[#This Row],[Commentaires]]+Donnees[[#This Row],[Partages]])/Donnees[[#This Row],[Vues]]</f>
        <v>0.10405149051490514</v>
      </c>
      <c r="AB197" s="40">
        <f>IF(Donnees[[#This Row],[Engagement]]&gt;=VLOOKUP(Donnees[[#This Row],[Échantillon]],'Méthode &amp; limites'!$B$9:$D$11,2,FALSE),1,0)</f>
        <v>0</v>
      </c>
      <c r="AC197" s="43" t="str">
        <f>IF(Donnees[[#This Row],[Abonnés]]="","",Donnees[[#This Row],[Vues]]/Donnees[[#This Row],[Abonnés]])</f>
        <v/>
      </c>
      <c r="AD197" s="40" t="s">
        <v>44</v>
      </c>
      <c r="AE197" s="43">
        <f>SUMPRODUCT((Donnees[Échantillon]=Donnees[[#This Row],[Échantillon]])*(Donnees[Engagement]&lt;Donnees[[#This Row],[Engagement]]))+(SUMPRODUCT((Donnees[Échantillon]=Donnees[[#This Row],[Échantillon]])*(Donnees[Engagement]=Donnees[[#This Row],[Engagement]]))+1)/2</f>
        <v>21</v>
      </c>
      <c r="AF197" s="43">
        <f>SUMPRODUCT((Donnees[Échantillon]=Donnees[[#This Row],[Échantillon]])*(Donnees[Vues]&lt;Donnees[[#This Row],[Vues]]))+(SUMPRODUCT((Donnees[Échantillon]=Donnees[[#This Row],[Échantillon]])*(Donnees[Vues]=Donnees[[#This Row],[Vues]]))+1)/2</f>
        <v>5</v>
      </c>
      <c r="AG197" s="43">
        <f>SUMPRODUCT((Donnees[Échantillon]=Donnees[[#This Row],[Échantillon]])*(Donnees[Durée (s)]&lt;Donnees[[#This Row],[Durée (s)]]))+(SUMPRODUCT((Donnees[Échantillon]=Donnees[[#This Row],[Échantillon]])*(Donnees[Durée (s)]=Donnees[[#This Row],[Durée (s)]]))+1)/2</f>
        <v>11</v>
      </c>
      <c r="AH197" s="43">
        <f>SUMPRODUCT((Donnees[Échantillon]=Donnees[[#This Row],[Échantillon]])*(Donnees[Nb hashtags]&lt;Donnees[[#This Row],[Nb hashtags]]))+(SUMPRODUCT((Donnees[Échantillon]=Donnees[[#This Row],[Échantillon]])*(Donnees[Nb hashtags]=Donnees[[#This Row],[Nb hashtags]]))+1)/2</f>
        <v>74</v>
      </c>
      <c r="AI197" s="43">
        <f>SUMPRODUCT((Donnees[Échantillon]=Donnees[[#This Row],[Échantillon]])*(Donnees[Longueur du texte]&lt;Donnees[[#This Row],[Longueur du texte]]))+(SUMPRODUCT((Donnees[Échantillon]=Donnees[[#This Row],[Échantillon]])*(Donnees[Longueur du texte]=Donnees[[#This Row],[Longueur du texte]]))+1)/2</f>
        <v>52.5</v>
      </c>
      <c r="AJ197" s="43" t="str">
        <f>IF(Donnees[[#This Row],[Abonnés]]="","",SUMPRODUCT((Donnees[Échantillon]=Donnees[[#This Row],[Échantillon]])*(Donnees[Abonnés]&lt;Donnees[[#This Row],[Abonnés]]))+(SUMPRODUCT((Donnees[Échantillon]=Donnees[[#This Row],[Échantillon]])*(Donnees[Abonnés]=Donnees[[#This Row],[Abonnés]]))+1)/2)</f>
        <v/>
      </c>
      <c r="AK197"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98" spans="1:37" x14ac:dyDescent="0.2">
      <c r="A198" s="40" t="s">
        <v>145</v>
      </c>
      <c r="B198" s="40" t="s">
        <v>234</v>
      </c>
      <c r="C198" s="40" t="s">
        <v>39</v>
      </c>
      <c r="D198" s="40">
        <v>89</v>
      </c>
      <c r="E198" s="40" t="s">
        <v>71</v>
      </c>
      <c r="F198" s="40" t="str">
        <f>IF(OR(Donnees[[#This Row],[Jour]]="samedi",Donnees[[#This Row],[Jour]]="dimanche"),"Oui","Non")</f>
        <v>Non</v>
      </c>
      <c r="G198" s="40">
        <v>12</v>
      </c>
      <c r="H198" s="40" t="str">
        <f>IF(Donnees[[#This Row],[Heure UTC]]&lt;6,"0-5 h",IF(Donnees[[#This Row],[Heure UTC]]&lt;12,"6-11 h",IF(Donnees[[#This Row],[Heure UTC]]&lt;18,"12-17 h","18-23 h")))</f>
        <v>12-17 h</v>
      </c>
      <c r="I198" s="40">
        <v>15</v>
      </c>
      <c r="J198" s="40" t="str">
        <f>IF(Donnees[[#This Row],[Durée (s)]]&lt;=10,"1. ≤ 10 s",IF(Donnees[[#This Row],[Durée (s)]]&lt;=15,"2. 11-15 s",IF(Donnees[[#This Row],[Durée (s)]]&lt;=30,"3. 16-30 s",IF(Donnees[[#This Row],[Durée (s)]]&lt;=60,"4. 31-60 s","5. &gt; 60 s"))))</f>
        <v>2. 11-15 s</v>
      </c>
      <c r="K198" s="40" t="str">
        <f>IF(Donnees[[#This Row],[Durée (s)]]&gt;15,"Oui","Non")</f>
        <v>Non</v>
      </c>
      <c r="L198" s="40">
        <v>2</v>
      </c>
      <c r="M198" s="40" t="s">
        <v>44</v>
      </c>
      <c r="N198" s="40">
        <v>80</v>
      </c>
      <c r="O198" s="40" t="s">
        <v>41</v>
      </c>
      <c r="P198" s="40" t="s">
        <v>41</v>
      </c>
      <c r="Q198" s="40" t="s">
        <v>41</v>
      </c>
      <c r="R198" s="40"/>
      <c r="S198" s="40"/>
      <c r="T198" s="41"/>
      <c r="U198" s="40" t="str">
        <f>IF(Donnees[[#This Row],[Abonnés]]="","",IF(Donnees[[#This Row],[Abonnés]]&lt;1000000,"1. &lt; 1 M",IF(Donnees[[#This Row],[Abonnés]]&lt;3000000,"2. 1-3 M",IF(Donnees[[#This Row],[Abonnés]]&lt;8000000,"3. 3-8 M","4. ≥ 8 M"))))</f>
        <v/>
      </c>
      <c r="V198" s="41"/>
      <c r="W198" s="41">
        <v>40500</v>
      </c>
      <c r="X198" s="41">
        <v>1073</v>
      </c>
      <c r="Y198" s="41">
        <v>81</v>
      </c>
      <c r="Z198" s="41">
        <v>51</v>
      </c>
      <c r="AA198" s="42">
        <f>(Donnees[[#This Row],[Likes]]+Donnees[[#This Row],[Commentaires]]+Donnees[[#This Row],[Partages]])/Donnees[[#This Row],[Vues]]</f>
        <v>2.9753086419753088E-2</v>
      </c>
      <c r="AB198" s="40">
        <f>IF(Donnees[[#This Row],[Engagement]]&gt;=VLOOKUP(Donnees[[#This Row],[Échantillon]],'Méthode &amp; limites'!$B$9:$D$11,2,FALSE),1,0)</f>
        <v>0</v>
      </c>
      <c r="AC198" s="43" t="str">
        <f>IF(Donnees[[#This Row],[Abonnés]]="","",Donnees[[#This Row],[Vues]]/Donnees[[#This Row],[Abonnés]])</f>
        <v/>
      </c>
      <c r="AD198" s="40" t="s">
        <v>44</v>
      </c>
      <c r="AE198" s="43">
        <f>SUMPRODUCT((Donnees[Échantillon]=Donnees[[#This Row],[Échantillon]])*(Donnees[Engagement]&lt;Donnees[[#This Row],[Engagement]]))+(SUMPRODUCT((Donnees[Échantillon]=Donnees[[#This Row],[Échantillon]])*(Donnees[Engagement]=Donnees[[#This Row],[Engagement]]))+1)/2</f>
        <v>3</v>
      </c>
      <c r="AF198" s="43">
        <f>SUMPRODUCT((Donnees[Échantillon]=Donnees[[#This Row],[Échantillon]])*(Donnees[Vues]&lt;Donnees[[#This Row],[Vues]]))+(SUMPRODUCT((Donnees[Échantillon]=Donnees[[#This Row],[Échantillon]])*(Donnees[Vues]=Donnees[[#This Row],[Vues]]))+1)/2</f>
        <v>4</v>
      </c>
      <c r="AG198" s="43">
        <f>SUMPRODUCT((Donnees[Échantillon]=Donnees[[#This Row],[Échantillon]])*(Donnees[Durée (s)]&lt;Donnees[[#This Row],[Durée (s)]]))+(SUMPRODUCT((Donnees[Échantillon]=Donnees[[#This Row],[Échantillon]])*(Donnees[Durée (s)]=Donnees[[#This Row],[Durée (s)]]))+1)/2</f>
        <v>43.5</v>
      </c>
      <c r="AH198" s="43">
        <f>SUMPRODUCT((Donnees[Échantillon]=Donnees[[#This Row],[Échantillon]])*(Donnees[Nb hashtags]&lt;Donnees[[#This Row],[Nb hashtags]]))+(SUMPRODUCT((Donnees[Échantillon]=Donnees[[#This Row],[Échantillon]])*(Donnees[Nb hashtags]=Donnees[[#This Row],[Nb hashtags]]))+1)/2</f>
        <v>61</v>
      </c>
      <c r="AI198" s="43">
        <f>SUMPRODUCT((Donnees[Échantillon]=Donnees[[#This Row],[Échantillon]])*(Donnees[Longueur du texte]&lt;Donnees[[#This Row],[Longueur du texte]]))+(SUMPRODUCT((Donnees[Échantillon]=Donnees[[#This Row],[Échantillon]])*(Donnees[Longueur du texte]=Donnees[[#This Row],[Longueur du texte]]))+1)/2</f>
        <v>86.5</v>
      </c>
      <c r="AJ198" s="43" t="str">
        <f>IF(Donnees[[#This Row],[Abonnés]]="","",SUMPRODUCT((Donnees[Échantillon]=Donnees[[#This Row],[Échantillon]])*(Donnees[Abonnés]&lt;Donnees[[#This Row],[Abonnés]]))+(SUMPRODUCT((Donnees[Échantillon]=Donnees[[#This Row],[Échantillon]])*(Donnees[Abonnés]=Donnees[[#This Row],[Abonnés]]))+1)/2)</f>
        <v/>
      </c>
      <c r="AK198"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199" spans="1:37" x14ac:dyDescent="0.2">
      <c r="A199" s="40" t="s">
        <v>145</v>
      </c>
      <c r="B199" s="40" t="s">
        <v>189</v>
      </c>
      <c r="C199" s="40" t="s">
        <v>46</v>
      </c>
      <c r="D199" s="40">
        <v>57</v>
      </c>
      <c r="E199" s="40" t="s">
        <v>68</v>
      </c>
      <c r="F199" s="40" t="str">
        <f>IF(OR(Donnees[[#This Row],[Jour]]="samedi",Donnees[[#This Row],[Jour]]="dimanche"),"Oui","Non")</f>
        <v>Non</v>
      </c>
      <c r="G199" s="40">
        <v>16</v>
      </c>
      <c r="H199" s="40" t="str">
        <f>IF(Donnees[[#This Row],[Heure UTC]]&lt;6,"0-5 h",IF(Donnees[[#This Row],[Heure UTC]]&lt;12,"6-11 h",IF(Donnees[[#This Row],[Heure UTC]]&lt;18,"12-17 h","18-23 h")))</f>
        <v>12-17 h</v>
      </c>
      <c r="I199" s="40">
        <v>26</v>
      </c>
      <c r="J199" s="40" t="str">
        <f>IF(Donnees[[#This Row],[Durée (s)]]&lt;=10,"1. ≤ 10 s",IF(Donnees[[#This Row],[Durée (s)]]&lt;=15,"2. 11-15 s",IF(Donnees[[#This Row],[Durée (s)]]&lt;=30,"3. 16-30 s",IF(Donnees[[#This Row],[Durée (s)]]&lt;=60,"4. 31-60 s","5. &gt; 60 s"))))</f>
        <v>3. 16-30 s</v>
      </c>
      <c r="K199" s="40" t="str">
        <f>IF(Donnees[[#This Row],[Durée (s)]]&gt;15,"Oui","Non")</f>
        <v>Oui</v>
      </c>
      <c r="L199" s="40">
        <v>3</v>
      </c>
      <c r="M199" s="40" t="s">
        <v>41</v>
      </c>
      <c r="N199" s="40">
        <v>41</v>
      </c>
      <c r="O199" s="40" t="s">
        <v>41</v>
      </c>
      <c r="P199" s="40" t="s">
        <v>44</v>
      </c>
      <c r="Q199" s="40" t="s">
        <v>44</v>
      </c>
      <c r="R199" s="40"/>
      <c r="S199" s="40"/>
      <c r="T199" s="41"/>
      <c r="U199" s="40" t="str">
        <f>IF(Donnees[[#This Row],[Abonnés]]="","",IF(Donnees[[#This Row],[Abonnés]]&lt;1000000,"1. &lt; 1 M",IF(Donnees[[#This Row],[Abonnés]]&lt;3000000,"2. 1-3 M",IF(Donnees[[#This Row],[Abonnés]]&lt;8000000,"3. 3-8 M","4. ≥ 8 M"))))</f>
        <v/>
      </c>
      <c r="V199" s="41"/>
      <c r="W199" s="41">
        <v>28700</v>
      </c>
      <c r="X199" s="41">
        <v>1369</v>
      </c>
      <c r="Y199" s="41">
        <v>58</v>
      </c>
      <c r="Z199" s="41">
        <v>10</v>
      </c>
      <c r="AA199" s="42">
        <f>(Donnees[[#This Row],[Likes]]+Donnees[[#This Row],[Commentaires]]+Donnees[[#This Row],[Partages]])/Donnees[[#This Row],[Vues]]</f>
        <v>5.0069686411149825E-2</v>
      </c>
      <c r="AB199" s="40">
        <f>IF(Donnees[[#This Row],[Engagement]]&gt;=VLOOKUP(Donnees[[#This Row],[Échantillon]],'Méthode &amp; limites'!$B$9:$D$11,2,FALSE),1,0)</f>
        <v>0</v>
      </c>
      <c r="AC199" s="43" t="str">
        <f>IF(Donnees[[#This Row],[Abonnés]]="","",Donnees[[#This Row],[Vues]]/Donnees[[#This Row],[Abonnés]])</f>
        <v/>
      </c>
      <c r="AD199" s="40" t="s">
        <v>44</v>
      </c>
      <c r="AE199" s="43">
        <f>SUMPRODUCT((Donnees[Échantillon]=Donnees[[#This Row],[Échantillon]])*(Donnees[Engagement]&lt;Donnees[[#This Row],[Engagement]]))+(SUMPRODUCT((Donnees[Échantillon]=Donnees[[#This Row],[Échantillon]])*(Donnees[Engagement]=Donnees[[#This Row],[Engagement]]))+1)/2</f>
        <v>8</v>
      </c>
      <c r="AF199" s="43">
        <f>SUMPRODUCT((Donnees[Échantillon]=Donnees[[#This Row],[Échantillon]])*(Donnees[Vues]&lt;Donnees[[#This Row],[Vues]]))+(SUMPRODUCT((Donnees[Échantillon]=Donnees[[#This Row],[Échantillon]])*(Donnees[Vues]=Donnees[[#This Row],[Vues]]))+1)/2</f>
        <v>3</v>
      </c>
      <c r="AG199" s="43">
        <f>SUMPRODUCT((Donnees[Échantillon]=Donnees[[#This Row],[Échantillon]])*(Donnees[Durée (s)]&lt;Donnees[[#This Row],[Durée (s)]]))+(SUMPRODUCT((Donnees[Échantillon]=Donnees[[#This Row],[Échantillon]])*(Donnees[Durée (s)]=Donnees[[#This Row],[Durée (s)]]))+1)/2</f>
        <v>69</v>
      </c>
      <c r="AH199" s="43">
        <f>SUMPRODUCT((Donnees[Échantillon]=Donnees[[#This Row],[Échantillon]])*(Donnees[Nb hashtags]&lt;Donnees[[#This Row],[Nb hashtags]]))+(SUMPRODUCT((Donnees[Échantillon]=Donnees[[#This Row],[Échantillon]])*(Donnees[Nb hashtags]=Donnees[[#This Row],[Nb hashtags]]))+1)/2</f>
        <v>74</v>
      </c>
      <c r="AI199" s="43">
        <f>SUMPRODUCT((Donnees[Échantillon]=Donnees[[#This Row],[Échantillon]])*(Donnees[Longueur du texte]&lt;Donnees[[#This Row],[Longueur du texte]]))+(SUMPRODUCT((Donnees[Échantillon]=Donnees[[#This Row],[Échantillon]])*(Donnees[Longueur du texte]=Donnees[[#This Row],[Longueur du texte]]))+1)/2</f>
        <v>60.5</v>
      </c>
      <c r="AJ199" s="43" t="str">
        <f>IF(Donnees[[#This Row],[Abonnés]]="","",SUMPRODUCT((Donnees[Échantillon]=Donnees[[#This Row],[Échantillon]])*(Donnees[Abonnés]&lt;Donnees[[#This Row],[Abonnés]]))+(SUMPRODUCT((Donnees[Échantillon]=Donnees[[#This Row],[Échantillon]])*(Donnees[Abonnés]=Donnees[[#This Row],[Abonnés]]))+1)/2)</f>
        <v/>
      </c>
      <c r="AK199"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200" spans="1:37" x14ac:dyDescent="0.2">
      <c r="A200" s="40" t="s">
        <v>145</v>
      </c>
      <c r="B200" s="40" t="s">
        <v>235</v>
      </c>
      <c r="C200" s="40" t="s">
        <v>46</v>
      </c>
      <c r="D200" s="40">
        <v>18</v>
      </c>
      <c r="E200" s="40" t="s">
        <v>40</v>
      </c>
      <c r="F200" s="40" t="str">
        <f>IF(OR(Donnees[[#This Row],[Jour]]="samedi",Donnees[[#This Row],[Jour]]="dimanche"),"Oui","Non")</f>
        <v>Non</v>
      </c>
      <c r="G200" s="40">
        <v>19</v>
      </c>
      <c r="H200" s="40" t="str">
        <f>IF(Donnees[[#This Row],[Heure UTC]]&lt;6,"0-5 h",IF(Donnees[[#This Row],[Heure UTC]]&lt;12,"6-11 h",IF(Donnees[[#This Row],[Heure UTC]]&lt;18,"12-17 h","18-23 h")))</f>
        <v>18-23 h</v>
      </c>
      <c r="I200" s="40">
        <v>17</v>
      </c>
      <c r="J200" s="40" t="str">
        <f>IF(Donnees[[#This Row],[Durée (s)]]&lt;=10,"1. ≤ 10 s",IF(Donnees[[#This Row],[Durée (s)]]&lt;=15,"2. 11-15 s",IF(Donnees[[#This Row],[Durée (s)]]&lt;=30,"3. 16-30 s",IF(Donnees[[#This Row],[Durée (s)]]&lt;=60,"4. 31-60 s","5. &gt; 60 s"))))</f>
        <v>3. 16-30 s</v>
      </c>
      <c r="K200" s="40" t="str">
        <f>IF(Donnees[[#This Row],[Durée (s)]]&gt;15,"Oui","Non")</f>
        <v>Oui</v>
      </c>
      <c r="L200" s="40">
        <v>0</v>
      </c>
      <c r="M200" s="40" t="s">
        <v>41</v>
      </c>
      <c r="N200" s="40">
        <v>115</v>
      </c>
      <c r="O200" s="40" t="s">
        <v>41</v>
      </c>
      <c r="P200" s="40" t="s">
        <v>41</v>
      </c>
      <c r="Q200" s="40" t="s">
        <v>41</v>
      </c>
      <c r="R200" s="40"/>
      <c r="S200" s="40"/>
      <c r="T200" s="41"/>
      <c r="U200" s="40" t="str">
        <f>IF(Donnees[[#This Row],[Abonnés]]="","",IF(Donnees[[#This Row],[Abonnés]]&lt;1000000,"1. &lt; 1 M",IF(Donnees[[#This Row],[Abonnés]]&lt;3000000,"2. 1-3 M",IF(Donnees[[#This Row],[Abonnés]]&lt;8000000,"3. 3-8 M","4. ≥ 8 M"))))</f>
        <v/>
      </c>
      <c r="V200" s="41"/>
      <c r="W200" s="41">
        <v>22300</v>
      </c>
      <c r="X200" s="41">
        <v>1928</v>
      </c>
      <c r="Y200" s="41">
        <v>85</v>
      </c>
      <c r="Z200" s="41">
        <v>47</v>
      </c>
      <c r="AA200" s="42">
        <f>(Donnees[[#This Row],[Likes]]+Donnees[[#This Row],[Commentaires]]+Donnees[[#This Row],[Partages]])/Donnees[[#This Row],[Vues]]</f>
        <v>9.2376681614349782E-2</v>
      </c>
      <c r="AB200" s="40">
        <f>IF(Donnees[[#This Row],[Engagement]]&gt;=VLOOKUP(Donnees[[#This Row],[Échantillon]],'Méthode &amp; limites'!$B$9:$D$11,2,FALSE),1,0)</f>
        <v>0</v>
      </c>
      <c r="AC200" s="43" t="str">
        <f>IF(Donnees[[#This Row],[Abonnés]]="","",Donnees[[#This Row],[Vues]]/Donnees[[#This Row],[Abonnés]])</f>
        <v/>
      </c>
      <c r="AD200" s="40" t="s">
        <v>44</v>
      </c>
      <c r="AE200" s="43">
        <f>SUMPRODUCT((Donnees[Échantillon]=Donnees[[#This Row],[Échantillon]])*(Donnees[Engagement]&lt;Donnees[[#This Row],[Engagement]]))+(SUMPRODUCT((Donnees[Échantillon]=Donnees[[#This Row],[Échantillon]])*(Donnees[Engagement]=Donnees[[#This Row],[Engagement]]))+1)/2</f>
        <v>16</v>
      </c>
      <c r="AF200" s="43">
        <f>SUMPRODUCT((Donnees[Échantillon]=Donnees[[#This Row],[Échantillon]])*(Donnees[Vues]&lt;Donnees[[#This Row],[Vues]]))+(SUMPRODUCT((Donnees[Échantillon]=Donnees[[#This Row],[Échantillon]])*(Donnees[Vues]=Donnees[[#This Row],[Vues]]))+1)/2</f>
        <v>2</v>
      </c>
      <c r="AG200" s="43">
        <f>SUMPRODUCT((Donnees[Échantillon]=Donnees[[#This Row],[Échantillon]])*(Donnees[Durée (s)]&lt;Donnees[[#This Row],[Durée (s)]]))+(SUMPRODUCT((Donnees[Échantillon]=Donnees[[#This Row],[Échantillon]])*(Donnees[Durée (s)]=Donnees[[#This Row],[Durée (s)]]))+1)/2</f>
        <v>53.5</v>
      </c>
      <c r="AH200" s="43">
        <f>SUMPRODUCT((Donnees[Échantillon]=Donnees[[#This Row],[Échantillon]])*(Donnees[Nb hashtags]&lt;Donnees[[#This Row],[Nb hashtags]]))+(SUMPRODUCT((Donnees[Échantillon]=Donnees[[#This Row],[Échantillon]])*(Donnees[Nb hashtags]=Donnees[[#This Row],[Nb hashtags]]))+1)/2</f>
        <v>18.5</v>
      </c>
      <c r="AI200" s="43">
        <f>SUMPRODUCT((Donnees[Échantillon]=Donnees[[#This Row],[Échantillon]])*(Donnees[Longueur du texte]&lt;Donnees[[#This Row],[Longueur du texte]]))+(SUMPRODUCT((Donnees[Échantillon]=Donnees[[#This Row],[Échantillon]])*(Donnees[Longueur du texte]=Donnees[[#This Row],[Longueur du texte]]))+1)/2</f>
        <v>96.5</v>
      </c>
      <c r="AJ200" s="43" t="str">
        <f>IF(Donnees[[#This Row],[Abonnés]]="","",SUMPRODUCT((Donnees[Échantillon]=Donnees[[#This Row],[Échantillon]])*(Donnees[Abonnés]&lt;Donnees[[#This Row],[Abonnés]]))+(SUMPRODUCT((Donnees[Échantillon]=Donnees[[#This Row],[Échantillon]])*(Donnees[Abonnés]=Donnees[[#This Row],[Abonnés]]))+1)/2)</f>
        <v/>
      </c>
      <c r="AK200"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201" spans="1:37" x14ac:dyDescent="0.2">
      <c r="A201" s="40" t="s">
        <v>145</v>
      </c>
      <c r="B201" s="40" t="s">
        <v>236</v>
      </c>
      <c r="C201" s="40" t="s">
        <v>46</v>
      </c>
      <c r="D201" s="40">
        <v>5</v>
      </c>
      <c r="E201" s="40" t="s">
        <v>71</v>
      </c>
      <c r="F201" s="40" t="str">
        <f>IF(OR(Donnees[[#This Row],[Jour]]="samedi",Donnees[[#This Row],[Jour]]="dimanche"),"Oui","Non")</f>
        <v>Non</v>
      </c>
      <c r="G201" s="40">
        <v>18</v>
      </c>
      <c r="H201" s="40" t="str">
        <f>IF(Donnees[[#This Row],[Heure UTC]]&lt;6,"0-5 h",IF(Donnees[[#This Row],[Heure UTC]]&lt;12,"6-11 h",IF(Donnees[[#This Row],[Heure UTC]]&lt;18,"12-17 h","18-23 h")))</f>
        <v>18-23 h</v>
      </c>
      <c r="I201" s="40">
        <v>21</v>
      </c>
      <c r="J201" s="40" t="str">
        <f>IF(Donnees[[#This Row],[Durée (s)]]&lt;=10,"1. ≤ 10 s",IF(Donnees[[#This Row],[Durée (s)]]&lt;=15,"2. 11-15 s",IF(Donnees[[#This Row],[Durée (s)]]&lt;=30,"3. 16-30 s",IF(Donnees[[#This Row],[Durée (s)]]&lt;=60,"4. 31-60 s","5. &gt; 60 s"))))</f>
        <v>3. 16-30 s</v>
      </c>
      <c r="K201" s="40" t="str">
        <f>IF(Donnees[[#This Row],[Durée (s)]]&gt;15,"Oui","Non")</f>
        <v>Oui</v>
      </c>
      <c r="L201" s="40">
        <v>1</v>
      </c>
      <c r="M201" s="40" t="s">
        <v>41</v>
      </c>
      <c r="N201" s="40">
        <v>101</v>
      </c>
      <c r="O201" s="40" t="s">
        <v>41</v>
      </c>
      <c r="P201" s="40" t="s">
        <v>44</v>
      </c>
      <c r="Q201" s="40" t="s">
        <v>44</v>
      </c>
      <c r="R201" s="40"/>
      <c r="S201" s="40"/>
      <c r="T201" s="41"/>
      <c r="U201" s="40" t="str">
        <f>IF(Donnees[[#This Row],[Abonnés]]="","",IF(Donnees[[#This Row],[Abonnés]]&lt;1000000,"1. &lt; 1 M",IF(Donnees[[#This Row],[Abonnés]]&lt;3000000,"2. 1-3 M",IF(Donnees[[#This Row],[Abonnés]]&lt;8000000,"3. 3-8 M","4. ≥ 8 M"))))</f>
        <v/>
      </c>
      <c r="V201" s="41"/>
      <c r="W201" s="41">
        <v>8689</v>
      </c>
      <c r="X201" s="41">
        <v>326</v>
      </c>
      <c r="Y201" s="41">
        <v>31</v>
      </c>
      <c r="Z201" s="41">
        <v>3</v>
      </c>
      <c r="AA201" s="42">
        <f>(Donnees[[#This Row],[Likes]]+Donnees[[#This Row],[Commentaires]]+Donnees[[#This Row],[Partages]])/Donnees[[#This Row],[Vues]]</f>
        <v>4.1431695246863853E-2</v>
      </c>
      <c r="AB201" s="40">
        <f>IF(Donnees[[#This Row],[Engagement]]&gt;=VLOOKUP(Donnees[[#This Row],[Échantillon]],'Méthode &amp; limites'!$B$9:$D$11,2,FALSE),1,0)</f>
        <v>0</v>
      </c>
      <c r="AC201" s="43" t="str">
        <f>IF(Donnees[[#This Row],[Abonnés]]="","",Donnees[[#This Row],[Vues]]/Donnees[[#This Row],[Abonnés]])</f>
        <v/>
      </c>
      <c r="AD201" s="40" t="s">
        <v>44</v>
      </c>
      <c r="AE201" s="43">
        <f>SUMPRODUCT((Donnees[Échantillon]=Donnees[[#This Row],[Échantillon]])*(Donnees[Engagement]&lt;Donnees[[#This Row],[Engagement]]))+(SUMPRODUCT((Donnees[Échantillon]=Donnees[[#This Row],[Échantillon]])*(Donnees[Engagement]=Donnees[[#This Row],[Engagement]]))+1)/2</f>
        <v>6</v>
      </c>
      <c r="AF201" s="43">
        <f>SUMPRODUCT((Donnees[Échantillon]=Donnees[[#This Row],[Échantillon]])*(Donnees[Vues]&lt;Donnees[[#This Row],[Vues]]))+(SUMPRODUCT((Donnees[Échantillon]=Donnees[[#This Row],[Échantillon]])*(Donnees[Vues]=Donnees[[#This Row],[Vues]]))+1)/2</f>
        <v>1</v>
      </c>
      <c r="AG201" s="43">
        <f>SUMPRODUCT((Donnees[Échantillon]=Donnees[[#This Row],[Échantillon]])*(Donnees[Durée (s)]&lt;Donnees[[#This Row],[Durée (s)]]))+(SUMPRODUCT((Donnees[Échantillon]=Donnees[[#This Row],[Échantillon]])*(Donnees[Durée (s)]=Donnees[[#This Row],[Durée (s)]]))+1)/2</f>
        <v>59</v>
      </c>
      <c r="AH201" s="43">
        <f>SUMPRODUCT((Donnees[Échantillon]=Donnees[[#This Row],[Échantillon]])*(Donnees[Nb hashtags]&lt;Donnees[[#This Row],[Nb hashtags]]))+(SUMPRODUCT((Donnees[Échantillon]=Donnees[[#This Row],[Échantillon]])*(Donnees[Nb hashtags]=Donnees[[#This Row],[Nb hashtags]]))+1)/2</f>
        <v>45.5</v>
      </c>
      <c r="AI201" s="43">
        <f>SUMPRODUCT((Donnees[Échantillon]=Donnees[[#This Row],[Échantillon]])*(Donnees[Longueur du texte]&lt;Donnees[[#This Row],[Longueur du texte]]))+(SUMPRODUCT((Donnees[Échantillon]=Donnees[[#This Row],[Échantillon]])*(Donnees[Longueur du texte]=Donnees[[#This Row],[Longueur du texte]]))+1)/2</f>
        <v>93</v>
      </c>
      <c r="AJ201" s="43" t="str">
        <f>IF(Donnees[[#This Row],[Abonnés]]="","",SUMPRODUCT((Donnees[Échantillon]=Donnees[[#This Row],[Échantillon]])*(Donnees[Abonnés]&lt;Donnees[[#This Row],[Abonnés]]))+(SUMPRODUCT((Donnees[Échantillon]=Donnees[[#This Row],[Échantillon]])*(Donnees[Abonnés]=Donnees[[#This Row],[Abonnés]]))+1)/2)</f>
        <v/>
      </c>
      <c r="AK201" s="43" t="str">
        <f>IF(Donnees[[#This Row],[Vidéos publiées]]="","",SUMPRODUCT((Donnees[Échantillon]=Donnees[[#This Row],[Échantillon]])*(Donnees[Vidéos publiées]&lt;Donnees[[#This Row],[Vidéos publiées]]))+(SUMPRODUCT((Donnees[Échantillon]=Donnees[[#This Row],[Échantillon]])*(Donnees[Vidéos publiées]=Donnees[[#This Row],[Vidéos publiées]]))+1)/2)</f>
        <v/>
      </c>
    </row>
    <row r="202" spans="1:37" x14ac:dyDescent="0.2">
      <c r="A202" s="40" t="s">
        <v>237</v>
      </c>
      <c r="B202" s="40" t="s">
        <v>238</v>
      </c>
      <c r="C202" s="40" t="s">
        <v>67</v>
      </c>
      <c r="D202" s="40">
        <v>433</v>
      </c>
      <c r="E202" s="40" t="s">
        <v>59</v>
      </c>
      <c r="F202" s="40" t="str">
        <f>IF(OR(Donnees[[#This Row],[Jour]]="samedi",Donnees[[#This Row],[Jour]]="dimanche"),"Oui","Non")</f>
        <v>Non</v>
      </c>
      <c r="G202" s="40">
        <v>20</v>
      </c>
      <c r="H202" s="40" t="str">
        <f>IF(Donnees[[#This Row],[Heure UTC]]&lt;6,"0-5 h",IF(Donnees[[#This Row],[Heure UTC]]&lt;12,"6-11 h",IF(Donnees[[#This Row],[Heure UTC]]&lt;18,"12-17 h","18-23 h")))</f>
        <v>18-23 h</v>
      </c>
      <c r="I202" s="40">
        <v>13</v>
      </c>
      <c r="J202" s="40" t="str">
        <f>IF(Donnees[[#This Row],[Durée (s)]]&lt;=10,"1. ≤ 10 s",IF(Donnees[[#This Row],[Durée (s)]]&lt;=15,"2. 11-15 s",IF(Donnees[[#This Row],[Durée (s)]]&lt;=30,"3. 16-30 s",IF(Donnees[[#This Row],[Durée (s)]]&lt;=60,"4. 31-60 s","5. &gt; 60 s"))))</f>
        <v>2. 11-15 s</v>
      </c>
      <c r="K202" s="40" t="str">
        <f>IF(Donnees[[#This Row],[Durée (s)]]&gt;15,"Oui","Non")</f>
        <v>Non</v>
      </c>
      <c r="L202" s="40">
        <v>6</v>
      </c>
      <c r="M202" s="40" t="s">
        <v>44</v>
      </c>
      <c r="N202" s="40">
        <v>8</v>
      </c>
      <c r="O202" s="40" t="s">
        <v>41</v>
      </c>
      <c r="P202" s="40" t="s">
        <v>41</v>
      </c>
      <c r="Q202" s="40" t="s">
        <v>41</v>
      </c>
      <c r="R202" s="40" t="s">
        <v>44</v>
      </c>
      <c r="S202" s="40" t="s">
        <v>44</v>
      </c>
      <c r="T202" s="41">
        <v>3100000</v>
      </c>
      <c r="U202" s="40" t="str">
        <f>IF(Donnees[[#This Row],[Abonnés]]="","",IF(Donnees[[#This Row],[Abonnés]]&lt;1000000,"1. &lt; 1 M",IF(Donnees[[#This Row],[Abonnés]]&lt;3000000,"2. 1-3 M",IF(Donnees[[#This Row],[Abonnés]]&lt;8000000,"3. 3-8 M","4. ≥ 8 M"))))</f>
        <v>3. 3-8 M</v>
      </c>
      <c r="V202" s="41">
        <v>87</v>
      </c>
      <c r="W202" s="41">
        <v>280900000</v>
      </c>
      <c r="X202" s="41">
        <v>35600000</v>
      </c>
      <c r="Y202" s="41">
        <v>475900</v>
      </c>
      <c r="Z202" s="41">
        <v>2700000</v>
      </c>
      <c r="AA202" s="42">
        <f>(Donnees[[#This Row],[Likes]]+Donnees[[#This Row],[Commentaires]]+Donnees[[#This Row],[Partages]])/Donnees[[#This Row],[Vues]]</f>
        <v>0.13804165183339268</v>
      </c>
      <c r="AB202" s="40">
        <f>IF(Donnees[[#This Row],[Engagement]]&gt;=VLOOKUP(Donnees[[#This Row],[Échantillon]],'Méthode &amp; limites'!$B$9:$D$11,2,FALSE),1,0)</f>
        <v>0</v>
      </c>
      <c r="AC202" s="43">
        <f>IF(Donnees[[#This Row],[Abonnés]]="","",Donnees[[#This Row],[Vues]]/Donnees[[#This Row],[Abonnés]])</f>
        <v>90.612903225806448</v>
      </c>
      <c r="AD202" s="40" t="s">
        <v>44</v>
      </c>
      <c r="AE202" s="43">
        <f>SUMPRODUCT((Donnees[Échantillon]=Donnees[[#This Row],[Échantillon]])*(Donnees[Engagement]&lt;Donnees[[#This Row],[Engagement]]))+(SUMPRODUCT((Donnees[Échantillon]=Donnees[[#This Row],[Échantillon]])*(Donnees[Engagement]=Donnees[[#This Row],[Engagement]]))+1)/2</f>
        <v>32</v>
      </c>
      <c r="AF202" s="43">
        <f>SUMPRODUCT((Donnees[Échantillon]=Donnees[[#This Row],[Échantillon]])*(Donnees[Vues]&lt;Donnees[[#This Row],[Vues]]))+(SUMPRODUCT((Donnees[Échantillon]=Donnees[[#This Row],[Échantillon]])*(Donnees[Vues]=Donnees[[#This Row],[Vues]]))+1)/2</f>
        <v>100</v>
      </c>
      <c r="AG202" s="43">
        <f>SUMPRODUCT((Donnees[Échantillon]=Donnees[[#This Row],[Échantillon]])*(Donnees[Durée (s)]&lt;Donnees[[#This Row],[Durée (s)]]))+(SUMPRODUCT((Donnees[Échantillon]=Donnees[[#This Row],[Échantillon]])*(Donnees[Durée (s)]=Donnees[[#This Row],[Durée (s)]]))+1)/2</f>
        <v>33.5</v>
      </c>
      <c r="AH202" s="43">
        <f>SUMPRODUCT((Donnees[Échantillon]=Donnees[[#This Row],[Échantillon]])*(Donnees[Nb hashtags]&lt;Donnees[[#This Row],[Nb hashtags]]))+(SUMPRODUCT((Donnees[Échantillon]=Donnees[[#This Row],[Échantillon]])*(Donnees[Nb hashtags]=Donnees[[#This Row],[Nb hashtags]]))+1)/2</f>
        <v>30</v>
      </c>
      <c r="AI202" s="43">
        <f>SUMPRODUCT((Donnees[Échantillon]=Donnees[[#This Row],[Échantillon]])*(Donnees[Longueur du texte]&lt;Donnees[[#This Row],[Longueur du texte]]))+(SUMPRODUCT((Donnees[Échantillon]=Donnees[[#This Row],[Échantillon]])*(Donnees[Longueur du texte]=Donnees[[#This Row],[Longueur du texte]]))+1)/2</f>
        <v>24.5</v>
      </c>
      <c r="AJ202" s="43">
        <f>IF(Donnees[[#This Row],[Abonnés]]="","",SUMPRODUCT((Donnees[Échantillon]=Donnees[[#This Row],[Échantillon]])*(Donnees[Abonnés]&lt;Donnees[[#This Row],[Abonnés]]))+(SUMPRODUCT((Donnees[Échantillon]=Donnees[[#This Row],[Échantillon]])*(Donnees[Abonnés]=Donnees[[#This Row],[Abonnés]]))+1)/2)</f>
        <v>51</v>
      </c>
      <c r="AK202" s="43">
        <f>IF(Donnees[[#This Row],[Vidéos publiées]]="","",SUMPRODUCT((Donnees[Échantillon]=Donnees[[#This Row],[Échantillon]])*(Donnees[Vidéos publiées]&lt;Donnees[[#This Row],[Vidéos publiées]]))+(SUMPRODUCT((Donnees[Échantillon]=Donnees[[#This Row],[Échantillon]])*(Donnees[Vidéos publiées]=Donnees[[#This Row],[Vidéos publiées]]))+1)/2)</f>
        <v>24.5</v>
      </c>
    </row>
    <row r="203" spans="1:37" x14ac:dyDescent="0.2">
      <c r="A203" s="40" t="s">
        <v>237</v>
      </c>
      <c r="B203" s="40" t="s">
        <v>240</v>
      </c>
      <c r="C203" s="40" t="s">
        <v>67</v>
      </c>
      <c r="D203" s="40">
        <v>227</v>
      </c>
      <c r="E203" s="40" t="s">
        <v>75</v>
      </c>
      <c r="F203" s="40" t="str">
        <f>IF(OR(Donnees[[#This Row],[Jour]]="samedi",Donnees[[#This Row],[Jour]]="dimanche"),"Oui","Non")</f>
        <v>Oui</v>
      </c>
      <c r="G203" s="40">
        <v>15</v>
      </c>
      <c r="H203" s="40" t="str">
        <f>IF(Donnees[[#This Row],[Heure UTC]]&lt;6,"0-5 h",IF(Donnees[[#This Row],[Heure UTC]]&lt;12,"6-11 h",IF(Donnees[[#This Row],[Heure UTC]]&lt;18,"12-17 h","18-23 h")))</f>
        <v>12-17 h</v>
      </c>
      <c r="I203" s="40">
        <v>7</v>
      </c>
      <c r="J203" s="40" t="str">
        <f>IF(Donnees[[#This Row],[Durée (s)]]&lt;=10,"1. ≤ 10 s",IF(Donnees[[#This Row],[Durée (s)]]&lt;=15,"2. 11-15 s",IF(Donnees[[#This Row],[Durée (s)]]&lt;=30,"3. 16-30 s",IF(Donnees[[#This Row],[Durée (s)]]&lt;=60,"4. 31-60 s","5. &gt; 60 s"))))</f>
        <v>1. ≤ 10 s</v>
      </c>
      <c r="K203" s="40" t="str">
        <f>IF(Donnees[[#This Row],[Durée (s)]]&gt;15,"Oui","Non")</f>
        <v>Non</v>
      </c>
      <c r="L203" s="40">
        <v>13</v>
      </c>
      <c r="M203" s="40" t="s">
        <v>44</v>
      </c>
      <c r="N203" s="40">
        <v>3</v>
      </c>
      <c r="O203" s="40" t="s">
        <v>41</v>
      </c>
      <c r="P203" s="40" t="s">
        <v>41</v>
      </c>
      <c r="Q203" s="40" t="s">
        <v>41</v>
      </c>
      <c r="R203" s="40" t="s">
        <v>44</v>
      </c>
      <c r="S203" s="40" t="s">
        <v>44</v>
      </c>
      <c r="T203" s="41">
        <v>4200000</v>
      </c>
      <c r="U203" s="40" t="str">
        <f>IF(Donnees[[#This Row],[Abonnés]]="","",IF(Donnees[[#This Row],[Abonnés]]&lt;1000000,"1. &lt; 1 M",IF(Donnees[[#This Row],[Abonnés]]&lt;3000000,"2. 1-3 M",IF(Donnees[[#This Row],[Abonnés]]&lt;8000000,"3. 3-8 M","4. ≥ 8 M"))))</f>
        <v>3. 3-8 M</v>
      </c>
      <c r="V203" s="41">
        <v>98</v>
      </c>
      <c r="W203" s="41">
        <v>197700000</v>
      </c>
      <c r="X203" s="41">
        <v>18800000</v>
      </c>
      <c r="Y203" s="41">
        <v>236500</v>
      </c>
      <c r="Z203" s="41">
        <v>1200000</v>
      </c>
      <c r="AA203" s="42">
        <f>(Donnees[[#This Row],[Likes]]+Donnees[[#This Row],[Commentaires]]+Donnees[[#This Row],[Partages]])/Donnees[[#This Row],[Vues]]</f>
        <v>0.10235963581183612</v>
      </c>
      <c r="AB203" s="40">
        <f>IF(Donnees[[#This Row],[Engagement]]&gt;=VLOOKUP(Donnees[[#This Row],[Échantillon]],'Méthode &amp; limites'!$B$9:$D$11,2,FALSE),1,0)</f>
        <v>0</v>
      </c>
      <c r="AC203" s="43">
        <f>IF(Donnees[[#This Row],[Abonnés]]="","",Donnees[[#This Row],[Vues]]/Donnees[[#This Row],[Abonnés]])</f>
        <v>47.071428571428569</v>
      </c>
      <c r="AD203" s="40" t="s">
        <v>44</v>
      </c>
      <c r="AE203" s="43">
        <f>SUMPRODUCT((Donnees[Échantillon]=Donnees[[#This Row],[Échantillon]])*(Donnees[Engagement]&lt;Donnees[[#This Row],[Engagement]]))+(SUMPRODUCT((Donnees[Échantillon]=Donnees[[#This Row],[Échantillon]])*(Donnees[Engagement]=Donnees[[#This Row],[Engagement]]))+1)/2</f>
        <v>16</v>
      </c>
      <c r="AF203" s="43">
        <f>SUMPRODUCT((Donnees[Échantillon]=Donnees[[#This Row],[Échantillon]])*(Donnees[Vues]&lt;Donnees[[#This Row],[Vues]]))+(SUMPRODUCT((Donnees[Échantillon]=Donnees[[#This Row],[Échantillon]])*(Donnees[Vues]=Donnees[[#This Row],[Vues]]))+1)/2</f>
        <v>99</v>
      </c>
      <c r="AG203" s="43">
        <f>SUMPRODUCT((Donnees[Échantillon]=Donnees[[#This Row],[Échantillon]])*(Donnees[Durée (s)]&lt;Donnees[[#This Row],[Durée (s)]]))+(SUMPRODUCT((Donnees[Échantillon]=Donnees[[#This Row],[Échantillon]])*(Donnees[Durée (s)]=Donnees[[#This Row],[Durée (s)]]))+1)/2</f>
        <v>5.5</v>
      </c>
      <c r="AH203" s="43">
        <f>SUMPRODUCT((Donnees[Échantillon]=Donnees[[#This Row],[Échantillon]])*(Donnees[Nb hashtags]&lt;Donnees[[#This Row],[Nb hashtags]]))+(SUMPRODUCT((Donnees[Échantillon]=Donnees[[#This Row],[Échantillon]])*(Donnees[Nb hashtags]=Donnees[[#This Row],[Nb hashtags]]))+1)/2</f>
        <v>87.5</v>
      </c>
      <c r="AI203" s="43">
        <f>SUMPRODUCT((Donnees[Échantillon]=Donnees[[#This Row],[Échantillon]])*(Donnees[Longueur du texte]&lt;Donnees[[#This Row],[Longueur du texte]]))+(SUMPRODUCT((Donnees[Échantillon]=Donnees[[#This Row],[Échantillon]])*(Donnees[Longueur du texte]=Donnees[[#This Row],[Longueur du texte]]))+1)/2</f>
        <v>17</v>
      </c>
      <c r="AJ203" s="43">
        <f>IF(Donnees[[#This Row],[Abonnés]]="","",SUMPRODUCT((Donnees[Échantillon]=Donnees[[#This Row],[Échantillon]])*(Donnees[Abonnés]&lt;Donnees[[#This Row],[Abonnés]]))+(SUMPRODUCT((Donnees[Échantillon]=Donnees[[#This Row],[Échantillon]])*(Donnees[Abonnés]=Donnees[[#This Row],[Abonnés]]))+1)/2)</f>
        <v>55.5</v>
      </c>
      <c r="AK203" s="43">
        <f>IF(Donnees[[#This Row],[Vidéos publiées]]="","",SUMPRODUCT((Donnees[Échantillon]=Donnees[[#This Row],[Échantillon]])*(Donnees[Vidéos publiées]&lt;Donnees[[#This Row],[Vidéos publiées]]))+(SUMPRODUCT((Donnees[Échantillon]=Donnees[[#This Row],[Échantillon]])*(Donnees[Vidéos publiées]=Donnees[[#This Row],[Vidéos publiées]]))+1)/2)</f>
        <v>30.5</v>
      </c>
    </row>
    <row r="204" spans="1:37" x14ac:dyDescent="0.2">
      <c r="A204" s="40" t="s">
        <v>237</v>
      </c>
      <c r="B204" s="40" t="s">
        <v>241</v>
      </c>
      <c r="C204" s="40" t="s">
        <v>67</v>
      </c>
      <c r="D204" s="40">
        <v>107</v>
      </c>
      <c r="E204" s="40" t="s">
        <v>56</v>
      </c>
      <c r="F204" s="40" t="str">
        <f>IF(OR(Donnees[[#This Row],[Jour]]="samedi",Donnees[[#This Row],[Jour]]="dimanche"),"Oui","Non")</f>
        <v>Oui</v>
      </c>
      <c r="G204" s="40">
        <v>11</v>
      </c>
      <c r="H204" s="40" t="str">
        <f>IF(Donnees[[#This Row],[Heure UTC]]&lt;6,"0-5 h",IF(Donnees[[#This Row],[Heure UTC]]&lt;12,"6-11 h",IF(Donnees[[#This Row],[Heure UTC]]&lt;18,"12-17 h","18-23 h")))</f>
        <v>6-11 h</v>
      </c>
      <c r="I204" s="40">
        <v>37</v>
      </c>
      <c r="J204" s="40" t="str">
        <f>IF(Donnees[[#This Row],[Durée (s)]]&lt;=10,"1. ≤ 10 s",IF(Donnees[[#This Row],[Durée (s)]]&lt;=15,"2. 11-15 s",IF(Donnees[[#This Row],[Durée (s)]]&lt;=30,"3. 16-30 s",IF(Donnees[[#This Row],[Durée (s)]]&lt;=60,"4. 31-60 s","5. &gt; 60 s"))))</f>
        <v>4. 31-60 s</v>
      </c>
      <c r="K204" s="40" t="str">
        <f>IF(Donnees[[#This Row],[Durée (s)]]&gt;15,"Oui","Non")</f>
        <v>Oui</v>
      </c>
      <c r="L204" s="40">
        <v>4</v>
      </c>
      <c r="M204" s="40" t="s">
        <v>44</v>
      </c>
      <c r="N204" s="40">
        <v>21</v>
      </c>
      <c r="O204" s="40" t="s">
        <v>41</v>
      </c>
      <c r="P204" s="40" t="s">
        <v>41</v>
      </c>
      <c r="Q204" s="40" t="s">
        <v>44</v>
      </c>
      <c r="R204" s="40" t="s">
        <v>44</v>
      </c>
      <c r="S204" s="40" t="s">
        <v>44</v>
      </c>
      <c r="T204" s="41">
        <v>1500000</v>
      </c>
      <c r="U204" s="40" t="str">
        <f>IF(Donnees[[#This Row],[Abonnés]]="","",IF(Donnees[[#This Row],[Abonnés]]&lt;1000000,"1. &lt; 1 M",IF(Donnees[[#This Row],[Abonnés]]&lt;3000000,"2. 1-3 M",IF(Donnees[[#This Row],[Abonnés]]&lt;8000000,"3. 3-8 M","4. ≥ 8 M"))))</f>
        <v>2. 1-3 M</v>
      </c>
      <c r="V204" s="41">
        <v>331</v>
      </c>
      <c r="W204" s="41">
        <v>161300000</v>
      </c>
      <c r="X204" s="41">
        <v>6800000</v>
      </c>
      <c r="Y204" s="41">
        <v>31600</v>
      </c>
      <c r="Z204" s="41">
        <v>46700</v>
      </c>
      <c r="AA204" s="42">
        <f>(Donnees[[#This Row],[Likes]]+Donnees[[#This Row],[Commentaires]]+Donnees[[#This Row],[Partages]])/Donnees[[#This Row],[Vues]]</f>
        <v>4.2642901425914446E-2</v>
      </c>
      <c r="AB204" s="40">
        <f>IF(Donnees[[#This Row],[Engagement]]&gt;=VLOOKUP(Donnees[[#This Row],[Échantillon]],'Méthode &amp; limites'!$B$9:$D$11,2,FALSE),1,0)</f>
        <v>0</v>
      </c>
      <c r="AC204" s="43">
        <f>IF(Donnees[[#This Row],[Abonnés]]="","",Donnees[[#This Row],[Vues]]/Donnees[[#This Row],[Abonnés]])</f>
        <v>107.53333333333333</v>
      </c>
      <c r="AD204" s="40" t="s">
        <v>44</v>
      </c>
      <c r="AE204" s="43">
        <f>SUMPRODUCT((Donnees[Échantillon]=Donnees[[#This Row],[Échantillon]])*(Donnees[Engagement]&lt;Donnees[[#This Row],[Engagement]]))+(SUMPRODUCT((Donnees[Échantillon]=Donnees[[#This Row],[Échantillon]])*(Donnees[Engagement]=Donnees[[#This Row],[Engagement]]))+1)/2</f>
        <v>1</v>
      </c>
      <c r="AF204" s="43">
        <f>SUMPRODUCT((Donnees[Échantillon]=Donnees[[#This Row],[Échantillon]])*(Donnees[Vues]&lt;Donnees[[#This Row],[Vues]]))+(SUMPRODUCT((Donnees[Échantillon]=Donnees[[#This Row],[Échantillon]])*(Donnees[Vues]=Donnees[[#This Row],[Vues]]))+1)/2</f>
        <v>98</v>
      </c>
      <c r="AG204" s="43">
        <f>SUMPRODUCT((Donnees[Échantillon]=Donnees[[#This Row],[Échantillon]])*(Donnees[Durée (s)]&lt;Donnees[[#This Row],[Durée (s)]]))+(SUMPRODUCT((Donnees[Échantillon]=Donnees[[#This Row],[Échantillon]])*(Donnees[Durée (s)]=Donnees[[#This Row],[Durée (s)]]))+1)/2</f>
        <v>78</v>
      </c>
      <c r="AH204" s="43">
        <f>SUMPRODUCT((Donnees[Échantillon]=Donnees[[#This Row],[Échantillon]])*(Donnees[Nb hashtags]&lt;Donnees[[#This Row],[Nb hashtags]]))+(SUMPRODUCT((Donnees[Échantillon]=Donnees[[#This Row],[Échantillon]])*(Donnees[Nb hashtags]=Donnees[[#This Row],[Nb hashtags]]))+1)/2</f>
        <v>15.5</v>
      </c>
      <c r="AI204" s="43">
        <f>SUMPRODUCT((Donnees[Échantillon]=Donnees[[#This Row],[Échantillon]])*(Donnees[Longueur du texte]&lt;Donnees[[#This Row],[Longueur du texte]]))+(SUMPRODUCT((Donnees[Échantillon]=Donnees[[#This Row],[Échantillon]])*(Donnees[Longueur du texte]=Donnees[[#This Row],[Longueur du texte]]))+1)/2</f>
        <v>47.5</v>
      </c>
      <c r="AJ204" s="43">
        <f>IF(Donnees[[#This Row],[Abonnés]]="","",SUMPRODUCT((Donnees[Échantillon]=Donnees[[#This Row],[Échantillon]])*(Donnees[Abonnés]&lt;Donnees[[#This Row],[Abonnés]]))+(SUMPRODUCT((Donnees[Échantillon]=Donnees[[#This Row],[Échantillon]])*(Donnees[Abonnés]=Donnees[[#This Row],[Abonnés]]))+1)/2)</f>
        <v>37</v>
      </c>
      <c r="AK204" s="43">
        <f>IF(Donnees[[#This Row],[Vidéos publiées]]="","",SUMPRODUCT((Donnees[Échantillon]=Donnees[[#This Row],[Échantillon]])*(Donnees[Vidéos publiées]&lt;Donnees[[#This Row],[Vidéos publiées]]))+(SUMPRODUCT((Donnees[Échantillon]=Donnees[[#This Row],[Échantillon]])*(Donnees[Vidéos publiées]=Donnees[[#This Row],[Vidéos publiées]]))+1)/2)</f>
        <v>57</v>
      </c>
    </row>
    <row r="205" spans="1:37" x14ac:dyDescent="0.2">
      <c r="A205" s="40" t="s">
        <v>237</v>
      </c>
      <c r="B205" s="40" t="s">
        <v>74</v>
      </c>
      <c r="C205" s="40" t="s">
        <v>50</v>
      </c>
      <c r="D205" s="40">
        <v>220</v>
      </c>
      <c r="E205" s="40" t="s">
        <v>75</v>
      </c>
      <c r="F205" s="40" t="str">
        <f>IF(OR(Donnees[[#This Row],[Jour]]="samedi",Donnees[[#This Row],[Jour]]="dimanche"),"Oui","Non")</f>
        <v>Oui</v>
      </c>
      <c r="G205" s="40">
        <v>15</v>
      </c>
      <c r="H205" s="40" t="str">
        <f>IF(Donnees[[#This Row],[Heure UTC]]&lt;6,"0-5 h",IF(Donnees[[#This Row],[Heure UTC]]&lt;12,"6-11 h",IF(Donnees[[#This Row],[Heure UTC]]&lt;18,"12-17 h","18-23 h")))</f>
        <v>12-17 h</v>
      </c>
      <c r="I205" s="40">
        <v>18</v>
      </c>
      <c r="J205" s="40" t="str">
        <f>IF(Donnees[[#This Row],[Durée (s)]]&lt;=10,"1. ≤ 10 s",IF(Donnees[[#This Row],[Durée (s)]]&lt;=15,"2. 11-15 s",IF(Donnees[[#This Row],[Durée (s)]]&lt;=30,"3. 16-30 s",IF(Donnees[[#This Row],[Durée (s)]]&lt;=60,"4. 31-60 s","5. &gt; 60 s"))))</f>
        <v>3. 16-30 s</v>
      </c>
      <c r="K205" s="40" t="str">
        <f>IF(Donnees[[#This Row],[Durée (s)]]&gt;15,"Oui","Non")</f>
        <v>Oui</v>
      </c>
      <c r="L205" s="40">
        <v>7</v>
      </c>
      <c r="M205" s="40" t="s">
        <v>44</v>
      </c>
      <c r="N205" s="40">
        <v>24</v>
      </c>
      <c r="O205" s="40" t="s">
        <v>41</v>
      </c>
      <c r="P205" s="40" t="s">
        <v>44</v>
      </c>
      <c r="Q205" s="40" t="s">
        <v>41</v>
      </c>
      <c r="R205" s="40" t="s">
        <v>44</v>
      </c>
      <c r="S205" s="40" t="s">
        <v>44</v>
      </c>
      <c r="T205" s="41">
        <v>27400000</v>
      </c>
      <c r="U205" s="40" t="str">
        <f>IF(Donnees[[#This Row],[Abonnés]]="","",IF(Donnees[[#This Row],[Abonnés]]&lt;1000000,"1. &lt; 1 M",IF(Donnees[[#This Row],[Abonnés]]&lt;3000000,"2. 1-3 M",IF(Donnees[[#This Row],[Abonnés]]&lt;8000000,"3. 3-8 M","4. ≥ 8 M"))))</f>
        <v>4. ≥ 8 M</v>
      </c>
      <c r="V205" s="41">
        <v>588</v>
      </c>
      <c r="W205" s="41">
        <v>154900000</v>
      </c>
      <c r="X205" s="41">
        <v>13800000</v>
      </c>
      <c r="Y205" s="41">
        <v>76100</v>
      </c>
      <c r="Z205" s="41">
        <v>60100</v>
      </c>
      <c r="AA205" s="42">
        <f>(Donnees[[#This Row],[Likes]]+Donnees[[#This Row],[Commentaires]]+Donnees[[#This Row],[Partages]])/Donnees[[#This Row],[Vues]]</f>
        <v>8.9969012265978046E-2</v>
      </c>
      <c r="AB205" s="40">
        <f>IF(Donnees[[#This Row],[Engagement]]&gt;=VLOOKUP(Donnees[[#This Row],[Échantillon]],'Méthode &amp; limites'!$B$9:$D$11,2,FALSE),1,0)</f>
        <v>0</v>
      </c>
      <c r="AC205" s="43">
        <f>IF(Donnees[[#This Row],[Abonnés]]="","",Donnees[[#This Row],[Vues]]/Donnees[[#This Row],[Abonnés]])</f>
        <v>5.6532846715328464</v>
      </c>
      <c r="AD205" s="40" t="s">
        <v>44</v>
      </c>
      <c r="AE205" s="43">
        <f>SUMPRODUCT((Donnees[Échantillon]=Donnees[[#This Row],[Échantillon]])*(Donnees[Engagement]&lt;Donnees[[#This Row],[Engagement]]))+(SUMPRODUCT((Donnees[Échantillon]=Donnees[[#This Row],[Échantillon]])*(Donnees[Engagement]=Donnees[[#This Row],[Engagement]]))+1)/2</f>
        <v>11</v>
      </c>
      <c r="AF205" s="43">
        <f>SUMPRODUCT((Donnees[Échantillon]=Donnees[[#This Row],[Échantillon]])*(Donnees[Vues]&lt;Donnees[[#This Row],[Vues]]))+(SUMPRODUCT((Donnees[Échantillon]=Donnees[[#This Row],[Échantillon]])*(Donnees[Vues]=Donnees[[#This Row],[Vues]]))+1)/2</f>
        <v>97</v>
      </c>
      <c r="AG205" s="43">
        <f>SUMPRODUCT((Donnees[Échantillon]=Donnees[[#This Row],[Échantillon]])*(Donnees[Durée (s)]&lt;Donnees[[#This Row],[Durée (s)]]))+(SUMPRODUCT((Donnees[Échantillon]=Donnees[[#This Row],[Échantillon]])*(Donnees[Durée (s)]=Donnees[[#This Row],[Durée (s)]]))+1)/2</f>
        <v>53</v>
      </c>
      <c r="AH205" s="43">
        <f>SUMPRODUCT((Donnees[Échantillon]=Donnees[[#This Row],[Échantillon]])*(Donnees[Nb hashtags]&lt;Donnees[[#This Row],[Nb hashtags]]))+(SUMPRODUCT((Donnees[Échantillon]=Donnees[[#This Row],[Échantillon]])*(Donnees[Nb hashtags]=Donnees[[#This Row],[Nb hashtags]]))+1)/2</f>
        <v>37.5</v>
      </c>
      <c r="AI205" s="43">
        <f>SUMPRODUCT((Donnees[Échantillon]=Donnees[[#This Row],[Échantillon]])*(Donnees[Longueur du texte]&lt;Donnees[[#This Row],[Longueur du texte]]))+(SUMPRODUCT((Donnees[Échantillon]=Donnees[[#This Row],[Échantillon]])*(Donnees[Longueur du texte]=Donnees[[#This Row],[Longueur du texte]]))+1)/2</f>
        <v>51.5</v>
      </c>
      <c r="AJ205" s="43">
        <f>IF(Donnees[[#This Row],[Abonnés]]="","",SUMPRODUCT((Donnees[Échantillon]=Donnees[[#This Row],[Échantillon]])*(Donnees[Abonnés]&lt;Donnees[[#This Row],[Abonnés]]))+(SUMPRODUCT((Donnees[Échantillon]=Donnees[[#This Row],[Échantillon]])*(Donnees[Abonnés]=Donnees[[#This Row],[Abonnés]]))+1)/2)</f>
        <v>96.5</v>
      </c>
      <c r="AK205" s="43">
        <f>IF(Donnees[[#This Row],[Vidéos publiées]]="","",SUMPRODUCT((Donnees[Échantillon]=Donnees[[#This Row],[Échantillon]])*(Donnees[Vidéos publiées]&lt;Donnees[[#This Row],[Vidéos publiées]]))+(SUMPRODUCT((Donnees[Échantillon]=Donnees[[#This Row],[Échantillon]])*(Donnees[Vidéos publiées]=Donnees[[#This Row],[Vidéos publiées]]))+1)/2)</f>
        <v>78.5</v>
      </c>
    </row>
    <row r="206" spans="1:37" x14ac:dyDescent="0.2">
      <c r="A206" s="40" t="s">
        <v>237</v>
      </c>
      <c r="B206" s="40" t="s">
        <v>244</v>
      </c>
      <c r="C206" s="40" t="s">
        <v>50</v>
      </c>
      <c r="D206" s="40">
        <v>353</v>
      </c>
      <c r="E206" s="40" t="s">
        <v>75</v>
      </c>
      <c r="F206" s="40" t="str">
        <f>IF(OR(Donnees[[#This Row],[Jour]]="samedi",Donnees[[#This Row],[Jour]]="dimanche"),"Oui","Non")</f>
        <v>Oui</v>
      </c>
      <c r="G206" s="40">
        <v>23</v>
      </c>
      <c r="H206" s="40" t="str">
        <f>IF(Donnees[[#This Row],[Heure UTC]]&lt;6,"0-5 h",IF(Donnees[[#This Row],[Heure UTC]]&lt;12,"6-11 h",IF(Donnees[[#This Row],[Heure UTC]]&lt;18,"12-17 h","18-23 h")))</f>
        <v>18-23 h</v>
      </c>
      <c r="I206" s="40">
        <v>14</v>
      </c>
      <c r="J206" s="40" t="str">
        <f>IF(Donnees[[#This Row],[Durée (s)]]&lt;=10,"1. ≤ 10 s",IF(Donnees[[#This Row],[Durée (s)]]&lt;=15,"2. 11-15 s",IF(Donnees[[#This Row],[Durée (s)]]&lt;=30,"3. 16-30 s",IF(Donnees[[#This Row],[Durée (s)]]&lt;=60,"4. 31-60 s","5. &gt; 60 s"))))</f>
        <v>2. 11-15 s</v>
      </c>
      <c r="K206" s="40" t="str">
        <f>IF(Donnees[[#This Row],[Durée (s)]]&gt;15,"Oui","Non")</f>
        <v>Non</v>
      </c>
      <c r="L206" s="40">
        <v>10</v>
      </c>
      <c r="M206" s="40" t="s">
        <v>44</v>
      </c>
      <c r="N206" s="40">
        <v>67</v>
      </c>
      <c r="O206" s="40" t="s">
        <v>41</v>
      </c>
      <c r="P206" s="40" t="s">
        <v>41</v>
      </c>
      <c r="Q206" s="40" t="s">
        <v>41</v>
      </c>
      <c r="R206" s="40" t="s">
        <v>41</v>
      </c>
      <c r="S206" s="40" t="s">
        <v>44</v>
      </c>
      <c r="T206" s="41">
        <v>7900000</v>
      </c>
      <c r="U206" s="40" t="str">
        <f>IF(Donnees[[#This Row],[Abonnés]]="","",IF(Donnees[[#This Row],[Abonnés]]&lt;1000000,"1. &lt; 1 M",IF(Donnees[[#This Row],[Abonnés]]&lt;3000000,"2. 1-3 M",IF(Donnees[[#This Row],[Abonnés]]&lt;8000000,"3. 3-8 M","4. ≥ 8 M"))))</f>
        <v>3. 3-8 M</v>
      </c>
      <c r="V206" s="41">
        <v>126</v>
      </c>
      <c r="W206" s="41">
        <v>144300000</v>
      </c>
      <c r="X206" s="41">
        <v>18500000</v>
      </c>
      <c r="Y206" s="41">
        <v>222000</v>
      </c>
      <c r="Z206" s="41">
        <v>421400</v>
      </c>
      <c r="AA206" s="42">
        <f>(Donnees[[#This Row],[Likes]]+Donnees[[#This Row],[Commentaires]]+Donnees[[#This Row],[Partages]])/Donnees[[#This Row],[Vues]]</f>
        <v>0.13266389466389467</v>
      </c>
      <c r="AB206" s="40">
        <f>IF(Donnees[[#This Row],[Engagement]]&gt;=VLOOKUP(Donnees[[#This Row],[Échantillon]],'Méthode &amp; limites'!$B$9:$D$11,2,FALSE),1,0)</f>
        <v>0</v>
      </c>
      <c r="AC206" s="43">
        <f>IF(Donnees[[#This Row],[Abonnés]]="","",Donnees[[#This Row],[Vues]]/Donnees[[#This Row],[Abonnés]])</f>
        <v>18.265822784810126</v>
      </c>
      <c r="AD206" s="40" t="s">
        <v>44</v>
      </c>
      <c r="AE206" s="43">
        <f>SUMPRODUCT((Donnees[Échantillon]=Donnees[[#This Row],[Échantillon]])*(Donnees[Engagement]&lt;Donnees[[#This Row],[Engagement]]))+(SUMPRODUCT((Donnees[Échantillon]=Donnees[[#This Row],[Échantillon]])*(Donnees[Engagement]=Donnees[[#This Row],[Engagement]]))+1)/2</f>
        <v>30</v>
      </c>
      <c r="AF206" s="43">
        <f>SUMPRODUCT((Donnees[Échantillon]=Donnees[[#This Row],[Échantillon]])*(Donnees[Vues]&lt;Donnees[[#This Row],[Vues]]))+(SUMPRODUCT((Donnees[Échantillon]=Donnees[[#This Row],[Échantillon]])*(Donnees[Vues]=Donnees[[#This Row],[Vues]]))+1)/2</f>
        <v>96</v>
      </c>
      <c r="AG206" s="43">
        <f>SUMPRODUCT((Donnees[Échantillon]=Donnees[[#This Row],[Échantillon]])*(Donnees[Durée (s)]&lt;Donnees[[#This Row],[Durée (s)]]))+(SUMPRODUCT((Donnees[Échantillon]=Donnees[[#This Row],[Échantillon]])*(Donnees[Durée (s)]=Donnees[[#This Row],[Durée (s)]]))+1)/2</f>
        <v>38</v>
      </c>
      <c r="AH206" s="43">
        <f>SUMPRODUCT((Donnees[Échantillon]=Donnees[[#This Row],[Échantillon]])*(Donnees[Nb hashtags]&lt;Donnees[[#This Row],[Nb hashtags]]))+(SUMPRODUCT((Donnees[Échantillon]=Donnees[[#This Row],[Échantillon]])*(Donnees[Nb hashtags]=Donnees[[#This Row],[Nb hashtags]]))+1)/2</f>
        <v>71.5</v>
      </c>
      <c r="AI206" s="43">
        <f>SUMPRODUCT((Donnees[Échantillon]=Donnees[[#This Row],[Échantillon]])*(Donnees[Longueur du texte]&lt;Donnees[[#This Row],[Longueur du texte]]))+(SUMPRODUCT((Donnees[Échantillon]=Donnees[[#This Row],[Échantillon]])*(Donnees[Longueur du texte]=Donnees[[#This Row],[Longueur du texte]]))+1)/2</f>
        <v>93.5</v>
      </c>
      <c r="AJ206" s="43">
        <f>IF(Donnees[[#This Row],[Abonnés]]="","",SUMPRODUCT((Donnees[Échantillon]=Donnees[[#This Row],[Échantillon]])*(Donnees[Abonnés]&lt;Donnees[[#This Row],[Abonnés]]))+(SUMPRODUCT((Donnees[Échantillon]=Donnees[[#This Row],[Échantillon]])*(Donnees[Abonnés]=Donnees[[#This Row],[Abonnés]]))+1)/2)</f>
        <v>76</v>
      </c>
      <c r="AK206" s="43">
        <f>IF(Donnees[[#This Row],[Vidéos publiées]]="","",SUMPRODUCT((Donnees[Échantillon]=Donnees[[#This Row],[Échantillon]])*(Donnees[Vidéos publiées]&lt;Donnees[[#This Row],[Vidéos publiées]]))+(SUMPRODUCT((Donnees[Échantillon]=Donnees[[#This Row],[Échantillon]])*(Donnees[Vidéos publiées]=Donnees[[#This Row],[Vidéos publiées]]))+1)/2)</f>
        <v>36.5</v>
      </c>
    </row>
    <row r="207" spans="1:37" x14ac:dyDescent="0.2">
      <c r="A207" s="40" t="s">
        <v>237</v>
      </c>
      <c r="B207" s="40" t="s">
        <v>245</v>
      </c>
      <c r="C207" s="40" t="s">
        <v>50</v>
      </c>
      <c r="D207" s="40">
        <v>470</v>
      </c>
      <c r="E207" s="40" t="s">
        <v>71</v>
      </c>
      <c r="F207" s="40" t="str">
        <f>IF(OR(Donnees[[#This Row],[Jour]]="samedi",Donnees[[#This Row],[Jour]]="dimanche"),"Oui","Non")</f>
        <v>Non</v>
      </c>
      <c r="G207" s="40">
        <v>12</v>
      </c>
      <c r="H207" s="40" t="str">
        <f>IF(Donnees[[#This Row],[Heure UTC]]&lt;6,"0-5 h",IF(Donnees[[#This Row],[Heure UTC]]&lt;12,"6-11 h",IF(Donnees[[#This Row],[Heure UTC]]&lt;18,"12-17 h","18-23 h")))</f>
        <v>12-17 h</v>
      </c>
      <c r="I207" s="40">
        <v>19</v>
      </c>
      <c r="J207" s="40" t="str">
        <f>IF(Donnees[[#This Row],[Durée (s)]]&lt;=10,"1. ≤ 10 s",IF(Donnees[[#This Row],[Durée (s)]]&lt;=15,"2. 11-15 s",IF(Donnees[[#This Row],[Durée (s)]]&lt;=30,"3. 16-30 s",IF(Donnees[[#This Row],[Durée (s)]]&lt;=60,"4. 31-60 s","5. &gt; 60 s"))))</f>
        <v>3. 16-30 s</v>
      </c>
      <c r="K207" s="40" t="str">
        <f>IF(Donnees[[#This Row],[Durée (s)]]&gt;15,"Oui","Non")</f>
        <v>Oui</v>
      </c>
      <c r="L207" s="40">
        <v>5</v>
      </c>
      <c r="M207" s="40" t="s">
        <v>44</v>
      </c>
      <c r="N207" s="40">
        <v>34</v>
      </c>
      <c r="O207" s="40" t="s">
        <v>41</v>
      </c>
      <c r="P207" s="40" t="s">
        <v>41</v>
      </c>
      <c r="Q207" s="40" t="s">
        <v>41</v>
      </c>
      <c r="R207" s="40" t="s">
        <v>44</v>
      </c>
      <c r="S207" s="40" t="s">
        <v>44</v>
      </c>
      <c r="T207" s="41">
        <v>1900000</v>
      </c>
      <c r="U207" s="40" t="str">
        <f>IF(Donnees[[#This Row],[Abonnés]]="","",IF(Donnees[[#This Row],[Abonnés]]&lt;1000000,"1. &lt; 1 M",IF(Donnees[[#This Row],[Abonnés]]&lt;3000000,"2. 1-3 M",IF(Donnees[[#This Row],[Abonnés]]&lt;8000000,"3. 3-8 M","4. ≥ 8 M"))))</f>
        <v>2. 1-3 M</v>
      </c>
      <c r="V207" s="41">
        <v>242</v>
      </c>
      <c r="W207" s="41">
        <v>142900000</v>
      </c>
      <c r="X207" s="41">
        <v>7800000</v>
      </c>
      <c r="Y207" s="41">
        <v>13600</v>
      </c>
      <c r="Z207" s="41">
        <v>49800</v>
      </c>
      <c r="AA207" s="42">
        <f>(Donnees[[#This Row],[Likes]]+Donnees[[#This Row],[Commentaires]]+Donnees[[#This Row],[Partages]])/Donnees[[#This Row],[Vues]]</f>
        <v>5.5027291812456261E-2</v>
      </c>
      <c r="AB207" s="40">
        <f>IF(Donnees[[#This Row],[Engagement]]&gt;=VLOOKUP(Donnees[[#This Row],[Échantillon]],'Méthode &amp; limites'!$B$9:$D$11,2,FALSE),1,0)</f>
        <v>0</v>
      </c>
      <c r="AC207" s="43">
        <f>IF(Donnees[[#This Row],[Abonnés]]="","",Donnees[[#This Row],[Vues]]/Donnees[[#This Row],[Abonnés]])</f>
        <v>75.21052631578948</v>
      </c>
      <c r="AD207" s="40" t="s">
        <v>44</v>
      </c>
      <c r="AE207" s="43">
        <f>SUMPRODUCT((Donnees[Échantillon]=Donnees[[#This Row],[Échantillon]])*(Donnees[Engagement]&lt;Donnees[[#This Row],[Engagement]]))+(SUMPRODUCT((Donnees[Échantillon]=Donnees[[#This Row],[Échantillon]])*(Donnees[Engagement]=Donnees[[#This Row],[Engagement]]))+1)/2</f>
        <v>2</v>
      </c>
      <c r="AF207" s="43">
        <f>SUMPRODUCT((Donnees[Échantillon]=Donnees[[#This Row],[Échantillon]])*(Donnees[Vues]&lt;Donnees[[#This Row],[Vues]]))+(SUMPRODUCT((Donnees[Échantillon]=Donnees[[#This Row],[Échantillon]])*(Donnees[Vues]=Donnees[[#This Row],[Vues]]))+1)/2</f>
        <v>95</v>
      </c>
      <c r="AG207" s="43">
        <f>SUMPRODUCT((Donnees[Échantillon]=Donnees[[#This Row],[Échantillon]])*(Donnees[Durée (s)]&lt;Donnees[[#This Row],[Durée (s)]]))+(SUMPRODUCT((Donnees[Échantillon]=Donnees[[#This Row],[Échantillon]])*(Donnees[Durée (s)]=Donnees[[#This Row],[Durée (s)]]))+1)/2</f>
        <v>56.5</v>
      </c>
      <c r="AH207" s="43">
        <f>SUMPRODUCT((Donnees[Échantillon]=Donnees[[#This Row],[Échantillon]])*(Donnees[Nb hashtags]&lt;Donnees[[#This Row],[Nb hashtags]]))+(SUMPRODUCT((Donnees[Échantillon]=Donnees[[#This Row],[Échantillon]])*(Donnees[Nb hashtags]=Donnees[[#This Row],[Nb hashtags]]))+1)/2</f>
        <v>22</v>
      </c>
      <c r="AI207" s="43">
        <f>SUMPRODUCT((Donnees[Échantillon]=Donnees[[#This Row],[Échantillon]])*(Donnees[Longueur du texte]&lt;Donnees[[#This Row],[Longueur du texte]]))+(SUMPRODUCT((Donnees[Échantillon]=Donnees[[#This Row],[Échantillon]])*(Donnees[Longueur du texte]=Donnees[[#This Row],[Longueur du texte]]))+1)/2</f>
        <v>70</v>
      </c>
      <c r="AJ207" s="43">
        <f>IF(Donnees[[#This Row],[Abonnés]]="","",SUMPRODUCT((Donnees[Échantillon]=Donnees[[#This Row],[Échantillon]])*(Donnees[Abonnés]&lt;Donnees[[#This Row],[Abonnés]]))+(SUMPRODUCT((Donnees[Échantillon]=Donnees[[#This Row],[Échantillon]])*(Donnees[Abonnés]=Donnees[[#This Row],[Abonnés]]))+1)/2)</f>
        <v>41.5</v>
      </c>
      <c r="AK207" s="43">
        <f>IF(Donnees[[#This Row],[Vidéos publiées]]="","",SUMPRODUCT((Donnees[Échantillon]=Donnees[[#This Row],[Échantillon]])*(Donnees[Vidéos publiées]&lt;Donnees[[#This Row],[Vidéos publiées]]))+(SUMPRODUCT((Donnees[Échantillon]=Donnees[[#This Row],[Échantillon]])*(Donnees[Vidéos publiées]=Donnees[[#This Row],[Vidéos publiées]]))+1)/2)</f>
        <v>49</v>
      </c>
    </row>
    <row r="208" spans="1:37" x14ac:dyDescent="0.2">
      <c r="A208" s="40" t="s">
        <v>237</v>
      </c>
      <c r="B208" s="40" t="s">
        <v>86</v>
      </c>
      <c r="C208" s="40" t="s">
        <v>62</v>
      </c>
      <c r="D208" s="40">
        <v>113</v>
      </c>
      <c r="E208" s="40" t="s">
        <v>71</v>
      </c>
      <c r="F208" s="40" t="str">
        <f>IF(OR(Donnees[[#This Row],[Jour]]="samedi",Donnees[[#This Row],[Jour]]="dimanche"),"Oui","Non")</f>
        <v>Non</v>
      </c>
      <c r="G208" s="40">
        <v>2</v>
      </c>
      <c r="H208" s="40" t="str">
        <f>IF(Donnees[[#This Row],[Heure UTC]]&lt;6,"0-5 h",IF(Donnees[[#This Row],[Heure UTC]]&lt;12,"6-11 h",IF(Donnees[[#This Row],[Heure UTC]]&lt;18,"12-17 h","18-23 h")))</f>
        <v>0-5 h</v>
      </c>
      <c r="I208" s="40">
        <v>8</v>
      </c>
      <c r="J208" s="40" t="str">
        <f>IF(Donnees[[#This Row],[Durée (s)]]&lt;=10,"1. ≤ 10 s",IF(Donnees[[#This Row],[Durée (s)]]&lt;=15,"2. 11-15 s",IF(Donnees[[#This Row],[Durée (s)]]&lt;=30,"3. 16-30 s",IF(Donnees[[#This Row],[Durée (s)]]&lt;=60,"4. 31-60 s","5. &gt; 60 s"))))</f>
        <v>1. ≤ 10 s</v>
      </c>
      <c r="K208" s="40" t="str">
        <f>IF(Donnees[[#This Row],[Durée (s)]]&gt;15,"Oui","Non")</f>
        <v>Non</v>
      </c>
      <c r="L208" s="40">
        <v>9</v>
      </c>
      <c r="M208" s="40" t="s">
        <v>44</v>
      </c>
      <c r="N208" s="40">
        <v>65</v>
      </c>
      <c r="O208" s="40" t="s">
        <v>41</v>
      </c>
      <c r="P208" s="40" t="s">
        <v>44</v>
      </c>
      <c r="Q208" s="40" t="s">
        <v>44</v>
      </c>
      <c r="R208" s="40" t="s">
        <v>44</v>
      </c>
      <c r="S208" s="40" t="s">
        <v>41</v>
      </c>
      <c r="T208" s="41">
        <v>1900000</v>
      </c>
      <c r="U208" s="40" t="str">
        <f>IF(Donnees[[#This Row],[Abonnés]]="","",IF(Donnees[[#This Row],[Abonnés]]&lt;1000000,"1. &lt; 1 M",IF(Donnees[[#This Row],[Abonnés]]&lt;3000000,"2. 1-3 M",IF(Donnees[[#This Row],[Abonnés]]&lt;8000000,"3. 3-8 M","4. ≥ 8 M"))))</f>
        <v>2. 1-3 M</v>
      </c>
      <c r="V208" s="41">
        <v>271</v>
      </c>
      <c r="W208" s="41">
        <v>142000000</v>
      </c>
      <c r="X208" s="41">
        <v>7600000</v>
      </c>
      <c r="Y208" s="41">
        <v>63200</v>
      </c>
      <c r="Z208" s="41">
        <v>711800</v>
      </c>
      <c r="AA208" s="42">
        <f>(Donnees[[#This Row],[Likes]]+Donnees[[#This Row],[Commentaires]]+Donnees[[#This Row],[Partages]])/Donnees[[#This Row],[Vues]]</f>
        <v>5.8978873239436617E-2</v>
      </c>
      <c r="AB208" s="40">
        <f>IF(Donnees[[#This Row],[Engagement]]&gt;=VLOOKUP(Donnees[[#This Row],[Échantillon]],'Méthode &amp; limites'!$B$9:$D$11,2,FALSE),1,0)</f>
        <v>0</v>
      </c>
      <c r="AC208" s="43">
        <f>IF(Donnees[[#This Row],[Abonnés]]="","",Donnees[[#This Row],[Vues]]/Donnees[[#This Row],[Abonnés]])</f>
        <v>74.736842105263165</v>
      </c>
      <c r="AD208" s="40" t="s">
        <v>44</v>
      </c>
      <c r="AE208" s="43">
        <f>SUMPRODUCT((Donnees[Échantillon]=Donnees[[#This Row],[Échantillon]])*(Donnees[Engagement]&lt;Donnees[[#This Row],[Engagement]]))+(SUMPRODUCT((Donnees[Échantillon]=Donnees[[#This Row],[Échantillon]])*(Donnees[Engagement]=Donnees[[#This Row],[Engagement]]))+1)/2</f>
        <v>3</v>
      </c>
      <c r="AF208" s="43">
        <f>SUMPRODUCT((Donnees[Échantillon]=Donnees[[#This Row],[Échantillon]])*(Donnees[Vues]&lt;Donnees[[#This Row],[Vues]]))+(SUMPRODUCT((Donnees[Échantillon]=Donnees[[#This Row],[Échantillon]])*(Donnees[Vues]=Donnees[[#This Row],[Vues]]))+1)/2</f>
        <v>94</v>
      </c>
      <c r="AG208" s="43">
        <f>SUMPRODUCT((Donnees[Échantillon]=Donnees[[#This Row],[Échantillon]])*(Donnees[Durée (s)]&lt;Donnees[[#This Row],[Durée (s)]]))+(SUMPRODUCT((Donnees[Échantillon]=Donnees[[#This Row],[Échantillon]])*(Donnees[Durée (s)]=Donnees[[#This Row],[Durée (s)]]))+1)/2</f>
        <v>9.5</v>
      </c>
      <c r="AH208" s="43">
        <f>SUMPRODUCT((Donnees[Échantillon]=Donnees[[#This Row],[Échantillon]])*(Donnees[Nb hashtags]&lt;Donnees[[#This Row],[Nb hashtags]]))+(SUMPRODUCT((Donnees[Échantillon]=Donnees[[#This Row],[Échantillon]])*(Donnees[Nb hashtags]=Donnees[[#This Row],[Nb hashtags]]))+1)/2</f>
        <v>60</v>
      </c>
      <c r="AI208" s="43">
        <f>SUMPRODUCT((Donnees[Échantillon]=Donnees[[#This Row],[Échantillon]])*(Donnees[Longueur du texte]&lt;Donnees[[#This Row],[Longueur du texte]]))+(SUMPRODUCT((Donnees[Échantillon]=Donnees[[#This Row],[Échantillon]])*(Donnees[Longueur du texte]=Donnees[[#This Row],[Longueur du texte]]))+1)/2</f>
        <v>92</v>
      </c>
      <c r="AJ208" s="43">
        <f>IF(Donnees[[#This Row],[Abonnés]]="","",SUMPRODUCT((Donnees[Échantillon]=Donnees[[#This Row],[Échantillon]])*(Donnees[Abonnés]&lt;Donnees[[#This Row],[Abonnés]]))+(SUMPRODUCT((Donnees[Échantillon]=Donnees[[#This Row],[Échantillon]])*(Donnees[Abonnés]=Donnees[[#This Row],[Abonnés]]))+1)/2)</f>
        <v>41.5</v>
      </c>
      <c r="AK208" s="43">
        <f>IF(Donnees[[#This Row],[Vidéos publiées]]="","",SUMPRODUCT((Donnees[Échantillon]=Donnees[[#This Row],[Échantillon]])*(Donnees[Vidéos publiées]&lt;Donnees[[#This Row],[Vidéos publiées]]))+(SUMPRODUCT((Donnees[Échantillon]=Donnees[[#This Row],[Échantillon]])*(Donnees[Vidéos publiées]=Donnees[[#This Row],[Vidéos publiées]]))+1)/2)</f>
        <v>50</v>
      </c>
    </row>
    <row r="209" spans="1:37" x14ac:dyDescent="0.2">
      <c r="A209" s="40" t="s">
        <v>237</v>
      </c>
      <c r="B209" s="40" t="s">
        <v>74</v>
      </c>
      <c r="C209" s="40" t="s">
        <v>50</v>
      </c>
      <c r="D209" s="40">
        <v>242</v>
      </c>
      <c r="E209" s="40" t="s">
        <v>68</v>
      </c>
      <c r="F209" s="40" t="str">
        <f>IF(OR(Donnees[[#This Row],[Jour]]="samedi",Donnees[[#This Row],[Jour]]="dimanche"),"Oui","Non")</f>
        <v>Non</v>
      </c>
      <c r="G209" s="40">
        <v>14</v>
      </c>
      <c r="H209" s="40" t="str">
        <f>IF(Donnees[[#This Row],[Heure UTC]]&lt;6,"0-5 h",IF(Donnees[[#This Row],[Heure UTC]]&lt;12,"6-11 h",IF(Donnees[[#This Row],[Heure UTC]]&lt;18,"12-17 h","18-23 h")))</f>
        <v>12-17 h</v>
      </c>
      <c r="I209" s="40">
        <v>10</v>
      </c>
      <c r="J209" s="40" t="str">
        <f>IF(Donnees[[#This Row],[Durée (s)]]&lt;=10,"1. ≤ 10 s",IF(Donnees[[#This Row],[Durée (s)]]&lt;=15,"2. 11-15 s",IF(Donnees[[#This Row],[Durée (s)]]&lt;=30,"3. 16-30 s",IF(Donnees[[#This Row],[Durée (s)]]&lt;=60,"4. 31-60 s","5. &gt; 60 s"))))</f>
        <v>1. ≤ 10 s</v>
      </c>
      <c r="K209" s="40" t="str">
        <f>IF(Donnees[[#This Row],[Durée (s)]]&gt;15,"Oui","Non")</f>
        <v>Non</v>
      </c>
      <c r="L209" s="40">
        <v>8</v>
      </c>
      <c r="M209" s="40" t="s">
        <v>44</v>
      </c>
      <c r="N209" s="40">
        <v>2</v>
      </c>
      <c r="O209" s="40" t="s">
        <v>41</v>
      </c>
      <c r="P209" s="40" t="s">
        <v>44</v>
      </c>
      <c r="Q209" s="40" t="s">
        <v>41</v>
      </c>
      <c r="R209" s="40" t="s">
        <v>44</v>
      </c>
      <c r="S209" s="40" t="s">
        <v>44</v>
      </c>
      <c r="T209" s="41">
        <v>27400000</v>
      </c>
      <c r="U209" s="40" t="str">
        <f>IF(Donnees[[#This Row],[Abonnés]]="","",IF(Donnees[[#This Row],[Abonnés]]&lt;1000000,"1. &lt; 1 M",IF(Donnees[[#This Row],[Abonnés]]&lt;3000000,"2. 1-3 M",IF(Donnees[[#This Row],[Abonnés]]&lt;8000000,"3. 3-8 M","4. ≥ 8 M"))))</f>
        <v>4. ≥ 8 M</v>
      </c>
      <c r="V209" s="41">
        <v>588</v>
      </c>
      <c r="W209" s="41">
        <v>141800000</v>
      </c>
      <c r="X209" s="41">
        <v>16000000</v>
      </c>
      <c r="Y209" s="41">
        <v>163800</v>
      </c>
      <c r="Z209" s="41">
        <v>152600</v>
      </c>
      <c r="AA209" s="42">
        <f>(Donnees[[#This Row],[Likes]]+Donnees[[#This Row],[Commentaires]]+Donnees[[#This Row],[Partages]])/Donnees[[#This Row],[Vues]]</f>
        <v>0.11506629055007052</v>
      </c>
      <c r="AB209" s="40">
        <f>IF(Donnees[[#This Row],[Engagement]]&gt;=VLOOKUP(Donnees[[#This Row],[Échantillon]],'Méthode &amp; limites'!$B$9:$D$11,2,FALSE),1,0)</f>
        <v>0</v>
      </c>
      <c r="AC209" s="43">
        <f>IF(Donnees[[#This Row],[Abonnés]]="","",Donnees[[#This Row],[Vues]]/Donnees[[#This Row],[Abonnés]])</f>
        <v>5.1751824817518246</v>
      </c>
      <c r="AD209" s="40" t="s">
        <v>44</v>
      </c>
      <c r="AE209" s="43">
        <f>SUMPRODUCT((Donnees[Échantillon]=Donnees[[#This Row],[Échantillon]])*(Donnees[Engagement]&lt;Donnees[[#This Row],[Engagement]]))+(SUMPRODUCT((Donnees[Échantillon]=Donnees[[#This Row],[Échantillon]])*(Donnees[Engagement]=Donnees[[#This Row],[Engagement]]))+1)/2</f>
        <v>22</v>
      </c>
      <c r="AF209" s="43">
        <f>SUMPRODUCT((Donnees[Échantillon]=Donnees[[#This Row],[Échantillon]])*(Donnees[Vues]&lt;Donnees[[#This Row],[Vues]]))+(SUMPRODUCT((Donnees[Échantillon]=Donnees[[#This Row],[Échantillon]])*(Donnees[Vues]=Donnees[[#This Row],[Vues]]))+1)/2</f>
        <v>93</v>
      </c>
      <c r="AG209" s="43">
        <f>SUMPRODUCT((Donnees[Échantillon]=Donnees[[#This Row],[Échantillon]])*(Donnees[Durée (s)]&lt;Donnees[[#This Row],[Durée (s)]]))+(SUMPRODUCT((Donnees[Échantillon]=Donnees[[#This Row],[Échantillon]])*(Donnees[Durée (s)]=Donnees[[#This Row],[Durée (s)]]))+1)/2</f>
        <v>22</v>
      </c>
      <c r="AH209" s="43">
        <f>SUMPRODUCT((Donnees[Échantillon]=Donnees[[#This Row],[Échantillon]])*(Donnees[Nb hashtags]&lt;Donnees[[#This Row],[Nb hashtags]]))+(SUMPRODUCT((Donnees[Échantillon]=Donnees[[#This Row],[Échantillon]])*(Donnees[Nb hashtags]=Donnees[[#This Row],[Nb hashtags]]))+1)/2</f>
        <v>47.5</v>
      </c>
      <c r="AI209" s="43">
        <f>SUMPRODUCT((Donnees[Échantillon]=Donnees[[#This Row],[Échantillon]])*(Donnees[Longueur du texte]&lt;Donnees[[#This Row],[Longueur du texte]]))+(SUMPRODUCT((Donnees[Échantillon]=Donnees[[#This Row],[Échantillon]])*(Donnees[Longueur du texte]=Donnees[[#This Row],[Longueur du texte]]))+1)/2</f>
        <v>14.5</v>
      </c>
      <c r="AJ209" s="43">
        <f>IF(Donnees[[#This Row],[Abonnés]]="","",SUMPRODUCT((Donnees[Échantillon]=Donnees[[#This Row],[Échantillon]])*(Donnees[Abonnés]&lt;Donnees[[#This Row],[Abonnés]]))+(SUMPRODUCT((Donnees[Échantillon]=Donnees[[#This Row],[Échantillon]])*(Donnees[Abonnés]=Donnees[[#This Row],[Abonnés]]))+1)/2)</f>
        <v>96.5</v>
      </c>
      <c r="AK209" s="43">
        <f>IF(Donnees[[#This Row],[Vidéos publiées]]="","",SUMPRODUCT((Donnees[Échantillon]=Donnees[[#This Row],[Échantillon]])*(Donnees[Vidéos publiées]&lt;Donnees[[#This Row],[Vidéos publiées]]))+(SUMPRODUCT((Donnees[Échantillon]=Donnees[[#This Row],[Échantillon]])*(Donnees[Vidéos publiées]=Donnees[[#This Row],[Vidéos publiées]]))+1)/2)</f>
        <v>78.5</v>
      </c>
    </row>
    <row r="210" spans="1:37" x14ac:dyDescent="0.2">
      <c r="A210" s="40" t="s">
        <v>237</v>
      </c>
      <c r="B210" s="40" t="s">
        <v>244</v>
      </c>
      <c r="C210" s="40" t="s">
        <v>50</v>
      </c>
      <c r="D210" s="40">
        <v>690</v>
      </c>
      <c r="E210" s="40" t="s">
        <v>68</v>
      </c>
      <c r="F210" s="40" t="str">
        <f>IF(OR(Donnees[[#This Row],[Jour]]="samedi",Donnees[[#This Row],[Jour]]="dimanche"),"Oui","Non")</f>
        <v>Non</v>
      </c>
      <c r="G210" s="40">
        <v>22</v>
      </c>
      <c r="H210" s="40" t="str">
        <f>IF(Donnees[[#This Row],[Heure UTC]]&lt;6,"0-5 h",IF(Donnees[[#This Row],[Heure UTC]]&lt;12,"6-11 h",IF(Donnees[[#This Row],[Heure UTC]]&lt;18,"12-17 h","18-23 h")))</f>
        <v>18-23 h</v>
      </c>
      <c r="I210" s="40">
        <v>18</v>
      </c>
      <c r="J210" s="40" t="str">
        <f>IF(Donnees[[#This Row],[Durée (s)]]&lt;=10,"1. ≤ 10 s",IF(Donnees[[#This Row],[Durée (s)]]&lt;=15,"2. 11-15 s",IF(Donnees[[#This Row],[Durée (s)]]&lt;=30,"3. 16-30 s",IF(Donnees[[#This Row],[Durée (s)]]&lt;=60,"4. 31-60 s","5. &gt; 60 s"))))</f>
        <v>3. 16-30 s</v>
      </c>
      <c r="K210" s="40" t="str">
        <f>IF(Donnees[[#This Row],[Durée (s)]]&gt;15,"Oui","Non")</f>
        <v>Oui</v>
      </c>
      <c r="L210" s="40">
        <v>10</v>
      </c>
      <c r="M210" s="40" t="s">
        <v>44</v>
      </c>
      <c r="N210" s="40">
        <v>20</v>
      </c>
      <c r="O210" s="40" t="s">
        <v>41</v>
      </c>
      <c r="P210" s="40" t="s">
        <v>41</v>
      </c>
      <c r="Q210" s="40" t="s">
        <v>41</v>
      </c>
      <c r="R210" s="40" t="s">
        <v>41</v>
      </c>
      <c r="S210" s="40" t="s">
        <v>44</v>
      </c>
      <c r="T210" s="41">
        <v>7900000</v>
      </c>
      <c r="U210" s="40" t="str">
        <f>IF(Donnees[[#This Row],[Abonnés]]="","",IF(Donnees[[#This Row],[Abonnés]]&lt;1000000,"1. &lt; 1 M",IF(Donnees[[#This Row],[Abonnés]]&lt;3000000,"2. 1-3 M",IF(Donnees[[#This Row],[Abonnés]]&lt;8000000,"3. 3-8 M","4. ≥ 8 M"))))</f>
        <v>3. 3-8 M</v>
      </c>
      <c r="V210" s="41">
        <v>126</v>
      </c>
      <c r="W210" s="41">
        <v>126600000</v>
      </c>
      <c r="X210" s="41">
        <v>12000000</v>
      </c>
      <c r="Y210" s="41">
        <v>60100</v>
      </c>
      <c r="Z210" s="41">
        <v>701300</v>
      </c>
      <c r="AA210" s="42">
        <f>(Donnees[[#This Row],[Likes]]+Donnees[[#This Row],[Commentaires]]+Donnees[[#This Row],[Partages]])/Donnees[[#This Row],[Vues]]</f>
        <v>0.10080094786729858</v>
      </c>
      <c r="AB210" s="40">
        <f>IF(Donnees[[#This Row],[Engagement]]&gt;=VLOOKUP(Donnees[[#This Row],[Échantillon]],'Méthode &amp; limites'!$B$9:$D$11,2,FALSE),1,0)</f>
        <v>0</v>
      </c>
      <c r="AC210" s="43">
        <f>IF(Donnees[[#This Row],[Abonnés]]="","",Donnees[[#This Row],[Vues]]/Donnees[[#This Row],[Abonnés]])</f>
        <v>16.025316455696203</v>
      </c>
      <c r="AD210" s="40" t="s">
        <v>44</v>
      </c>
      <c r="AE210" s="43">
        <f>SUMPRODUCT((Donnees[Échantillon]=Donnees[[#This Row],[Échantillon]])*(Donnees[Engagement]&lt;Donnees[[#This Row],[Engagement]]))+(SUMPRODUCT((Donnees[Échantillon]=Donnees[[#This Row],[Échantillon]])*(Donnees[Engagement]=Donnees[[#This Row],[Engagement]]))+1)/2</f>
        <v>15</v>
      </c>
      <c r="AF210" s="43">
        <f>SUMPRODUCT((Donnees[Échantillon]=Donnees[[#This Row],[Échantillon]])*(Donnees[Vues]&lt;Donnees[[#This Row],[Vues]]))+(SUMPRODUCT((Donnees[Échantillon]=Donnees[[#This Row],[Échantillon]])*(Donnees[Vues]=Donnees[[#This Row],[Vues]]))+1)/2</f>
        <v>92</v>
      </c>
      <c r="AG210" s="43">
        <f>SUMPRODUCT((Donnees[Échantillon]=Donnees[[#This Row],[Échantillon]])*(Donnees[Durée (s)]&lt;Donnees[[#This Row],[Durée (s)]]))+(SUMPRODUCT((Donnees[Échantillon]=Donnees[[#This Row],[Échantillon]])*(Donnees[Durée (s)]=Donnees[[#This Row],[Durée (s)]]))+1)/2</f>
        <v>53</v>
      </c>
      <c r="AH210" s="43">
        <f>SUMPRODUCT((Donnees[Échantillon]=Donnees[[#This Row],[Échantillon]])*(Donnees[Nb hashtags]&lt;Donnees[[#This Row],[Nb hashtags]]))+(SUMPRODUCT((Donnees[Échantillon]=Donnees[[#This Row],[Échantillon]])*(Donnees[Nb hashtags]=Donnees[[#This Row],[Nb hashtags]]))+1)/2</f>
        <v>71.5</v>
      </c>
      <c r="AI210" s="43">
        <f>SUMPRODUCT((Donnees[Échantillon]=Donnees[[#This Row],[Échantillon]])*(Donnees[Longueur du texte]&lt;Donnees[[#This Row],[Longueur du texte]]))+(SUMPRODUCT((Donnees[Échantillon]=Donnees[[#This Row],[Échantillon]])*(Donnees[Longueur du texte]=Donnees[[#This Row],[Longueur du texte]]))+1)/2</f>
        <v>46</v>
      </c>
      <c r="AJ210" s="43">
        <f>IF(Donnees[[#This Row],[Abonnés]]="","",SUMPRODUCT((Donnees[Échantillon]=Donnees[[#This Row],[Échantillon]])*(Donnees[Abonnés]&lt;Donnees[[#This Row],[Abonnés]]))+(SUMPRODUCT((Donnees[Échantillon]=Donnees[[#This Row],[Échantillon]])*(Donnees[Abonnés]=Donnees[[#This Row],[Abonnés]]))+1)/2)</f>
        <v>76</v>
      </c>
      <c r="AK210" s="43">
        <f>IF(Donnees[[#This Row],[Vidéos publiées]]="","",SUMPRODUCT((Donnees[Échantillon]=Donnees[[#This Row],[Échantillon]])*(Donnees[Vidéos publiées]&lt;Donnees[[#This Row],[Vidéos publiées]]))+(SUMPRODUCT((Donnees[Échantillon]=Donnees[[#This Row],[Échantillon]])*(Donnees[Vidéos publiées]=Donnees[[#This Row],[Vidéos publiées]]))+1)/2)</f>
        <v>36.5</v>
      </c>
    </row>
    <row r="211" spans="1:37" x14ac:dyDescent="0.2">
      <c r="A211" s="40" t="s">
        <v>237</v>
      </c>
      <c r="B211" s="40" t="s">
        <v>246</v>
      </c>
      <c r="C211" s="40" t="s">
        <v>46</v>
      </c>
      <c r="D211" s="40">
        <v>486</v>
      </c>
      <c r="E211" s="40" t="s">
        <v>75</v>
      </c>
      <c r="F211" s="40" t="str">
        <f>IF(OR(Donnees[[#This Row],[Jour]]="samedi",Donnees[[#This Row],[Jour]]="dimanche"),"Oui","Non")</f>
        <v>Oui</v>
      </c>
      <c r="G211" s="40">
        <v>7</v>
      </c>
      <c r="H211" s="40" t="str">
        <f>IF(Donnees[[#This Row],[Heure UTC]]&lt;6,"0-5 h",IF(Donnees[[#This Row],[Heure UTC]]&lt;12,"6-11 h",IF(Donnees[[#This Row],[Heure UTC]]&lt;18,"12-17 h","18-23 h")))</f>
        <v>6-11 h</v>
      </c>
      <c r="I211" s="40">
        <v>15</v>
      </c>
      <c r="J211" s="40" t="str">
        <f>IF(Donnees[[#This Row],[Durée (s)]]&lt;=10,"1. ≤ 10 s",IF(Donnees[[#This Row],[Durée (s)]]&lt;=15,"2. 11-15 s",IF(Donnees[[#This Row],[Durée (s)]]&lt;=30,"3. 16-30 s",IF(Donnees[[#This Row],[Durée (s)]]&lt;=60,"4. 31-60 s","5. &gt; 60 s"))))</f>
        <v>2. 11-15 s</v>
      </c>
      <c r="K211" s="40" t="str">
        <f>IF(Donnees[[#This Row],[Durée (s)]]&gt;15,"Oui","Non")</f>
        <v>Non</v>
      </c>
      <c r="L211" s="40">
        <v>8</v>
      </c>
      <c r="M211" s="40" t="s">
        <v>44</v>
      </c>
      <c r="N211" s="40">
        <v>50</v>
      </c>
      <c r="O211" s="40" t="s">
        <v>41</v>
      </c>
      <c r="P211" s="40" t="s">
        <v>41</v>
      </c>
      <c r="Q211" s="40" t="s">
        <v>44</v>
      </c>
      <c r="R211" s="40" t="s">
        <v>44</v>
      </c>
      <c r="S211" s="40" t="s">
        <v>44</v>
      </c>
      <c r="T211" s="41">
        <v>4500000</v>
      </c>
      <c r="U211" s="40" t="str">
        <f>IF(Donnees[[#This Row],[Abonnés]]="","",IF(Donnees[[#This Row],[Abonnés]]&lt;1000000,"1. &lt; 1 M",IF(Donnees[[#This Row],[Abonnés]]&lt;3000000,"2. 1-3 M",IF(Donnees[[#This Row],[Abonnés]]&lt;8000000,"3. 3-8 M","4. ≥ 8 M"))))</f>
        <v>3. 3-8 M</v>
      </c>
      <c r="V211" s="41">
        <v>1048</v>
      </c>
      <c r="W211" s="41">
        <v>123200000</v>
      </c>
      <c r="X211" s="41">
        <v>8400000</v>
      </c>
      <c r="Y211" s="41">
        <v>17700</v>
      </c>
      <c r="Z211" s="41">
        <v>152800</v>
      </c>
      <c r="AA211" s="42">
        <f>(Donnees[[#This Row],[Likes]]+Donnees[[#This Row],[Commentaires]]+Donnees[[#This Row],[Partages]])/Donnees[[#This Row],[Vues]]</f>
        <v>6.9565746753246754E-2</v>
      </c>
      <c r="AB211" s="40">
        <f>IF(Donnees[[#This Row],[Engagement]]&gt;=VLOOKUP(Donnees[[#This Row],[Échantillon]],'Méthode &amp; limites'!$B$9:$D$11,2,FALSE),1,0)</f>
        <v>0</v>
      </c>
      <c r="AC211" s="43">
        <f>IF(Donnees[[#This Row],[Abonnés]]="","",Donnees[[#This Row],[Vues]]/Donnees[[#This Row],[Abonnés]])</f>
        <v>27.377777777777776</v>
      </c>
      <c r="AD211" s="40" t="s">
        <v>44</v>
      </c>
      <c r="AE211" s="43">
        <f>SUMPRODUCT((Donnees[Échantillon]=Donnees[[#This Row],[Échantillon]])*(Donnees[Engagement]&lt;Donnees[[#This Row],[Engagement]]))+(SUMPRODUCT((Donnees[Échantillon]=Donnees[[#This Row],[Échantillon]])*(Donnees[Engagement]=Donnees[[#This Row],[Engagement]]))+1)/2</f>
        <v>4</v>
      </c>
      <c r="AF211" s="43">
        <f>SUMPRODUCT((Donnees[Échantillon]=Donnees[[#This Row],[Échantillon]])*(Donnees[Vues]&lt;Donnees[[#This Row],[Vues]]))+(SUMPRODUCT((Donnees[Échantillon]=Donnees[[#This Row],[Échantillon]])*(Donnees[Vues]=Donnees[[#This Row],[Vues]]))+1)/2</f>
        <v>91</v>
      </c>
      <c r="AG211" s="43">
        <f>SUMPRODUCT((Donnees[Échantillon]=Donnees[[#This Row],[Échantillon]])*(Donnees[Durée (s)]&lt;Donnees[[#This Row],[Durée (s)]]))+(SUMPRODUCT((Donnees[Échantillon]=Donnees[[#This Row],[Échantillon]])*(Donnees[Durée (s)]=Donnees[[#This Row],[Durée (s)]]))+1)/2</f>
        <v>43</v>
      </c>
      <c r="AH211" s="43">
        <f>SUMPRODUCT((Donnees[Échantillon]=Donnees[[#This Row],[Échantillon]])*(Donnees[Nb hashtags]&lt;Donnees[[#This Row],[Nb hashtags]]))+(SUMPRODUCT((Donnees[Échantillon]=Donnees[[#This Row],[Échantillon]])*(Donnees[Nb hashtags]=Donnees[[#This Row],[Nb hashtags]]))+1)/2</f>
        <v>47.5</v>
      </c>
      <c r="AI211" s="43">
        <f>SUMPRODUCT((Donnees[Échantillon]=Donnees[[#This Row],[Échantillon]])*(Donnees[Longueur du texte]&lt;Donnees[[#This Row],[Longueur du texte]]))+(SUMPRODUCT((Donnees[Échantillon]=Donnees[[#This Row],[Échantillon]])*(Donnees[Longueur du texte]=Donnees[[#This Row],[Longueur du texte]]))+1)/2</f>
        <v>84</v>
      </c>
      <c r="AJ211" s="43">
        <f>IF(Donnees[[#This Row],[Abonnés]]="","",SUMPRODUCT((Donnees[Échantillon]=Donnees[[#This Row],[Échantillon]])*(Donnees[Abonnés]&lt;Donnees[[#This Row],[Abonnés]]))+(SUMPRODUCT((Donnees[Échantillon]=Donnees[[#This Row],[Échantillon]])*(Donnees[Abonnés]=Donnees[[#This Row],[Abonnés]]))+1)/2)</f>
        <v>61.5</v>
      </c>
      <c r="AK211" s="43">
        <f>IF(Donnees[[#This Row],[Vidéos publiées]]="","",SUMPRODUCT((Donnees[Échantillon]=Donnees[[#This Row],[Échantillon]])*(Donnees[Vidéos publiées]&lt;Donnees[[#This Row],[Vidéos publiées]]))+(SUMPRODUCT((Donnees[Échantillon]=Donnees[[#This Row],[Échantillon]])*(Donnees[Vidéos publiées]=Donnees[[#This Row],[Vidéos publiées]]))+1)/2)</f>
        <v>92</v>
      </c>
    </row>
    <row r="212" spans="1:37" x14ac:dyDescent="0.2">
      <c r="A212" s="40" t="s">
        <v>237</v>
      </c>
      <c r="B212" s="40" t="s">
        <v>247</v>
      </c>
      <c r="C212" s="40" t="s">
        <v>46</v>
      </c>
      <c r="D212" s="40">
        <v>588</v>
      </c>
      <c r="E212" s="40" t="s">
        <v>40</v>
      </c>
      <c r="F212" s="40" t="str">
        <f>IF(OR(Donnees[[#This Row],[Jour]]="samedi",Donnees[[#This Row],[Jour]]="dimanche"),"Oui","Non")</f>
        <v>Non</v>
      </c>
      <c r="G212" s="40">
        <v>17</v>
      </c>
      <c r="H212" s="40" t="str">
        <f>IF(Donnees[[#This Row],[Heure UTC]]&lt;6,"0-5 h",IF(Donnees[[#This Row],[Heure UTC]]&lt;12,"6-11 h",IF(Donnees[[#This Row],[Heure UTC]]&lt;18,"12-17 h","18-23 h")))</f>
        <v>12-17 h</v>
      </c>
      <c r="I212" s="40">
        <v>22</v>
      </c>
      <c r="J212" s="40" t="str">
        <f>IF(Donnees[[#This Row],[Durée (s)]]&lt;=10,"1. ≤ 10 s",IF(Donnees[[#This Row],[Durée (s)]]&lt;=15,"2. 11-15 s",IF(Donnees[[#This Row],[Durée (s)]]&lt;=30,"3. 16-30 s",IF(Donnees[[#This Row],[Durée (s)]]&lt;=60,"4. 31-60 s","5. &gt; 60 s"))))</f>
        <v>3. 16-30 s</v>
      </c>
      <c r="K212" s="40" t="str">
        <f>IF(Donnees[[#This Row],[Durée (s)]]&gt;15,"Oui","Non")</f>
        <v>Oui</v>
      </c>
      <c r="L212" s="40">
        <v>10</v>
      </c>
      <c r="M212" s="40" t="s">
        <v>44</v>
      </c>
      <c r="N212" s="40">
        <v>57</v>
      </c>
      <c r="O212" s="40" t="s">
        <v>41</v>
      </c>
      <c r="P212" s="40" t="s">
        <v>44</v>
      </c>
      <c r="Q212" s="40" t="s">
        <v>41</v>
      </c>
      <c r="R212" s="40" t="s">
        <v>44</v>
      </c>
      <c r="S212" s="40" t="s">
        <v>44</v>
      </c>
      <c r="T212" s="41">
        <v>9100000</v>
      </c>
      <c r="U212" s="40" t="str">
        <f>IF(Donnees[[#This Row],[Abonnés]]="","",IF(Donnees[[#This Row],[Abonnés]]&lt;1000000,"1. &lt; 1 M",IF(Donnees[[#This Row],[Abonnés]]&lt;3000000,"2. 1-3 M",IF(Donnees[[#This Row],[Abonnés]]&lt;8000000,"3. 3-8 M","4. ≥ 8 M"))))</f>
        <v>4. ≥ 8 M</v>
      </c>
      <c r="V212" s="41">
        <v>543</v>
      </c>
      <c r="W212" s="41">
        <v>112600000</v>
      </c>
      <c r="X212" s="41">
        <v>10000000</v>
      </c>
      <c r="Y212" s="41">
        <v>14100</v>
      </c>
      <c r="Z212" s="41">
        <v>39600</v>
      </c>
      <c r="AA212" s="42">
        <f>(Donnees[[#This Row],[Likes]]+Donnees[[#This Row],[Commentaires]]+Donnees[[#This Row],[Partages]])/Donnees[[#This Row],[Vues]]</f>
        <v>8.9286856127886324E-2</v>
      </c>
      <c r="AB212" s="40">
        <f>IF(Donnees[[#This Row],[Engagement]]&gt;=VLOOKUP(Donnees[[#This Row],[Échantillon]],'Méthode &amp; limites'!$B$9:$D$11,2,FALSE),1,0)</f>
        <v>0</v>
      </c>
      <c r="AC212" s="43">
        <f>IF(Donnees[[#This Row],[Abonnés]]="","",Donnees[[#This Row],[Vues]]/Donnees[[#This Row],[Abonnés]])</f>
        <v>12.373626373626374</v>
      </c>
      <c r="AD212" s="40" t="s">
        <v>44</v>
      </c>
      <c r="AE212" s="43">
        <f>SUMPRODUCT((Donnees[Échantillon]=Donnees[[#This Row],[Échantillon]])*(Donnees[Engagement]&lt;Donnees[[#This Row],[Engagement]]))+(SUMPRODUCT((Donnees[Échantillon]=Donnees[[#This Row],[Échantillon]])*(Donnees[Engagement]=Donnees[[#This Row],[Engagement]]))+1)/2</f>
        <v>10</v>
      </c>
      <c r="AF212" s="43">
        <f>SUMPRODUCT((Donnees[Échantillon]=Donnees[[#This Row],[Échantillon]])*(Donnees[Vues]&lt;Donnees[[#This Row],[Vues]]))+(SUMPRODUCT((Donnees[Échantillon]=Donnees[[#This Row],[Échantillon]])*(Donnees[Vues]=Donnees[[#This Row],[Vues]]))+1)/2</f>
        <v>90</v>
      </c>
      <c r="AG212" s="43">
        <f>SUMPRODUCT((Donnees[Échantillon]=Donnees[[#This Row],[Échantillon]])*(Donnees[Durée (s)]&lt;Donnees[[#This Row],[Durée (s)]]))+(SUMPRODUCT((Donnees[Échantillon]=Donnees[[#This Row],[Échantillon]])*(Donnees[Durée (s)]=Donnees[[#This Row],[Durée (s)]]))+1)/2</f>
        <v>62.5</v>
      </c>
      <c r="AH212" s="43">
        <f>SUMPRODUCT((Donnees[Échantillon]=Donnees[[#This Row],[Échantillon]])*(Donnees[Nb hashtags]&lt;Donnees[[#This Row],[Nb hashtags]]))+(SUMPRODUCT((Donnees[Échantillon]=Donnees[[#This Row],[Échantillon]])*(Donnees[Nb hashtags]=Donnees[[#This Row],[Nb hashtags]]))+1)/2</f>
        <v>71.5</v>
      </c>
      <c r="AI212" s="43">
        <f>SUMPRODUCT((Donnees[Échantillon]=Donnees[[#This Row],[Échantillon]])*(Donnees[Longueur du texte]&lt;Donnees[[#This Row],[Longueur du texte]]))+(SUMPRODUCT((Donnees[Échantillon]=Donnees[[#This Row],[Échantillon]])*(Donnees[Longueur du texte]=Donnees[[#This Row],[Longueur du texte]]))+1)/2</f>
        <v>88</v>
      </c>
      <c r="AJ212" s="43">
        <f>IF(Donnees[[#This Row],[Abonnés]]="","",SUMPRODUCT((Donnees[Échantillon]=Donnees[[#This Row],[Échantillon]])*(Donnees[Abonnés]&lt;Donnees[[#This Row],[Abonnés]]))+(SUMPRODUCT((Donnees[Échantillon]=Donnees[[#This Row],[Échantillon]])*(Donnees[Abonnés]=Donnees[[#This Row],[Abonnés]]))+1)/2)</f>
        <v>85.5</v>
      </c>
      <c r="AK212" s="43">
        <f>IF(Donnees[[#This Row],[Vidéos publiées]]="","",SUMPRODUCT((Donnees[Échantillon]=Donnees[[#This Row],[Échantillon]])*(Donnees[Vidéos publiées]&lt;Donnees[[#This Row],[Vidéos publiées]]))+(SUMPRODUCT((Donnees[Échantillon]=Donnees[[#This Row],[Échantillon]])*(Donnees[Vidéos publiées]=Donnees[[#This Row],[Vidéos publiées]]))+1)/2)</f>
        <v>73.5</v>
      </c>
    </row>
    <row r="213" spans="1:37" x14ac:dyDescent="0.2">
      <c r="A213" s="40" t="s">
        <v>237</v>
      </c>
      <c r="B213" s="40" t="s">
        <v>240</v>
      </c>
      <c r="C213" s="40" t="s">
        <v>67</v>
      </c>
      <c r="D213" s="40">
        <v>239</v>
      </c>
      <c r="E213" s="40" t="s">
        <v>71</v>
      </c>
      <c r="F213" s="40" t="str">
        <f>IF(OR(Donnees[[#This Row],[Jour]]="samedi",Donnees[[#This Row],[Jour]]="dimanche"),"Oui","Non")</f>
        <v>Non</v>
      </c>
      <c r="G213" s="40">
        <v>19</v>
      </c>
      <c r="H213" s="40" t="str">
        <f>IF(Donnees[[#This Row],[Heure UTC]]&lt;6,"0-5 h",IF(Donnees[[#This Row],[Heure UTC]]&lt;12,"6-11 h",IF(Donnees[[#This Row],[Heure UTC]]&lt;18,"12-17 h","18-23 h")))</f>
        <v>18-23 h</v>
      </c>
      <c r="I213" s="40">
        <v>7</v>
      </c>
      <c r="J213" s="40" t="str">
        <f>IF(Donnees[[#This Row],[Durée (s)]]&lt;=10,"1. ≤ 10 s",IF(Donnees[[#This Row],[Durée (s)]]&lt;=15,"2. 11-15 s",IF(Donnees[[#This Row],[Durée (s)]]&lt;=30,"3. 16-30 s",IF(Donnees[[#This Row],[Durée (s)]]&lt;=60,"4. 31-60 s","5. &gt; 60 s"))))</f>
        <v>1. ≤ 10 s</v>
      </c>
      <c r="K213" s="40" t="str">
        <f>IF(Donnees[[#This Row],[Durée (s)]]&gt;15,"Oui","Non")</f>
        <v>Non</v>
      </c>
      <c r="L213" s="40">
        <v>13</v>
      </c>
      <c r="M213" s="40" t="s">
        <v>44</v>
      </c>
      <c r="N213" s="40">
        <v>5</v>
      </c>
      <c r="O213" s="40" t="s">
        <v>41</v>
      </c>
      <c r="P213" s="40" t="s">
        <v>41</v>
      </c>
      <c r="Q213" s="40" t="s">
        <v>41</v>
      </c>
      <c r="R213" s="40" t="s">
        <v>44</v>
      </c>
      <c r="S213" s="40" t="s">
        <v>44</v>
      </c>
      <c r="T213" s="41">
        <v>4200000</v>
      </c>
      <c r="U213" s="40" t="str">
        <f>IF(Donnees[[#This Row],[Abonnés]]="","",IF(Donnees[[#This Row],[Abonnés]]&lt;1000000,"1. &lt; 1 M",IF(Donnees[[#This Row],[Abonnés]]&lt;3000000,"2. 1-3 M",IF(Donnees[[#This Row],[Abonnés]]&lt;8000000,"3. 3-8 M","4. ≥ 8 M"))))</f>
        <v>3. 3-8 M</v>
      </c>
      <c r="V213" s="41">
        <v>98</v>
      </c>
      <c r="W213" s="41">
        <v>112400000</v>
      </c>
      <c r="X213" s="41">
        <v>14100000</v>
      </c>
      <c r="Y213" s="41">
        <v>180200</v>
      </c>
      <c r="Z213" s="41">
        <v>601600</v>
      </c>
      <c r="AA213" s="42">
        <f>(Donnees[[#This Row],[Likes]]+Donnees[[#This Row],[Commentaires]]+Donnees[[#This Row],[Partages]])/Donnees[[#This Row],[Vues]]</f>
        <v>0.13240035587188612</v>
      </c>
      <c r="AB213" s="40">
        <f>IF(Donnees[[#This Row],[Engagement]]&gt;=VLOOKUP(Donnees[[#This Row],[Échantillon]],'Méthode &amp; limites'!$B$9:$D$11,2,FALSE),1,0)</f>
        <v>0</v>
      </c>
      <c r="AC213" s="43">
        <f>IF(Donnees[[#This Row],[Abonnés]]="","",Donnees[[#This Row],[Vues]]/Donnees[[#This Row],[Abonnés]])</f>
        <v>26.761904761904763</v>
      </c>
      <c r="AD213" s="40" t="s">
        <v>44</v>
      </c>
      <c r="AE213" s="43">
        <f>SUMPRODUCT((Donnees[Échantillon]=Donnees[[#This Row],[Échantillon]])*(Donnees[Engagement]&lt;Donnees[[#This Row],[Engagement]]))+(SUMPRODUCT((Donnees[Échantillon]=Donnees[[#This Row],[Échantillon]])*(Donnees[Engagement]=Donnees[[#This Row],[Engagement]]))+1)/2</f>
        <v>29</v>
      </c>
      <c r="AF213" s="43">
        <f>SUMPRODUCT((Donnees[Échantillon]=Donnees[[#This Row],[Échantillon]])*(Donnees[Vues]&lt;Donnees[[#This Row],[Vues]]))+(SUMPRODUCT((Donnees[Échantillon]=Donnees[[#This Row],[Échantillon]])*(Donnees[Vues]=Donnees[[#This Row],[Vues]]))+1)/2</f>
        <v>89</v>
      </c>
      <c r="AG213" s="43">
        <f>SUMPRODUCT((Donnees[Échantillon]=Donnees[[#This Row],[Échantillon]])*(Donnees[Durée (s)]&lt;Donnees[[#This Row],[Durée (s)]]))+(SUMPRODUCT((Donnees[Échantillon]=Donnees[[#This Row],[Échantillon]])*(Donnees[Durée (s)]=Donnees[[#This Row],[Durée (s)]]))+1)/2</f>
        <v>5.5</v>
      </c>
      <c r="AH213" s="43">
        <f>SUMPRODUCT((Donnees[Échantillon]=Donnees[[#This Row],[Échantillon]])*(Donnees[Nb hashtags]&lt;Donnees[[#This Row],[Nb hashtags]]))+(SUMPRODUCT((Donnees[Échantillon]=Donnees[[#This Row],[Échantillon]])*(Donnees[Nb hashtags]=Donnees[[#This Row],[Nb hashtags]]))+1)/2</f>
        <v>87.5</v>
      </c>
      <c r="AI213" s="43">
        <f>SUMPRODUCT((Donnees[Échantillon]=Donnees[[#This Row],[Échantillon]])*(Donnees[Longueur du texte]&lt;Donnees[[#This Row],[Longueur du texte]]))+(SUMPRODUCT((Donnees[Échantillon]=Donnees[[#This Row],[Échantillon]])*(Donnees[Longueur du texte]=Donnees[[#This Row],[Longueur du texte]]))+1)/2</f>
        <v>21</v>
      </c>
      <c r="AJ213" s="43">
        <f>IF(Donnees[[#This Row],[Abonnés]]="","",SUMPRODUCT((Donnees[Échantillon]=Donnees[[#This Row],[Échantillon]])*(Donnees[Abonnés]&lt;Donnees[[#This Row],[Abonnés]]))+(SUMPRODUCT((Donnees[Échantillon]=Donnees[[#This Row],[Échantillon]])*(Donnees[Abonnés]=Donnees[[#This Row],[Abonnés]]))+1)/2)</f>
        <v>55.5</v>
      </c>
      <c r="AK213" s="43">
        <f>IF(Donnees[[#This Row],[Vidéos publiées]]="","",SUMPRODUCT((Donnees[Échantillon]=Donnees[[#This Row],[Échantillon]])*(Donnees[Vidéos publiées]&lt;Donnees[[#This Row],[Vidéos publiées]]))+(SUMPRODUCT((Donnees[Échantillon]=Donnees[[#This Row],[Échantillon]])*(Donnees[Vidéos publiées]=Donnees[[#This Row],[Vidéos publiées]]))+1)/2)</f>
        <v>30.5</v>
      </c>
    </row>
    <row r="214" spans="1:37" x14ac:dyDescent="0.2">
      <c r="A214" s="40" t="s">
        <v>237</v>
      </c>
      <c r="B214" s="40" t="s">
        <v>248</v>
      </c>
      <c r="C214" s="40" t="s">
        <v>50</v>
      </c>
      <c r="D214" s="40">
        <v>118</v>
      </c>
      <c r="E214" s="40" t="s">
        <v>59</v>
      </c>
      <c r="F214" s="40" t="str">
        <f>IF(OR(Donnees[[#This Row],[Jour]]="samedi",Donnees[[#This Row],[Jour]]="dimanche"),"Oui","Non")</f>
        <v>Non</v>
      </c>
      <c r="G214" s="40">
        <v>16</v>
      </c>
      <c r="H214" s="40" t="str">
        <f>IF(Donnees[[#This Row],[Heure UTC]]&lt;6,"0-5 h",IF(Donnees[[#This Row],[Heure UTC]]&lt;12,"6-11 h",IF(Donnees[[#This Row],[Heure UTC]]&lt;18,"12-17 h","18-23 h")))</f>
        <v>12-17 h</v>
      </c>
      <c r="I214" s="40">
        <v>12</v>
      </c>
      <c r="J214" s="40" t="str">
        <f>IF(Donnees[[#This Row],[Durée (s)]]&lt;=10,"1. ≤ 10 s",IF(Donnees[[#This Row],[Durée (s)]]&lt;=15,"2. 11-15 s",IF(Donnees[[#This Row],[Durée (s)]]&lt;=30,"3. 16-30 s",IF(Donnees[[#This Row],[Durée (s)]]&lt;=60,"4. 31-60 s","5. &gt; 60 s"))))</f>
        <v>2. 11-15 s</v>
      </c>
      <c r="K214" s="40" t="str">
        <f>IF(Donnees[[#This Row],[Durée (s)]]&gt;15,"Oui","Non")</f>
        <v>Non</v>
      </c>
      <c r="L214" s="40">
        <v>1</v>
      </c>
      <c r="M214" s="40" t="s">
        <v>41</v>
      </c>
      <c r="N214" s="40">
        <v>13</v>
      </c>
      <c r="O214" s="40" t="s">
        <v>41</v>
      </c>
      <c r="P214" s="40" t="s">
        <v>41</v>
      </c>
      <c r="Q214" s="40" t="s">
        <v>41</v>
      </c>
      <c r="R214" s="40" t="s">
        <v>44</v>
      </c>
      <c r="S214" s="40" t="s">
        <v>41</v>
      </c>
      <c r="T214" s="41">
        <v>946600</v>
      </c>
      <c r="U214" s="40" t="str">
        <f>IF(Donnees[[#This Row],[Abonnés]]="","",IF(Donnees[[#This Row],[Abonnés]]&lt;1000000,"1. &lt; 1 M",IF(Donnees[[#This Row],[Abonnés]]&lt;3000000,"2. 1-3 M",IF(Donnees[[#This Row],[Abonnés]]&lt;8000000,"3. 3-8 M","4. ≥ 8 M"))))</f>
        <v>1. &lt; 1 M</v>
      </c>
      <c r="V214" s="41">
        <v>41</v>
      </c>
      <c r="W214" s="41">
        <v>110500000</v>
      </c>
      <c r="X214" s="41">
        <v>14100000</v>
      </c>
      <c r="Y214" s="41">
        <v>49200</v>
      </c>
      <c r="Z214" s="41">
        <v>128700</v>
      </c>
      <c r="AA214" s="42">
        <f>(Donnees[[#This Row],[Likes]]+Donnees[[#This Row],[Commentaires]]+Donnees[[#This Row],[Partages]])/Donnees[[#This Row],[Vues]]</f>
        <v>0.12921176470588236</v>
      </c>
      <c r="AB214" s="40">
        <f>IF(Donnees[[#This Row],[Engagement]]&gt;=VLOOKUP(Donnees[[#This Row],[Échantillon]],'Méthode &amp; limites'!$B$9:$D$11,2,FALSE),1,0)</f>
        <v>0</v>
      </c>
      <c r="AC214" s="43">
        <f>IF(Donnees[[#This Row],[Abonnés]]="","",Donnees[[#This Row],[Vues]]/Donnees[[#This Row],[Abonnés]])</f>
        <v>116.73357278681597</v>
      </c>
      <c r="AD214" s="40" t="s">
        <v>44</v>
      </c>
      <c r="AE214" s="43">
        <f>SUMPRODUCT((Donnees[Échantillon]=Donnees[[#This Row],[Échantillon]])*(Donnees[Engagement]&lt;Donnees[[#This Row],[Engagement]]))+(SUMPRODUCT((Donnees[Échantillon]=Donnees[[#This Row],[Échantillon]])*(Donnees[Engagement]=Donnees[[#This Row],[Engagement]]))+1)/2</f>
        <v>26</v>
      </c>
      <c r="AF214" s="43">
        <f>SUMPRODUCT((Donnees[Échantillon]=Donnees[[#This Row],[Échantillon]])*(Donnees[Vues]&lt;Donnees[[#This Row],[Vues]]))+(SUMPRODUCT((Donnees[Échantillon]=Donnees[[#This Row],[Échantillon]])*(Donnees[Vues]=Donnees[[#This Row],[Vues]]))+1)/2</f>
        <v>88</v>
      </c>
      <c r="AG214" s="43">
        <f>SUMPRODUCT((Donnees[Échantillon]=Donnees[[#This Row],[Échantillon]])*(Donnees[Durée (s)]&lt;Donnees[[#This Row],[Durée (s)]]))+(SUMPRODUCT((Donnees[Échantillon]=Donnees[[#This Row],[Échantillon]])*(Donnees[Durée (s)]=Donnees[[#This Row],[Durée (s)]]))+1)/2</f>
        <v>30.5</v>
      </c>
      <c r="AH214" s="43">
        <f>SUMPRODUCT((Donnees[Échantillon]=Donnees[[#This Row],[Échantillon]])*(Donnees[Nb hashtags]&lt;Donnees[[#This Row],[Nb hashtags]]))+(SUMPRODUCT((Donnees[Échantillon]=Donnees[[#This Row],[Échantillon]])*(Donnees[Nb hashtags]=Donnees[[#This Row],[Nb hashtags]]))+1)/2</f>
        <v>1</v>
      </c>
      <c r="AI214" s="43">
        <f>SUMPRODUCT((Donnees[Échantillon]=Donnees[[#This Row],[Échantillon]])*(Donnees[Longueur du texte]&lt;Donnees[[#This Row],[Longueur du texte]]))+(SUMPRODUCT((Donnees[Échantillon]=Donnees[[#This Row],[Échantillon]])*(Donnees[Longueur du texte]=Donnees[[#This Row],[Longueur du texte]]))+1)/2</f>
        <v>34.5</v>
      </c>
      <c r="AJ214" s="43">
        <f>IF(Donnees[[#This Row],[Abonnés]]="","",SUMPRODUCT((Donnees[Échantillon]=Donnees[[#This Row],[Échantillon]])*(Donnees[Abonnés]&lt;Donnees[[#This Row],[Abonnés]]))+(SUMPRODUCT((Donnees[Échantillon]=Donnees[[#This Row],[Échantillon]])*(Donnees[Abonnés]=Donnees[[#This Row],[Abonnés]]))+1)/2)</f>
        <v>26</v>
      </c>
      <c r="AK214" s="43">
        <f>IF(Donnees[[#This Row],[Vidéos publiées]]="","",SUMPRODUCT((Donnees[Échantillon]=Donnees[[#This Row],[Échantillon]])*(Donnees[Vidéos publiées]&lt;Donnees[[#This Row],[Vidéos publiées]]))+(SUMPRODUCT((Donnees[Échantillon]=Donnees[[#This Row],[Échantillon]])*(Donnees[Vidéos publiées]=Donnees[[#This Row],[Vidéos publiées]]))+1)/2)</f>
        <v>16</v>
      </c>
    </row>
    <row r="215" spans="1:37" x14ac:dyDescent="0.2">
      <c r="A215" s="40" t="s">
        <v>237</v>
      </c>
      <c r="B215" s="40" t="s">
        <v>250</v>
      </c>
      <c r="C215" s="40" t="s">
        <v>67</v>
      </c>
      <c r="D215" s="40">
        <v>359</v>
      </c>
      <c r="E215" s="40" t="s">
        <v>56</v>
      </c>
      <c r="F215" s="40" t="str">
        <f>IF(OR(Donnees[[#This Row],[Jour]]="samedi",Donnees[[#This Row],[Jour]]="dimanche"),"Oui","Non")</f>
        <v>Oui</v>
      </c>
      <c r="G215" s="40">
        <v>23</v>
      </c>
      <c r="H215" s="40" t="str">
        <f>IF(Donnees[[#This Row],[Heure UTC]]&lt;6,"0-5 h",IF(Donnees[[#This Row],[Heure UTC]]&lt;12,"6-11 h",IF(Donnees[[#This Row],[Heure UTC]]&lt;18,"12-17 h","18-23 h")))</f>
        <v>18-23 h</v>
      </c>
      <c r="I215" s="40">
        <v>6</v>
      </c>
      <c r="J215" s="40" t="str">
        <f>IF(Donnees[[#This Row],[Durée (s)]]&lt;=10,"1. ≤ 10 s",IF(Donnees[[#This Row],[Durée (s)]]&lt;=15,"2. 11-15 s",IF(Donnees[[#This Row],[Durée (s)]]&lt;=30,"3. 16-30 s",IF(Donnees[[#This Row],[Durée (s)]]&lt;=60,"4. 31-60 s","5. &gt; 60 s"))))</f>
        <v>1. ≤ 10 s</v>
      </c>
      <c r="K215" s="40" t="str">
        <f>IF(Donnees[[#This Row],[Durée (s)]]&gt;15,"Oui","Non")</f>
        <v>Non</v>
      </c>
      <c r="L215" s="40">
        <v>3</v>
      </c>
      <c r="M215" s="40" t="s">
        <v>41</v>
      </c>
      <c r="N215" s="40">
        <v>14</v>
      </c>
      <c r="O215" s="40" t="s">
        <v>41</v>
      </c>
      <c r="P215" s="40" t="s">
        <v>41</v>
      </c>
      <c r="Q215" s="40" t="s">
        <v>41</v>
      </c>
      <c r="R215" s="40" t="s">
        <v>44</v>
      </c>
      <c r="S215" s="40" t="s">
        <v>44</v>
      </c>
      <c r="T215" s="41">
        <v>2700000</v>
      </c>
      <c r="U215" s="40" t="str">
        <f>IF(Donnees[[#This Row],[Abonnés]]="","",IF(Donnees[[#This Row],[Abonnés]]&lt;1000000,"1. &lt; 1 M",IF(Donnees[[#This Row],[Abonnés]]&lt;3000000,"2. 1-3 M",IF(Donnees[[#This Row],[Abonnés]]&lt;8000000,"3. 3-8 M","4. ≥ 8 M"))))</f>
        <v>2. 1-3 M</v>
      </c>
      <c r="V215" s="41">
        <v>374</v>
      </c>
      <c r="W215" s="41">
        <v>108100000</v>
      </c>
      <c r="X215" s="41">
        <v>14000000</v>
      </c>
      <c r="Y215" s="41">
        <v>190300</v>
      </c>
      <c r="Z215" s="41">
        <v>1300000</v>
      </c>
      <c r="AA215" s="42">
        <f>(Donnees[[#This Row],[Likes]]+Donnees[[#This Row],[Commentaires]]+Donnees[[#This Row],[Partages]])/Donnees[[#This Row],[Vues]]</f>
        <v>0.14329602220166512</v>
      </c>
      <c r="AB215" s="40">
        <f>IF(Donnees[[#This Row],[Engagement]]&gt;=VLOOKUP(Donnees[[#This Row],[Échantillon]],'Méthode &amp; limites'!$B$9:$D$11,2,FALSE),1,0)</f>
        <v>0</v>
      </c>
      <c r="AC215" s="43">
        <f>IF(Donnees[[#This Row],[Abonnés]]="","",Donnees[[#This Row],[Vues]]/Donnees[[#This Row],[Abonnés]])</f>
        <v>40.037037037037038</v>
      </c>
      <c r="AD215" s="40" t="s">
        <v>44</v>
      </c>
      <c r="AE215" s="43">
        <f>SUMPRODUCT((Donnees[Échantillon]=Donnees[[#This Row],[Échantillon]])*(Donnees[Engagement]&lt;Donnees[[#This Row],[Engagement]]))+(SUMPRODUCT((Donnees[Échantillon]=Donnees[[#This Row],[Échantillon]])*(Donnees[Engagement]=Donnees[[#This Row],[Engagement]]))+1)/2</f>
        <v>37</v>
      </c>
      <c r="AF215" s="43">
        <f>SUMPRODUCT((Donnees[Échantillon]=Donnees[[#This Row],[Échantillon]])*(Donnees[Vues]&lt;Donnees[[#This Row],[Vues]]))+(SUMPRODUCT((Donnees[Échantillon]=Donnees[[#This Row],[Échantillon]])*(Donnees[Vues]=Donnees[[#This Row],[Vues]]))+1)/2</f>
        <v>87</v>
      </c>
      <c r="AG215" s="43">
        <f>SUMPRODUCT((Donnees[Échantillon]=Donnees[[#This Row],[Échantillon]])*(Donnees[Durée (s)]&lt;Donnees[[#This Row],[Durée (s)]]))+(SUMPRODUCT((Donnees[Échantillon]=Donnees[[#This Row],[Échantillon]])*(Donnees[Durée (s)]=Donnees[[#This Row],[Durée (s)]]))+1)/2</f>
        <v>1.5</v>
      </c>
      <c r="AH215" s="43">
        <f>SUMPRODUCT((Donnees[Échantillon]=Donnees[[#This Row],[Échantillon]])*(Donnees[Nb hashtags]&lt;Donnees[[#This Row],[Nb hashtags]]))+(SUMPRODUCT((Donnees[Échantillon]=Donnees[[#This Row],[Échantillon]])*(Donnees[Nb hashtags]=Donnees[[#This Row],[Nb hashtags]]))+1)/2</f>
        <v>10.5</v>
      </c>
      <c r="AI215" s="43">
        <f>SUMPRODUCT((Donnees[Échantillon]=Donnees[[#This Row],[Échantillon]])*(Donnees[Longueur du texte]&lt;Donnees[[#This Row],[Longueur du texte]]))+(SUMPRODUCT((Donnees[Échantillon]=Donnees[[#This Row],[Échantillon]])*(Donnees[Longueur du texte]=Donnees[[#This Row],[Longueur du texte]]))+1)/2</f>
        <v>36.5</v>
      </c>
      <c r="AJ215" s="43">
        <f>IF(Donnees[[#This Row],[Abonnés]]="","",SUMPRODUCT((Donnees[Échantillon]=Donnees[[#This Row],[Échantillon]])*(Donnees[Abonnés]&lt;Donnees[[#This Row],[Abonnés]]))+(SUMPRODUCT((Donnees[Échantillon]=Donnees[[#This Row],[Échantillon]])*(Donnees[Abonnés]=Donnees[[#This Row],[Abonnés]]))+1)/2)</f>
        <v>49</v>
      </c>
      <c r="AK215" s="43">
        <f>IF(Donnees[[#This Row],[Vidéos publiées]]="","",SUMPRODUCT((Donnees[Échantillon]=Donnees[[#This Row],[Échantillon]])*(Donnees[Vidéos publiées]&lt;Donnees[[#This Row],[Vidéos publiées]]))+(SUMPRODUCT((Donnees[Échantillon]=Donnees[[#This Row],[Échantillon]])*(Donnees[Vidéos publiées]=Donnees[[#This Row],[Vidéos publiées]]))+1)/2)</f>
        <v>59</v>
      </c>
    </row>
    <row r="216" spans="1:37" x14ac:dyDescent="0.2">
      <c r="A216" s="40" t="s">
        <v>237</v>
      </c>
      <c r="B216" s="40" t="s">
        <v>251</v>
      </c>
      <c r="C216" s="40" t="s">
        <v>46</v>
      </c>
      <c r="D216" s="40">
        <v>252</v>
      </c>
      <c r="E216" s="40" t="s">
        <v>40</v>
      </c>
      <c r="F216" s="40" t="str">
        <f>IF(OR(Donnees[[#This Row],[Jour]]="samedi",Donnees[[#This Row],[Jour]]="dimanche"),"Oui","Non")</f>
        <v>Non</v>
      </c>
      <c r="G216" s="40">
        <v>2</v>
      </c>
      <c r="H216" s="40" t="str">
        <f>IF(Donnees[[#This Row],[Heure UTC]]&lt;6,"0-5 h",IF(Donnees[[#This Row],[Heure UTC]]&lt;12,"6-11 h",IF(Donnees[[#This Row],[Heure UTC]]&lt;18,"12-17 h","18-23 h")))</f>
        <v>0-5 h</v>
      </c>
      <c r="I216" s="40">
        <v>23</v>
      </c>
      <c r="J216" s="40" t="str">
        <f>IF(Donnees[[#This Row],[Durée (s)]]&lt;=10,"1. ≤ 10 s",IF(Donnees[[#This Row],[Durée (s)]]&lt;=15,"2. 11-15 s",IF(Donnees[[#This Row],[Durée (s)]]&lt;=30,"3. 16-30 s",IF(Donnees[[#This Row],[Durée (s)]]&lt;=60,"4. 31-60 s","5. &gt; 60 s"))))</f>
        <v>3. 16-30 s</v>
      </c>
      <c r="K216" s="40" t="str">
        <f>IF(Donnees[[#This Row],[Durée (s)]]&gt;15,"Oui","Non")</f>
        <v>Oui</v>
      </c>
      <c r="L216" s="40">
        <v>12</v>
      </c>
      <c r="M216" s="40" t="s">
        <v>44</v>
      </c>
      <c r="N216" s="40">
        <v>21</v>
      </c>
      <c r="O216" s="40" t="s">
        <v>41</v>
      </c>
      <c r="P216" s="40" t="s">
        <v>44</v>
      </c>
      <c r="Q216" s="40" t="s">
        <v>41</v>
      </c>
      <c r="R216" s="40" t="s">
        <v>44</v>
      </c>
      <c r="S216" s="40" t="s">
        <v>44</v>
      </c>
      <c r="T216" s="41">
        <v>2300000</v>
      </c>
      <c r="U216" s="40" t="str">
        <f>IF(Donnees[[#This Row],[Abonnés]]="","",IF(Donnees[[#This Row],[Abonnés]]&lt;1000000,"1. &lt; 1 M",IF(Donnees[[#This Row],[Abonnés]]&lt;3000000,"2. 1-3 M",IF(Donnees[[#This Row],[Abonnés]]&lt;8000000,"3. 3-8 M","4. ≥ 8 M"))))</f>
        <v>2. 1-3 M</v>
      </c>
      <c r="V216" s="41">
        <v>389</v>
      </c>
      <c r="W216" s="41">
        <v>106200000</v>
      </c>
      <c r="X216" s="41">
        <v>10400000</v>
      </c>
      <c r="Y216" s="41">
        <v>14000</v>
      </c>
      <c r="Z216" s="41">
        <v>19400</v>
      </c>
      <c r="AA216" s="42">
        <f>(Donnees[[#This Row],[Likes]]+Donnees[[#This Row],[Commentaires]]+Donnees[[#This Row],[Partages]])/Donnees[[#This Row],[Vues]]</f>
        <v>9.8242937853107351E-2</v>
      </c>
      <c r="AB216" s="40">
        <f>IF(Donnees[[#This Row],[Engagement]]&gt;=VLOOKUP(Donnees[[#This Row],[Échantillon]],'Méthode &amp; limites'!$B$9:$D$11,2,FALSE),1,0)</f>
        <v>0</v>
      </c>
      <c r="AC216" s="43">
        <f>IF(Donnees[[#This Row],[Abonnés]]="","",Donnees[[#This Row],[Vues]]/Donnees[[#This Row],[Abonnés]])</f>
        <v>46.173913043478258</v>
      </c>
      <c r="AD216" s="40" t="s">
        <v>44</v>
      </c>
      <c r="AE216" s="43">
        <f>SUMPRODUCT((Donnees[Échantillon]=Donnees[[#This Row],[Échantillon]])*(Donnees[Engagement]&lt;Donnees[[#This Row],[Engagement]]))+(SUMPRODUCT((Donnees[Échantillon]=Donnees[[#This Row],[Échantillon]])*(Donnees[Engagement]=Donnees[[#This Row],[Engagement]]))+1)/2</f>
        <v>13</v>
      </c>
      <c r="AF216" s="43">
        <f>SUMPRODUCT((Donnees[Échantillon]=Donnees[[#This Row],[Échantillon]])*(Donnees[Vues]&lt;Donnees[[#This Row],[Vues]]))+(SUMPRODUCT((Donnees[Échantillon]=Donnees[[#This Row],[Échantillon]])*(Donnees[Vues]=Donnees[[#This Row],[Vues]]))+1)/2</f>
        <v>86</v>
      </c>
      <c r="AG216" s="43">
        <f>SUMPRODUCT((Donnees[Échantillon]=Donnees[[#This Row],[Échantillon]])*(Donnees[Durée (s)]&lt;Donnees[[#This Row],[Durée (s)]]))+(SUMPRODUCT((Donnees[Échantillon]=Donnees[[#This Row],[Échantillon]])*(Donnees[Durée (s)]=Donnees[[#This Row],[Durée (s)]]))+1)/2</f>
        <v>65</v>
      </c>
      <c r="AH216" s="43">
        <f>SUMPRODUCT((Donnees[Échantillon]=Donnees[[#This Row],[Échantillon]])*(Donnees[Nb hashtags]&lt;Donnees[[#This Row],[Nb hashtags]]))+(SUMPRODUCT((Donnees[Échantillon]=Donnees[[#This Row],[Échantillon]])*(Donnees[Nb hashtags]=Donnees[[#This Row],[Nb hashtags]]))+1)/2</f>
        <v>83</v>
      </c>
      <c r="AI216" s="43">
        <f>SUMPRODUCT((Donnees[Échantillon]=Donnees[[#This Row],[Échantillon]])*(Donnees[Longueur du texte]&lt;Donnees[[#This Row],[Longueur du texte]]))+(SUMPRODUCT((Donnees[Échantillon]=Donnees[[#This Row],[Échantillon]])*(Donnees[Longueur du texte]=Donnees[[#This Row],[Longueur du texte]]))+1)/2</f>
        <v>47.5</v>
      </c>
      <c r="AJ216" s="43">
        <f>IF(Donnees[[#This Row],[Abonnés]]="","",SUMPRODUCT((Donnees[Échantillon]=Donnees[[#This Row],[Échantillon]])*(Donnees[Abonnés]&lt;Donnees[[#This Row],[Abonnés]]))+(SUMPRODUCT((Donnees[Échantillon]=Donnees[[#This Row],[Échantillon]])*(Donnees[Abonnés]=Donnees[[#This Row],[Abonnés]]))+1)/2)</f>
        <v>45.5</v>
      </c>
      <c r="AK216" s="43">
        <f>IF(Donnees[[#This Row],[Vidéos publiées]]="","",SUMPRODUCT((Donnees[Échantillon]=Donnees[[#This Row],[Échantillon]])*(Donnees[Vidéos publiées]&lt;Donnees[[#This Row],[Vidéos publiées]]))+(SUMPRODUCT((Donnees[Échantillon]=Donnees[[#This Row],[Échantillon]])*(Donnees[Vidéos publiées]=Donnees[[#This Row],[Vidéos publiées]]))+1)/2)</f>
        <v>61.5</v>
      </c>
    </row>
    <row r="217" spans="1:37" x14ac:dyDescent="0.2">
      <c r="A217" s="40" t="s">
        <v>237</v>
      </c>
      <c r="B217" s="40" t="s">
        <v>252</v>
      </c>
      <c r="C217" s="40" t="s">
        <v>62</v>
      </c>
      <c r="D217" s="40">
        <v>79</v>
      </c>
      <c r="E217" s="40" t="s">
        <v>56</v>
      </c>
      <c r="F217" s="40" t="str">
        <f>IF(OR(Donnees[[#This Row],[Jour]]="samedi",Donnees[[#This Row],[Jour]]="dimanche"),"Oui","Non")</f>
        <v>Oui</v>
      </c>
      <c r="G217" s="40">
        <v>11</v>
      </c>
      <c r="H217" s="40" t="str">
        <f>IF(Donnees[[#This Row],[Heure UTC]]&lt;6,"0-5 h",IF(Donnees[[#This Row],[Heure UTC]]&lt;12,"6-11 h",IF(Donnees[[#This Row],[Heure UTC]]&lt;18,"12-17 h","18-23 h")))</f>
        <v>6-11 h</v>
      </c>
      <c r="I217" s="40">
        <v>56</v>
      </c>
      <c r="J217" s="40" t="str">
        <f>IF(Donnees[[#This Row],[Durée (s)]]&lt;=10,"1. ≤ 10 s",IF(Donnees[[#This Row],[Durée (s)]]&lt;=15,"2. 11-15 s",IF(Donnees[[#This Row],[Durée (s)]]&lt;=30,"3. 16-30 s",IF(Donnees[[#This Row],[Durée (s)]]&lt;=60,"4. 31-60 s","5. &gt; 60 s"))))</f>
        <v>4. 31-60 s</v>
      </c>
      <c r="K217" s="40" t="str">
        <f>IF(Donnees[[#This Row],[Durée (s)]]&gt;15,"Oui","Non")</f>
        <v>Oui</v>
      </c>
      <c r="L217" s="40">
        <v>17</v>
      </c>
      <c r="M217" s="40" t="s">
        <v>44</v>
      </c>
      <c r="N217" s="40">
        <v>16</v>
      </c>
      <c r="O217" s="40" t="s">
        <v>41</v>
      </c>
      <c r="P217" s="40" t="s">
        <v>41</v>
      </c>
      <c r="Q217" s="40" t="s">
        <v>41</v>
      </c>
      <c r="R217" s="40" t="s">
        <v>44</v>
      </c>
      <c r="S217" s="40" t="s">
        <v>44</v>
      </c>
      <c r="T217" s="41">
        <v>1300000</v>
      </c>
      <c r="U217" s="40" t="str">
        <f>IF(Donnees[[#This Row],[Abonnés]]="","",IF(Donnees[[#This Row],[Abonnés]]&lt;1000000,"1. &lt; 1 M",IF(Donnees[[#This Row],[Abonnés]]&lt;3000000,"2. 1-3 M",IF(Donnees[[#This Row],[Abonnés]]&lt;8000000,"3. 3-8 M","4. ≥ 8 M"))))</f>
        <v>2. 1-3 M</v>
      </c>
      <c r="V217" s="41">
        <v>22</v>
      </c>
      <c r="W217" s="41">
        <v>102000000</v>
      </c>
      <c r="X217" s="41">
        <v>7600000</v>
      </c>
      <c r="Y217" s="41">
        <v>114600</v>
      </c>
      <c r="Z217" s="41">
        <v>473400</v>
      </c>
      <c r="AA217" s="42">
        <f>(Donnees[[#This Row],[Likes]]+Donnees[[#This Row],[Commentaires]]+Donnees[[#This Row],[Partages]])/Donnees[[#This Row],[Vues]]</f>
        <v>8.0274509803921562E-2</v>
      </c>
      <c r="AB217" s="40">
        <f>IF(Donnees[[#This Row],[Engagement]]&gt;=VLOOKUP(Donnees[[#This Row],[Échantillon]],'Méthode &amp; limites'!$B$9:$D$11,2,FALSE),1,0)</f>
        <v>0</v>
      </c>
      <c r="AC217" s="43">
        <f>IF(Donnees[[#This Row],[Abonnés]]="","",Donnees[[#This Row],[Vues]]/Donnees[[#This Row],[Abonnés]])</f>
        <v>78.461538461538467</v>
      </c>
      <c r="AD217" s="40" t="s">
        <v>44</v>
      </c>
      <c r="AE217" s="43">
        <f>SUMPRODUCT((Donnees[Échantillon]=Donnees[[#This Row],[Échantillon]])*(Donnees[Engagement]&lt;Donnees[[#This Row],[Engagement]]))+(SUMPRODUCT((Donnees[Échantillon]=Donnees[[#This Row],[Échantillon]])*(Donnees[Engagement]=Donnees[[#This Row],[Engagement]]))+1)/2</f>
        <v>6</v>
      </c>
      <c r="AF217" s="43">
        <f>SUMPRODUCT((Donnees[Échantillon]=Donnees[[#This Row],[Échantillon]])*(Donnees[Vues]&lt;Donnees[[#This Row],[Vues]]))+(SUMPRODUCT((Donnees[Échantillon]=Donnees[[#This Row],[Échantillon]])*(Donnees[Vues]=Donnees[[#This Row],[Vues]]))+1)/2</f>
        <v>85</v>
      </c>
      <c r="AG217" s="43">
        <f>SUMPRODUCT((Donnees[Échantillon]=Donnees[[#This Row],[Échantillon]])*(Donnees[Durée (s)]&lt;Donnees[[#This Row],[Durée (s)]]))+(SUMPRODUCT((Donnees[Échantillon]=Donnees[[#This Row],[Échantillon]])*(Donnees[Durée (s)]=Donnees[[#This Row],[Durée (s)]]))+1)/2</f>
        <v>92</v>
      </c>
      <c r="AH217" s="43">
        <f>SUMPRODUCT((Donnees[Échantillon]=Donnees[[#This Row],[Échantillon]])*(Donnees[Nb hashtags]&lt;Donnees[[#This Row],[Nb hashtags]]))+(SUMPRODUCT((Donnees[Échantillon]=Donnees[[#This Row],[Échantillon]])*(Donnees[Nb hashtags]=Donnees[[#This Row],[Nb hashtags]]))+1)/2</f>
        <v>95.5</v>
      </c>
      <c r="AI217" s="43">
        <f>SUMPRODUCT((Donnees[Échantillon]=Donnees[[#This Row],[Échantillon]])*(Donnees[Longueur du texte]&lt;Donnees[[#This Row],[Longueur du texte]]))+(SUMPRODUCT((Donnees[Échantillon]=Donnees[[#This Row],[Échantillon]])*(Donnees[Longueur du texte]=Donnees[[#This Row],[Longueur du texte]]))+1)/2</f>
        <v>40.5</v>
      </c>
      <c r="AJ217" s="43">
        <f>IF(Donnees[[#This Row],[Abonnés]]="","",SUMPRODUCT((Donnees[Échantillon]=Donnees[[#This Row],[Échantillon]])*(Donnees[Abonnés]&lt;Donnees[[#This Row],[Abonnés]]))+(SUMPRODUCT((Donnees[Échantillon]=Donnees[[#This Row],[Échantillon]])*(Donnees[Abonnés]=Donnees[[#This Row],[Abonnés]]))+1)/2)</f>
        <v>33</v>
      </c>
      <c r="AK217" s="43">
        <f>IF(Donnees[[#This Row],[Vidéos publiées]]="","",SUMPRODUCT((Donnees[Échantillon]=Donnees[[#This Row],[Échantillon]])*(Donnees[Vidéos publiées]&lt;Donnees[[#This Row],[Vidéos publiées]]))+(SUMPRODUCT((Donnees[Échantillon]=Donnees[[#This Row],[Échantillon]])*(Donnees[Vidéos publiées]=Donnees[[#This Row],[Vidéos publiées]]))+1)/2)</f>
        <v>8</v>
      </c>
    </row>
    <row r="218" spans="1:37" x14ac:dyDescent="0.2">
      <c r="A218" s="40" t="s">
        <v>237</v>
      </c>
      <c r="B218" s="40" t="s">
        <v>253</v>
      </c>
      <c r="C218" s="40" t="s">
        <v>67</v>
      </c>
      <c r="D218" s="40">
        <v>392</v>
      </c>
      <c r="E218" s="40" t="s">
        <v>40</v>
      </c>
      <c r="F218" s="40" t="str">
        <f>IF(OR(Donnees[[#This Row],[Jour]]="samedi",Donnees[[#This Row],[Jour]]="dimanche"),"Oui","Non")</f>
        <v>Non</v>
      </c>
      <c r="G218" s="40">
        <v>17</v>
      </c>
      <c r="H218" s="40" t="str">
        <f>IF(Donnees[[#This Row],[Heure UTC]]&lt;6,"0-5 h",IF(Donnees[[#This Row],[Heure UTC]]&lt;12,"6-11 h",IF(Donnees[[#This Row],[Heure UTC]]&lt;18,"12-17 h","18-23 h")))</f>
        <v>12-17 h</v>
      </c>
      <c r="I218" s="40">
        <v>6</v>
      </c>
      <c r="J218" s="40" t="str">
        <f>IF(Donnees[[#This Row],[Durée (s)]]&lt;=10,"1. ≤ 10 s",IF(Donnees[[#This Row],[Durée (s)]]&lt;=15,"2. 11-15 s",IF(Donnees[[#This Row],[Durée (s)]]&lt;=30,"3. 16-30 s",IF(Donnees[[#This Row],[Durée (s)]]&lt;=60,"4. 31-60 s","5. &gt; 60 s"))))</f>
        <v>1. ≤ 10 s</v>
      </c>
      <c r="K218" s="40" t="str">
        <f>IF(Donnees[[#This Row],[Durée (s)]]&gt;15,"Oui","Non")</f>
        <v>Non</v>
      </c>
      <c r="L218" s="40">
        <v>10</v>
      </c>
      <c r="M218" s="40" t="s">
        <v>44</v>
      </c>
      <c r="N218" s="40">
        <v>27</v>
      </c>
      <c r="O218" s="40" t="s">
        <v>41</v>
      </c>
      <c r="P218" s="40" t="s">
        <v>41</v>
      </c>
      <c r="Q218" s="40" t="s">
        <v>41</v>
      </c>
      <c r="R218" s="40" t="s">
        <v>44</v>
      </c>
      <c r="S218" s="40" t="s">
        <v>44</v>
      </c>
      <c r="T218" s="41">
        <v>1100000</v>
      </c>
      <c r="U218" s="40" t="str">
        <f>IF(Donnees[[#This Row],[Abonnés]]="","",IF(Donnees[[#This Row],[Abonnés]]&lt;1000000,"1. &lt; 1 M",IF(Donnees[[#This Row],[Abonnés]]&lt;3000000,"2. 1-3 M",IF(Donnees[[#This Row],[Abonnés]]&lt;8000000,"3. 3-8 M","4. ≥ 8 M"))))</f>
        <v>2. 1-3 M</v>
      </c>
      <c r="V218" s="41">
        <v>240</v>
      </c>
      <c r="W218" s="41">
        <v>100600000</v>
      </c>
      <c r="X218" s="41">
        <v>7900000</v>
      </c>
      <c r="Y218" s="41">
        <v>80400</v>
      </c>
      <c r="Z218" s="41">
        <v>488400</v>
      </c>
      <c r="AA218" s="42">
        <f>(Donnees[[#This Row],[Likes]]+Donnees[[#This Row],[Commentaires]]+Donnees[[#This Row],[Partages]])/Donnees[[#This Row],[Vues]]</f>
        <v>8.4182902584493041E-2</v>
      </c>
      <c r="AB218" s="40">
        <f>IF(Donnees[[#This Row],[Engagement]]&gt;=VLOOKUP(Donnees[[#This Row],[Échantillon]],'Méthode &amp; limites'!$B$9:$D$11,2,FALSE),1,0)</f>
        <v>0</v>
      </c>
      <c r="AC218" s="43">
        <f>IF(Donnees[[#This Row],[Abonnés]]="","",Donnees[[#This Row],[Vues]]/Donnees[[#This Row],[Abonnés]])</f>
        <v>91.454545454545453</v>
      </c>
      <c r="AD218" s="40" t="s">
        <v>44</v>
      </c>
      <c r="AE218" s="43">
        <f>SUMPRODUCT((Donnees[Échantillon]=Donnees[[#This Row],[Échantillon]])*(Donnees[Engagement]&lt;Donnees[[#This Row],[Engagement]]))+(SUMPRODUCT((Donnees[Échantillon]=Donnees[[#This Row],[Échantillon]])*(Donnees[Engagement]=Donnees[[#This Row],[Engagement]]))+1)/2</f>
        <v>7</v>
      </c>
      <c r="AF218" s="43">
        <f>SUMPRODUCT((Donnees[Échantillon]=Donnees[[#This Row],[Échantillon]])*(Donnees[Vues]&lt;Donnees[[#This Row],[Vues]]))+(SUMPRODUCT((Donnees[Échantillon]=Donnees[[#This Row],[Échantillon]])*(Donnees[Vues]=Donnees[[#This Row],[Vues]]))+1)/2</f>
        <v>84</v>
      </c>
      <c r="AG218" s="43">
        <f>SUMPRODUCT((Donnees[Échantillon]=Donnees[[#This Row],[Échantillon]])*(Donnees[Durée (s)]&lt;Donnees[[#This Row],[Durée (s)]]))+(SUMPRODUCT((Donnees[Échantillon]=Donnees[[#This Row],[Échantillon]])*(Donnees[Durée (s)]=Donnees[[#This Row],[Durée (s)]]))+1)/2</f>
        <v>1.5</v>
      </c>
      <c r="AH218" s="43">
        <f>SUMPRODUCT((Donnees[Échantillon]=Donnees[[#This Row],[Échantillon]])*(Donnees[Nb hashtags]&lt;Donnees[[#This Row],[Nb hashtags]]))+(SUMPRODUCT((Donnees[Échantillon]=Donnees[[#This Row],[Échantillon]])*(Donnees[Nb hashtags]=Donnees[[#This Row],[Nb hashtags]]))+1)/2</f>
        <v>71.5</v>
      </c>
      <c r="AI218" s="43">
        <f>SUMPRODUCT((Donnees[Échantillon]=Donnees[[#This Row],[Échantillon]])*(Donnees[Longueur du texte]&lt;Donnees[[#This Row],[Longueur du texte]]))+(SUMPRODUCT((Donnees[Échantillon]=Donnees[[#This Row],[Échantillon]])*(Donnees[Longueur du texte]=Donnees[[#This Row],[Longueur du texte]]))+1)/2</f>
        <v>58</v>
      </c>
      <c r="AJ218" s="43">
        <f>IF(Donnees[[#This Row],[Abonnés]]="","",SUMPRODUCT((Donnees[Échantillon]=Donnees[[#This Row],[Échantillon]])*(Donnees[Abonnés]&lt;Donnees[[#This Row],[Abonnés]]))+(SUMPRODUCT((Donnees[Échantillon]=Donnees[[#This Row],[Échantillon]])*(Donnees[Abonnés]=Donnees[[#This Row],[Abonnés]]))+1)/2)</f>
        <v>30.5</v>
      </c>
      <c r="AK218" s="43">
        <f>IF(Donnees[[#This Row],[Vidéos publiées]]="","",SUMPRODUCT((Donnees[Échantillon]=Donnees[[#This Row],[Échantillon]])*(Donnees[Vidéos publiées]&lt;Donnees[[#This Row],[Vidéos publiées]]))+(SUMPRODUCT((Donnees[Échantillon]=Donnees[[#This Row],[Échantillon]])*(Donnees[Vidéos publiées]=Donnees[[#This Row],[Vidéos publiées]]))+1)/2)</f>
        <v>48</v>
      </c>
    </row>
    <row r="219" spans="1:37" x14ac:dyDescent="0.2">
      <c r="A219" s="40" t="s">
        <v>237</v>
      </c>
      <c r="B219" s="40" t="s">
        <v>254</v>
      </c>
      <c r="C219" s="40" t="s">
        <v>67</v>
      </c>
      <c r="D219" s="40">
        <v>203</v>
      </c>
      <c r="E219" s="40" t="s">
        <v>40</v>
      </c>
      <c r="F219" s="40" t="str">
        <f>IF(OR(Donnees[[#This Row],[Jour]]="samedi",Donnees[[#This Row],[Jour]]="dimanche"),"Oui","Non")</f>
        <v>Non</v>
      </c>
      <c r="G219" s="40">
        <v>21</v>
      </c>
      <c r="H219" s="40" t="str">
        <f>IF(Donnees[[#This Row],[Heure UTC]]&lt;6,"0-5 h",IF(Donnees[[#This Row],[Heure UTC]]&lt;12,"6-11 h",IF(Donnees[[#This Row],[Heure UTC]]&lt;18,"12-17 h","18-23 h")))</f>
        <v>18-23 h</v>
      </c>
      <c r="I219" s="40">
        <v>10</v>
      </c>
      <c r="J219" s="40" t="str">
        <f>IF(Donnees[[#This Row],[Durée (s)]]&lt;=10,"1. ≤ 10 s",IF(Donnees[[#This Row],[Durée (s)]]&lt;=15,"2. 11-15 s",IF(Donnees[[#This Row],[Durée (s)]]&lt;=30,"3. 16-30 s",IF(Donnees[[#This Row],[Durée (s)]]&lt;=60,"4. 31-60 s","5. &gt; 60 s"))))</f>
        <v>1. ≤ 10 s</v>
      </c>
      <c r="K219" s="40" t="str">
        <f>IF(Donnees[[#This Row],[Durée (s)]]&gt;15,"Oui","Non")</f>
        <v>Non</v>
      </c>
      <c r="L219" s="40">
        <v>7</v>
      </c>
      <c r="M219" s="40" t="s">
        <v>44</v>
      </c>
      <c r="N219" s="40">
        <v>32</v>
      </c>
      <c r="O219" s="40" t="s">
        <v>41</v>
      </c>
      <c r="P219" s="40" t="s">
        <v>41</v>
      </c>
      <c r="Q219" s="40" t="s">
        <v>41</v>
      </c>
      <c r="R219" s="40" t="s">
        <v>44</v>
      </c>
      <c r="S219" s="40" t="s">
        <v>41</v>
      </c>
      <c r="T219" s="41">
        <v>1400000</v>
      </c>
      <c r="U219" s="40" t="str">
        <f>IF(Donnees[[#This Row],[Abonnés]]="","",IF(Donnees[[#This Row],[Abonnés]]&lt;1000000,"1. &lt; 1 M",IF(Donnees[[#This Row],[Abonnés]]&lt;3000000,"2. 1-3 M",IF(Donnees[[#This Row],[Abonnés]]&lt;8000000,"3. 3-8 M","4. ≥ 8 M"))))</f>
        <v>2. 1-3 M</v>
      </c>
      <c r="V219" s="41">
        <v>7</v>
      </c>
      <c r="W219" s="41">
        <v>98500000</v>
      </c>
      <c r="X219" s="41">
        <v>18400000</v>
      </c>
      <c r="Y219" s="41">
        <v>157000</v>
      </c>
      <c r="Z219" s="41">
        <v>383600</v>
      </c>
      <c r="AA219" s="42">
        <f>(Donnees[[#This Row],[Likes]]+Donnees[[#This Row],[Commentaires]]+Donnees[[#This Row],[Partages]])/Donnees[[#This Row],[Vues]]</f>
        <v>0.19229035532994923</v>
      </c>
      <c r="AB219" s="40">
        <f>IF(Donnees[[#This Row],[Engagement]]&gt;=VLOOKUP(Donnees[[#This Row],[Échantillon]],'Méthode &amp; limites'!$B$9:$D$11,2,FALSE),1,0)</f>
        <v>0</v>
      </c>
      <c r="AC219" s="43">
        <f>IF(Donnees[[#This Row],[Abonnés]]="","",Donnees[[#This Row],[Vues]]/Donnees[[#This Row],[Abonnés]])</f>
        <v>70.357142857142861</v>
      </c>
      <c r="AD219" s="40" t="s">
        <v>44</v>
      </c>
      <c r="AE219" s="43">
        <f>SUMPRODUCT((Donnees[Échantillon]=Donnees[[#This Row],[Échantillon]])*(Donnees[Engagement]&lt;Donnees[[#This Row],[Engagement]]))+(SUMPRODUCT((Donnees[Échantillon]=Donnees[[#This Row],[Échantillon]])*(Donnees[Engagement]=Donnees[[#This Row],[Engagement]]))+1)/2</f>
        <v>68</v>
      </c>
      <c r="AF219" s="43">
        <f>SUMPRODUCT((Donnees[Échantillon]=Donnees[[#This Row],[Échantillon]])*(Donnees[Vues]&lt;Donnees[[#This Row],[Vues]]))+(SUMPRODUCT((Donnees[Échantillon]=Donnees[[#This Row],[Échantillon]])*(Donnees[Vues]=Donnees[[#This Row],[Vues]]))+1)/2</f>
        <v>83</v>
      </c>
      <c r="AG219" s="43">
        <f>SUMPRODUCT((Donnees[Échantillon]=Donnees[[#This Row],[Échantillon]])*(Donnees[Durée (s)]&lt;Donnees[[#This Row],[Durée (s)]]))+(SUMPRODUCT((Donnees[Échantillon]=Donnees[[#This Row],[Échantillon]])*(Donnees[Durée (s)]=Donnees[[#This Row],[Durée (s)]]))+1)/2</f>
        <v>22</v>
      </c>
      <c r="AH219" s="43">
        <f>SUMPRODUCT((Donnees[Échantillon]=Donnees[[#This Row],[Échantillon]])*(Donnees[Nb hashtags]&lt;Donnees[[#This Row],[Nb hashtags]]))+(SUMPRODUCT((Donnees[Échantillon]=Donnees[[#This Row],[Échantillon]])*(Donnees[Nb hashtags]=Donnees[[#This Row],[Nb hashtags]]))+1)/2</f>
        <v>37.5</v>
      </c>
      <c r="AI219" s="43">
        <f>SUMPRODUCT((Donnees[Échantillon]=Donnees[[#This Row],[Échantillon]])*(Donnees[Longueur du texte]&lt;Donnees[[#This Row],[Longueur du texte]]))+(SUMPRODUCT((Donnees[Échantillon]=Donnees[[#This Row],[Échantillon]])*(Donnees[Longueur du texte]=Donnees[[#This Row],[Longueur du texte]]))+1)/2</f>
        <v>66.5</v>
      </c>
      <c r="AJ219" s="43">
        <f>IF(Donnees[[#This Row],[Abonnés]]="","",SUMPRODUCT((Donnees[Échantillon]=Donnees[[#This Row],[Échantillon]])*(Donnees[Abonnés]&lt;Donnees[[#This Row],[Abonnés]]))+(SUMPRODUCT((Donnees[Échantillon]=Donnees[[#This Row],[Échantillon]])*(Donnees[Abonnés]=Donnees[[#This Row],[Abonnés]]))+1)/2)</f>
        <v>35.5</v>
      </c>
      <c r="AK219" s="43">
        <f>IF(Donnees[[#This Row],[Vidéos publiées]]="","",SUMPRODUCT((Donnees[Échantillon]=Donnees[[#This Row],[Échantillon]])*(Donnees[Vidéos publiées]&lt;Donnees[[#This Row],[Vidéos publiées]]))+(SUMPRODUCT((Donnees[Échantillon]=Donnees[[#This Row],[Échantillon]])*(Donnees[Vidéos publiées]=Donnees[[#This Row],[Vidéos publiées]]))+1)/2)</f>
        <v>5</v>
      </c>
    </row>
    <row r="220" spans="1:37" x14ac:dyDescent="0.2">
      <c r="A220" s="40" t="s">
        <v>237</v>
      </c>
      <c r="B220" s="40" t="s">
        <v>255</v>
      </c>
      <c r="C220" s="40" t="s">
        <v>50</v>
      </c>
      <c r="D220" s="40">
        <v>146</v>
      </c>
      <c r="E220" s="40" t="s">
        <v>59</v>
      </c>
      <c r="F220" s="40" t="str">
        <f>IF(OR(Donnees[[#This Row],[Jour]]="samedi",Donnees[[#This Row],[Jour]]="dimanche"),"Oui","Non")</f>
        <v>Non</v>
      </c>
      <c r="G220" s="40">
        <v>7</v>
      </c>
      <c r="H220" s="40" t="str">
        <f>IF(Donnees[[#This Row],[Heure UTC]]&lt;6,"0-5 h",IF(Donnees[[#This Row],[Heure UTC]]&lt;12,"6-11 h",IF(Donnees[[#This Row],[Heure UTC]]&lt;18,"12-17 h","18-23 h")))</f>
        <v>6-11 h</v>
      </c>
      <c r="I220" s="40">
        <v>15</v>
      </c>
      <c r="J220" s="40" t="str">
        <f>IF(Donnees[[#This Row],[Durée (s)]]&lt;=10,"1. ≤ 10 s",IF(Donnees[[#This Row],[Durée (s)]]&lt;=15,"2. 11-15 s",IF(Donnees[[#This Row],[Durée (s)]]&lt;=30,"3. 16-30 s",IF(Donnees[[#This Row],[Durée (s)]]&lt;=60,"4. 31-60 s","5. &gt; 60 s"))))</f>
        <v>2. 11-15 s</v>
      </c>
      <c r="K220" s="40" t="str">
        <f>IF(Donnees[[#This Row],[Durée (s)]]&gt;15,"Oui","Non")</f>
        <v>Non</v>
      </c>
      <c r="L220" s="40">
        <v>7</v>
      </c>
      <c r="M220" s="40" t="s">
        <v>44</v>
      </c>
      <c r="N220" s="40">
        <v>27</v>
      </c>
      <c r="O220" s="40" t="s">
        <v>41</v>
      </c>
      <c r="P220" s="40" t="s">
        <v>41</v>
      </c>
      <c r="Q220" s="40" t="s">
        <v>41</v>
      </c>
      <c r="R220" s="40" t="s">
        <v>44</v>
      </c>
      <c r="S220" s="40" t="s">
        <v>44</v>
      </c>
      <c r="T220" s="41">
        <v>398400</v>
      </c>
      <c r="U220" s="40" t="str">
        <f>IF(Donnees[[#This Row],[Abonnés]]="","",IF(Donnees[[#This Row],[Abonnés]]&lt;1000000,"1. &lt; 1 M",IF(Donnees[[#This Row],[Abonnés]]&lt;3000000,"2. 1-3 M",IF(Donnees[[#This Row],[Abonnés]]&lt;8000000,"3. 3-8 M","4. ≥ 8 M"))))</f>
        <v>1. &lt; 1 M</v>
      </c>
      <c r="V220" s="41">
        <v>32</v>
      </c>
      <c r="W220" s="41">
        <v>97200000</v>
      </c>
      <c r="X220" s="41">
        <v>7600000</v>
      </c>
      <c r="Y220" s="41">
        <v>44500</v>
      </c>
      <c r="Z220" s="41">
        <v>66600</v>
      </c>
      <c r="AA220" s="42">
        <f>(Donnees[[#This Row],[Likes]]+Donnees[[#This Row],[Commentaires]]+Donnees[[#This Row],[Partages]])/Donnees[[#This Row],[Vues]]</f>
        <v>7.933230452674897E-2</v>
      </c>
      <c r="AB220" s="40">
        <f>IF(Donnees[[#This Row],[Engagement]]&gt;=VLOOKUP(Donnees[[#This Row],[Échantillon]],'Méthode &amp; limites'!$B$9:$D$11,2,FALSE),1,0)</f>
        <v>0</v>
      </c>
      <c r="AC220" s="43">
        <f>IF(Donnees[[#This Row],[Abonnés]]="","",Donnees[[#This Row],[Vues]]/Donnees[[#This Row],[Abonnés]])</f>
        <v>243.97590361445782</v>
      </c>
      <c r="AD220" s="40" t="s">
        <v>44</v>
      </c>
      <c r="AE220" s="43">
        <f>SUMPRODUCT((Donnees[Échantillon]=Donnees[[#This Row],[Échantillon]])*(Donnees[Engagement]&lt;Donnees[[#This Row],[Engagement]]))+(SUMPRODUCT((Donnees[Échantillon]=Donnees[[#This Row],[Échantillon]])*(Donnees[Engagement]=Donnees[[#This Row],[Engagement]]))+1)/2</f>
        <v>5</v>
      </c>
      <c r="AF220" s="43">
        <f>SUMPRODUCT((Donnees[Échantillon]=Donnees[[#This Row],[Échantillon]])*(Donnees[Vues]&lt;Donnees[[#This Row],[Vues]]))+(SUMPRODUCT((Donnees[Échantillon]=Donnees[[#This Row],[Échantillon]])*(Donnees[Vues]=Donnees[[#This Row],[Vues]]))+1)/2</f>
        <v>82</v>
      </c>
      <c r="AG220" s="43">
        <f>SUMPRODUCT((Donnees[Échantillon]=Donnees[[#This Row],[Échantillon]])*(Donnees[Durée (s)]&lt;Donnees[[#This Row],[Durée (s)]]))+(SUMPRODUCT((Donnees[Échantillon]=Donnees[[#This Row],[Échantillon]])*(Donnees[Durée (s)]=Donnees[[#This Row],[Durée (s)]]))+1)/2</f>
        <v>43</v>
      </c>
      <c r="AH220" s="43">
        <f>SUMPRODUCT((Donnees[Échantillon]=Donnees[[#This Row],[Échantillon]])*(Donnees[Nb hashtags]&lt;Donnees[[#This Row],[Nb hashtags]]))+(SUMPRODUCT((Donnees[Échantillon]=Donnees[[#This Row],[Échantillon]])*(Donnees[Nb hashtags]=Donnees[[#This Row],[Nb hashtags]]))+1)/2</f>
        <v>37.5</v>
      </c>
      <c r="AI220" s="43">
        <f>SUMPRODUCT((Donnees[Échantillon]=Donnees[[#This Row],[Échantillon]])*(Donnees[Longueur du texte]&lt;Donnees[[#This Row],[Longueur du texte]]))+(SUMPRODUCT((Donnees[Échantillon]=Donnees[[#This Row],[Échantillon]])*(Donnees[Longueur du texte]=Donnees[[#This Row],[Longueur du texte]]))+1)/2</f>
        <v>58</v>
      </c>
      <c r="AJ220" s="43">
        <f>IF(Donnees[[#This Row],[Abonnés]]="","",SUMPRODUCT((Donnees[Échantillon]=Donnees[[#This Row],[Échantillon]])*(Donnees[Abonnés]&lt;Donnees[[#This Row],[Abonnés]]))+(SUMPRODUCT((Donnees[Échantillon]=Donnees[[#This Row],[Échantillon]])*(Donnees[Abonnés]=Donnees[[#This Row],[Abonnés]]))+1)/2)</f>
        <v>13</v>
      </c>
      <c r="AK220" s="43">
        <f>IF(Donnees[[#This Row],[Vidéos publiées]]="","",SUMPRODUCT((Donnees[Échantillon]=Donnees[[#This Row],[Échantillon]])*(Donnees[Vidéos publiées]&lt;Donnees[[#This Row],[Vidéos publiées]]))+(SUMPRODUCT((Donnees[Échantillon]=Donnees[[#This Row],[Échantillon]])*(Donnees[Vidéos publiées]=Donnees[[#This Row],[Vidéos publiées]]))+1)/2)</f>
        <v>12</v>
      </c>
    </row>
    <row r="221" spans="1:37" x14ac:dyDescent="0.2">
      <c r="A221" s="40" t="s">
        <v>237</v>
      </c>
      <c r="B221" s="40" t="s">
        <v>256</v>
      </c>
      <c r="C221" s="40" t="s">
        <v>62</v>
      </c>
      <c r="D221" s="40">
        <v>110</v>
      </c>
      <c r="E221" s="40" t="s">
        <v>47</v>
      </c>
      <c r="F221" s="40" t="str">
        <f>IF(OR(Donnees[[#This Row],[Jour]]="samedi",Donnees[[#This Row],[Jour]]="dimanche"),"Oui","Non")</f>
        <v>Non</v>
      </c>
      <c r="G221" s="40">
        <v>14</v>
      </c>
      <c r="H221" s="40" t="str">
        <f>IF(Donnees[[#This Row],[Heure UTC]]&lt;6,"0-5 h",IF(Donnees[[#This Row],[Heure UTC]]&lt;12,"6-11 h",IF(Donnees[[#This Row],[Heure UTC]]&lt;18,"12-17 h","18-23 h")))</f>
        <v>12-17 h</v>
      </c>
      <c r="I221" s="40">
        <v>21</v>
      </c>
      <c r="J221" s="40" t="str">
        <f>IF(Donnees[[#This Row],[Durée (s)]]&lt;=10,"1. ≤ 10 s",IF(Donnees[[#This Row],[Durée (s)]]&lt;=15,"2. 11-15 s",IF(Donnees[[#This Row],[Durée (s)]]&lt;=30,"3. 16-30 s",IF(Donnees[[#This Row],[Durée (s)]]&lt;=60,"4. 31-60 s","5. &gt; 60 s"))))</f>
        <v>3. 16-30 s</v>
      </c>
      <c r="K221" s="40" t="str">
        <f>IF(Donnees[[#This Row],[Durée (s)]]&gt;15,"Oui","Non")</f>
        <v>Oui</v>
      </c>
      <c r="L221" s="40">
        <v>5</v>
      </c>
      <c r="M221" s="40" t="s">
        <v>44</v>
      </c>
      <c r="N221" s="40">
        <v>14</v>
      </c>
      <c r="O221" s="40" t="s">
        <v>41</v>
      </c>
      <c r="P221" s="40" t="s">
        <v>44</v>
      </c>
      <c r="Q221" s="40" t="s">
        <v>41</v>
      </c>
      <c r="R221" s="40" t="s">
        <v>44</v>
      </c>
      <c r="S221" s="40" t="s">
        <v>44</v>
      </c>
      <c r="T221" s="41">
        <v>8700000</v>
      </c>
      <c r="U221" s="40" t="str">
        <f>IF(Donnees[[#This Row],[Abonnés]]="","",IF(Donnees[[#This Row],[Abonnés]]&lt;1000000,"1. &lt; 1 M",IF(Donnees[[#This Row],[Abonnés]]&lt;3000000,"2. 1-3 M",IF(Donnees[[#This Row],[Abonnés]]&lt;8000000,"3. 3-8 M","4. ≥ 8 M"))))</f>
        <v>4. ≥ 8 M</v>
      </c>
      <c r="V221" s="41">
        <v>75</v>
      </c>
      <c r="W221" s="41">
        <v>88200000</v>
      </c>
      <c r="X221" s="41">
        <v>8700000</v>
      </c>
      <c r="Y221" s="41">
        <v>91500</v>
      </c>
      <c r="Z221" s="41">
        <v>17100</v>
      </c>
      <c r="AA221" s="42">
        <f>(Donnees[[#This Row],[Likes]]+Donnees[[#This Row],[Commentaires]]+Donnees[[#This Row],[Partages]])/Donnees[[#This Row],[Vues]]</f>
        <v>9.9870748299319731E-2</v>
      </c>
      <c r="AB221" s="40">
        <f>IF(Donnees[[#This Row],[Engagement]]&gt;=VLOOKUP(Donnees[[#This Row],[Échantillon]],'Méthode &amp; limites'!$B$9:$D$11,2,FALSE),1,0)</f>
        <v>0</v>
      </c>
      <c r="AC221" s="43">
        <f>IF(Donnees[[#This Row],[Abonnés]]="","",Donnees[[#This Row],[Vues]]/Donnees[[#This Row],[Abonnés]])</f>
        <v>10.137931034482758</v>
      </c>
      <c r="AD221" s="40" t="s">
        <v>44</v>
      </c>
      <c r="AE221" s="43">
        <f>SUMPRODUCT((Donnees[Échantillon]=Donnees[[#This Row],[Échantillon]])*(Donnees[Engagement]&lt;Donnees[[#This Row],[Engagement]]))+(SUMPRODUCT((Donnees[Échantillon]=Donnees[[#This Row],[Échantillon]])*(Donnees[Engagement]=Donnees[[#This Row],[Engagement]]))+1)/2</f>
        <v>14</v>
      </c>
      <c r="AF221" s="43">
        <f>SUMPRODUCT((Donnees[Échantillon]=Donnees[[#This Row],[Échantillon]])*(Donnees[Vues]&lt;Donnees[[#This Row],[Vues]]))+(SUMPRODUCT((Donnees[Échantillon]=Donnees[[#This Row],[Échantillon]])*(Donnees[Vues]=Donnees[[#This Row],[Vues]]))+1)/2</f>
        <v>81</v>
      </c>
      <c r="AG221" s="43">
        <f>SUMPRODUCT((Donnees[Échantillon]=Donnees[[#This Row],[Échantillon]])*(Donnees[Durée (s)]&lt;Donnees[[#This Row],[Durée (s)]]))+(SUMPRODUCT((Donnees[Échantillon]=Donnees[[#This Row],[Échantillon]])*(Donnees[Durée (s)]=Donnees[[#This Row],[Durée (s)]]))+1)/2</f>
        <v>61</v>
      </c>
      <c r="AH221" s="43">
        <f>SUMPRODUCT((Donnees[Échantillon]=Donnees[[#This Row],[Échantillon]])*(Donnees[Nb hashtags]&lt;Donnees[[#This Row],[Nb hashtags]]))+(SUMPRODUCT((Donnees[Échantillon]=Donnees[[#This Row],[Échantillon]])*(Donnees[Nb hashtags]=Donnees[[#This Row],[Nb hashtags]]))+1)/2</f>
        <v>22</v>
      </c>
      <c r="AI221" s="43">
        <f>SUMPRODUCT((Donnees[Échantillon]=Donnees[[#This Row],[Échantillon]])*(Donnees[Longueur du texte]&lt;Donnees[[#This Row],[Longueur du texte]]))+(SUMPRODUCT((Donnees[Échantillon]=Donnees[[#This Row],[Échantillon]])*(Donnees[Longueur du texte]=Donnees[[#This Row],[Longueur du texte]]))+1)/2</f>
        <v>36.5</v>
      </c>
      <c r="AJ221" s="43">
        <f>IF(Donnees[[#This Row],[Abonnés]]="","",SUMPRODUCT((Donnees[Échantillon]=Donnees[[#This Row],[Échantillon]])*(Donnees[Abonnés]&lt;Donnees[[#This Row],[Abonnés]]))+(SUMPRODUCT((Donnees[Échantillon]=Donnees[[#This Row],[Échantillon]])*(Donnees[Abonnés]=Donnees[[#This Row],[Abonnés]]))+1)/2)</f>
        <v>82.5</v>
      </c>
      <c r="AK221" s="43">
        <f>IF(Donnees[[#This Row],[Vidéos publiées]]="","",SUMPRODUCT((Donnees[Échantillon]=Donnees[[#This Row],[Échantillon]])*(Donnees[Vidéos publiées]&lt;Donnees[[#This Row],[Vidéos publiées]]))+(SUMPRODUCT((Donnees[Échantillon]=Donnees[[#This Row],[Échantillon]])*(Donnees[Vidéos publiées]=Donnees[[#This Row],[Vidéos publiées]]))+1)/2)</f>
        <v>23</v>
      </c>
    </row>
    <row r="222" spans="1:37" x14ac:dyDescent="0.2">
      <c r="A222" s="40" t="s">
        <v>237</v>
      </c>
      <c r="B222" s="40" t="s">
        <v>251</v>
      </c>
      <c r="C222" s="40" t="s">
        <v>46</v>
      </c>
      <c r="D222" s="40">
        <v>112</v>
      </c>
      <c r="E222" s="40" t="s">
        <v>40</v>
      </c>
      <c r="F222" s="40" t="str">
        <f>IF(OR(Donnees[[#This Row],[Jour]]="samedi",Donnees[[#This Row],[Jour]]="dimanche"),"Oui","Non")</f>
        <v>Non</v>
      </c>
      <c r="G222" s="40">
        <v>22</v>
      </c>
      <c r="H222" s="40" t="str">
        <f>IF(Donnees[[#This Row],[Heure UTC]]&lt;6,"0-5 h",IF(Donnees[[#This Row],[Heure UTC]]&lt;12,"6-11 h",IF(Donnees[[#This Row],[Heure UTC]]&lt;18,"12-17 h","18-23 h")))</f>
        <v>18-23 h</v>
      </c>
      <c r="I222" s="40">
        <v>23</v>
      </c>
      <c r="J222" s="40" t="str">
        <f>IF(Donnees[[#This Row],[Durée (s)]]&lt;=10,"1. ≤ 10 s",IF(Donnees[[#This Row],[Durée (s)]]&lt;=15,"2. 11-15 s",IF(Donnees[[#This Row],[Durée (s)]]&lt;=30,"3. 16-30 s",IF(Donnees[[#This Row],[Durée (s)]]&lt;=60,"4. 31-60 s","5. &gt; 60 s"))))</f>
        <v>3. 16-30 s</v>
      </c>
      <c r="K222" s="40" t="str">
        <f>IF(Donnees[[#This Row],[Durée (s)]]&gt;15,"Oui","Non")</f>
        <v>Oui</v>
      </c>
      <c r="L222" s="40">
        <v>11</v>
      </c>
      <c r="M222" s="40" t="s">
        <v>44</v>
      </c>
      <c r="N222" s="40">
        <v>27</v>
      </c>
      <c r="O222" s="40" t="s">
        <v>41</v>
      </c>
      <c r="P222" s="40" t="s">
        <v>44</v>
      </c>
      <c r="Q222" s="40" t="s">
        <v>41</v>
      </c>
      <c r="R222" s="40" t="s">
        <v>44</v>
      </c>
      <c r="S222" s="40" t="s">
        <v>44</v>
      </c>
      <c r="T222" s="41">
        <v>2300000</v>
      </c>
      <c r="U222" s="40" t="str">
        <f>IF(Donnees[[#This Row],[Abonnés]]="","",IF(Donnees[[#This Row],[Abonnés]]&lt;1000000,"1. &lt; 1 M",IF(Donnees[[#This Row],[Abonnés]]&lt;3000000,"2. 1-3 M",IF(Donnees[[#This Row],[Abonnés]]&lt;8000000,"3. 3-8 M","4. ≥ 8 M"))))</f>
        <v>2. 1-3 M</v>
      </c>
      <c r="V222" s="41">
        <v>389</v>
      </c>
      <c r="W222" s="41">
        <v>86200000</v>
      </c>
      <c r="X222" s="41">
        <v>7300000</v>
      </c>
      <c r="Y222" s="41">
        <v>16300</v>
      </c>
      <c r="Z222" s="41">
        <v>8102</v>
      </c>
      <c r="AA222" s="42">
        <f>(Donnees[[#This Row],[Likes]]+Donnees[[#This Row],[Commentaires]]+Donnees[[#This Row],[Partages]])/Donnees[[#This Row],[Vues]]</f>
        <v>8.4969860788863108E-2</v>
      </c>
      <c r="AB222" s="40">
        <f>IF(Donnees[[#This Row],[Engagement]]&gt;=VLOOKUP(Donnees[[#This Row],[Échantillon]],'Méthode &amp; limites'!$B$9:$D$11,2,FALSE),1,0)</f>
        <v>0</v>
      </c>
      <c r="AC222" s="43">
        <f>IF(Donnees[[#This Row],[Abonnés]]="","",Donnees[[#This Row],[Vues]]/Donnees[[#This Row],[Abonnés]])</f>
        <v>37.478260869565219</v>
      </c>
      <c r="AD222" s="40" t="s">
        <v>44</v>
      </c>
      <c r="AE222" s="43">
        <f>SUMPRODUCT((Donnees[Échantillon]=Donnees[[#This Row],[Échantillon]])*(Donnees[Engagement]&lt;Donnees[[#This Row],[Engagement]]))+(SUMPRODUCT((Donnees[Échantillon]=Donnees[[#This Row],[Échantillon]])*(Donnees[Engagement]=Donnees[[#This Row],[Engagement]]))+1)/2</f>
        <v>8</v>
      </c>
      <c r="AF222" s="43">
        <f>SUMPRODUCT((Donnees[Échantillon]=Donnees[[#This Row],[Échantillon]])*(Donnees[Vues]&lt;Donnees[[#This Row],[Vues]]))+(SUMPRODUCT((Donnees[Échantillon]=Donnees[[#This Row],[Échantillon]])*(Donnees[Vues]=Donnees[[#This Row],[Vues]]))+1)/2</f>
        <v>80</v>
      </c>
      <c r="AG222" s="43">
        <f>SUMPRODUCT((Donnees[Échantillon]=Donnees[[#This Row],[Échantillon]])*(Donnees[Durée (s)]&lt;Donnees[[#This Row],[Durée (s)]]))+(SUMPRODUCT((Donnees[Échantillon]=Donnees[[#This Row],[Échantillon]])*(Donnees[Durée (s)]=Donnees[[#This Row],[Durée (s)]]))+1)/2</f>
        <v>65</v>
      </c>
      <c r="AH222" s="43">
        <f>SUMPRODUCT((Donnees[Échantillon]=Donnees[[#This Row],[Échantillon]])*(Donnees[Nb hashtags]&lt;Donnees[[#This Row],[Nb hashtags]]))+(SUMPRODUCT((Donnees[Échantillon]=Donnees[[#This Row],[Échantillon]])*(Donnees[Nb hashtags]=Donnees[[#This Row],[Nb hashtags]]))+1)/2</f>
        <v>79</v>
      </c>
      <c r="AI222" s="43">
        <f>SUMPRODUCT((Donnees[Échantillon]=Donnees[[#This Row],[Échantillon]])*(Donnees[Longueur du texte]&lt;Donnees[[#This Row],[Longueur du texte]]))+(SUMPRODUCT((Donnees[Échantillon]=Donnees[[#This Row],[Échantillon]])*(Donnees[Longueur du texte]=Donnees[[#This Row],[Longueur du texte]]))+1)/2</f>
        <v>58</v>
      </c>
      <c r="AJ222" s="43">
        <f>IF(Donnees[[#This Row],[Abonnés]]="","",SUMPRODUCT((Donnees[Échantillon]=Donnees[[#This Row],[Échantillon]])*(Donnees[Abonnés]&lt;Donnees[[#This Row],[Abonnés]]))+(SUMPRODUCT((Donnees[Échantillon]=Donnees[[#This Row],[Échantillon]])*(Donnees[Abonnés]=Donnees[[#This Row],[Abonnés]]))+1)/2)</f>
        <v>45.5</v>
      </c>
      <c r="AK222" s="43">
        <f>IF(Donnees[[#This Row],[Vidéos publiées]]="","",SUMPRODUCT((Donnees[Échantillon]=Donnees[[#This Row],[Échantillon]])*(Donnees[Vidéos publiées]&lt;Donnees[[#This Row],[Vidéos publiées]]))+(SUMPRODUCT((Donnees[Échantillon]=Donnees[[#This Row],[Échantillon]])*(Donnees[Vidéos publiées]=Donnees[[#This Row],[Vidéos publiées]]))+1)/2)</f>
        <v>61.5</v>
      </c>
    </row>
    <row r="223" spans="1:37" x14ac:dyDescent="0.2">
      <c r="A223" s="40" t="s">
        <v>237</v>
      </c>
      <c r="B223" s="40" t="s">
        <v>74</v>
      </c>
      <c r="C223" s="40" t="s">
        <v>50</v>
      </c>
      <c r="D223" s="40">
        <v>224</v>
      </c>
      <c r="E223" s="40" t="s">
        <v>40</v>
      </c>
      <c r="F223" s="40" t="str">
        <f>IF(OR(Donnees[[#This Row],[Jour]]="samedi",Donnees[[#This Row],[Jour]]="dimanche"),"Oui","Non")</f>
        <v>Non</v>
      </c>
      <c r="G223" s="40">
        <v>14</v>
      </c>
      <c r="H223" s="40" t="str">
        <f>IF(Donnees[[#This Row],[Heure UTC]]&lt;6,"0-5 h",IF(Donnees[[#This Row],[Heure UTC]]&lt;12,"6-11 h",IF(Donnees[[#This Row],[Heure UTC]]&lt;18,"12-17 h","18-23 h")))</f>
        <v>12-17 h</v>
      </c>
      <c r="I223" s="40">
        <v>17</v>
      </c>
      <c r="J223" s="40" t="str">
        <f>IF(Donnees[[#This Row],[Durée (s)]]&lt;=10,"1. ≤ 10 s",IF(Donnees[[#This Row],[Durée (s)]]&lt;=15,"2. 11-15 s",IF(Donnees[[#This Row],[Durée (s)]]&lt;=30,"3. 16-30 s",IF(Donnees[[#This Row],[Durée (s)]]&lt;=60,"4. 31-60 s","5. &gt; 60 s"))))</f>
        <v>3. 16-30 s</v>
      </c>
      <c r="K223" s="40" t="str">
        <f>IF(Donnees[[#This Row],[Durée (s)]]&gt;15,"Oui","Non")</f>
        <v>Oui</v>
      </c>
      <c r="L223" s="40">
        <v>8</v>
      </c>
      <c r="M223" s="40" t="s">
        <v>44</v>
      </c>
      <c r="N223" s="40">
        <v>7</v>
      </c>
      <c r="O223" s="40" t="s">
        <v>41</v>
      </c>
      <c r="P223" s="40" t="s">
        <v>44</v>
      </c>
      <c r="Q223" s="40" t="s">
        <v>41</v>
      </c>
      <c r="R223" s="40" t="s">
        <v>44</v>
      </c>
      <c r="S223" s="40" t="s">
        <v>44</v>
      </c>
      <c r="T223" s="41">
        <v>27400000</v>
      </c>
      <c r="U223" s="40" t="str">
        <f>IF(Donnees[[#This Row],[Abonnés]]="","",IF(Donnees[[#This Row],[Abonnés]]&lt;1000000,"1. &lt; 1 M",IF(Donnees[[#This Row],[Abonnés]]&lt;3000000,"2. 1-3 M",IF(Donnees[[#This Row],[Abonnés]]&lt;8000000,"3. 3-8 M","4. ≥ 8 M"))))</f>
        <v>4. ≥ 8 M</v>
      </c>
      <c r="V223" s="41">
        <v>588</v>
      </c>
      <c r="W223" s="41">
        <v>85700000</v>
      </c>
      <c r="X223" s="41">
        <v>9100000</v>
      </c>
      <c r="Y223" s="41">
        <v>47100</v>
      </c>
      <c r="Z223" s="41">
        <v>33900</v>
      </c>
      <c r="AA223" s="42">
        <f>(Donnees[[#This Row],[Likes]]+Donnees[[#This Row],[Commentaires]]+Donnees[[#This Row],[Partages]])/Donnees[[#This Row],[Vues]]</f>
        <v>0.10712952158693116</v>
      </c>
      <c r="AB223" s="40">
        <f>IF(Donnees[[#This Row],[Engagement]]&gt;=VLOOKUP(Donnees[[#This Row],[Échantillon]],'Méthode &amp; limites'!$B$9:$D$11,2,FALSE),1,0)</f>
        <v>0</v>
      </c>
      <c r="AC223" s="43">
        <f>IF(Donnees[[#This Row],[Abonnés]]="","",Donnees[[#This Row],[Vues]]/Donnees[[#This Row],[Abonnés]])</f>
        <v>3.1277372262773722</v>
      </c>
      <c r="AD223" s="40" t="s">
        <v>44</v>
      </c>
      <c r="AE223" s="43">
        <f>SUMPRODUCT((Donnees[Échantillon]=Donnees[[#This Row],[Échantillon]])*(Donnees[Engagement]&lt;Donnees[[#This Row],[Engagement]]))+(SUMPRODUCT((Donnees[Échantillon]=Donnees[[#This Row],[Échantillon]])*(Donnees[Engagement]=Donnees[[#This Row],[Engagement]]))+1)/2</f>
        <v>19</v>
      </c>
      <c r="AF223" s="43">
        <f>SUMPRODUCT((Donnees[Échantillon]=Donnees[[#This Row],[Échantillon]])*(Donnees[Vues]&lt;Donnees[[#This Row],[Vues]]))+(SUMPRODUCT((Donnees[Échantillon]=Donnees[[#This Row],[Échantillon]])*(Donnees[Vues]=Donnees[[#This Row],[Vues]]))+1)/2</f>
        <v>79</v>
      </c>
      <c r="AG223" s="43">
        <f>SUMPRODUCT((Donnees[Échantillon]=Donnees[[#This Row],[Échantillon]])*(Donnees[Durée (s)]&lt;Donnees[[#This Row],[Durée (s)]]))+(SUMPRODUCT((Donnees[Échantillon]=Donnees[[#This Row],[Échantillon]])*(Donnees[Durée (s)]=Donnees[[#This Row],[Durée (s)]]))+1)/2</f>
        <v>51</v>
      </c>
      <c r="AH223" s="43">
        <f>SUMPRODUCT((Donnees[Échantillon]=Donnees[[#This Row],[Échantillon]])*(Donnees[Nb hashtags]&lt;Donnees[[#This Row],[Nb hashtags]]))+(SUMPRODUCT((Donnees[Échantillon]=Donnees[[#This Row],[Échantillon]])*(Donnees[Nb hashtags]=Donnees[[#This Row],[Nb hashtags]]))+1)/2</f>
        <v>47.5</v>
      </c>
      <c r="AI223" s="43">
        <f>SUMPRODUCT((Donnees[Échantillon]=Donnees[[#This Row],[Échantillon]])*(Donnees[Longueur du texte]&lt;Donnees[[#This Row],[Longueur du texte]]))+(SUMPRODUCT((Donnees[Échantillon]=Donnees[[#This Row],[Échantillon]])*(Donnees[Longueur du texte]=Donnees[[#This Row],[Longueur du texte]]))+1)/2</f>
        <v>22.5</v>
      </c>
      <c r="AJ223" s="43">
        <f>IF(Donnees[[#This Row],[Abonnés]]="","",SUMPRODUCT((Donnees[Échantillon]=Donnees[[#This Row],[Échantillon]])*(Donnees[Abonnés]&lt;Donnees[[#This Row],[Abonnés]]))+(SUMPRODUCT((Donnees[Échantillon]=Donnees[[#This Row],[Échantillon]])*(Donnees[Abonnés]=Donnees[[#This Row],[Abonnés]]))+1)/2)</f>
        <v>96.5</v>
      </c>
      <c r="AK223" s="43">
        <f>IF(Donnees[[#This Row],[Vidéos publiées]]="","",SUMPRODUCT((Donnees[Échantillon]=Donnees[[#This Row],[Échantillon]])*(Donnees[Vidéos publiées]&lt;Donnees[[#This Row],[Vidéos publiées]]))+(SUMPRODUCT((Donnees[Échantillon]=Donnees[[#This Row],[Échantillon]])*(Donnees[Vidéos publiées]=Donnees[[#This Row],[Vidéos publiées]]))+1)/2)</f>
        <v>78.5</v>
      </c>
    </row>
    <row r="224" spans="1:37" x14ac:dyDescent="0.2">
      <c r="A224" s="40" t="s">
        <v>237</v>
      </c>
      <c r="B224" s="40" t="s">
        <v>257</v>
      </c>
      <c r="C224" s="40" t="s">
        <v>50</v>
      </c>
      <c r="D224" s="40">
        <v>345</v>
      </c>
      <c r="E224" s="40" t="s">
        <v>56</v>
      </c>
      <c r="F224" s="40" t="str">
        <f>IF(OR(Donnees[[#This Row],[Jour]]="samedi",Donnees[[#This Row],[Jour]]="dimanche"),"Oui","Non")</f>
        <v>Oui</v>
      </c>
      <c r="G224" s="40">
        <v>13</v>
      </c>
      <c r="H224" s="40" t="str">
        <f>IF(Donnees[[#This Row],[Heure UTC]]&lt;6,"0-5 h",IF(Donnees[[#This Row],[Heure UTC]]&lt;12,"6-11 h",IF(Donnees[[#This Row],[Heure UTC]]&lt;18,"12-17 h","18-23 h")))</f>
        <v>12-17 h</v>
      </c>
      <c r="I224" s="40">
        <v>59</v>
      </c>
      <c r="J224" s="40" t="str">
        <f>IF(Donnees[[#This Row],[Durée (s)]]&lt;=10,"1. ≤ 10 s",IF(Donnees[[#This Row],[Durée (s)]]&lt;=15,"2. 11-15 s",IF(Donnees[[#This Row],[Durée (s)]]&lt;=30,"3. 16-30 s",IF(Donnees[[#This Row],[Durée (s)]]&lt;=60,"4. 31-60 s","5. &gt; 60 s"))))</f>
        <v>4. 31-60 s</v>
      </c>
      <c r="K224" s="40" t="str">
        <f>IF(Donnees[[#This Row],[Durée (s)]]&gt;15,"Oui","Non")</f>
        <v>Oui</v>
      </c>
      <c r="L224" s="40">
        <v>11</v>
      </c>
      <c r="M224" s="40" t="s">
        <v>41</v>
      </c>
      <c r="N224" s="40">
        <v>60</v>
      </c>
      <c r="O224" s="40" t="s">
        <v>41</v>
      </c>
      <c r="P224" s="40" t="s">
        <v>41</v>
      </c>
      <c r="Q224" s="40" t="s">
        <v>41</v>
      </c>
      <c r="R224" s="40" t="s">
        <v>41</v>
      </c>
      <c r="S224" s="40" t="s">
        <v>44</v>
      </c>
      <c r="T224" s="41">
        <v>33200000</v>
      </c>
      <c r="U224" s="40" t="str">
        <f>IF(Donnees[[#This Row],[Abonnés]]="","",IF(Donnees[[#This Row],[Abonnés]]&lt;1000000,"1. &lt; 1 M",IF(Donnees[[#This Row],[Abonnés]]&lt;3000000,"2. 1-3 M",IF(Donnees[[#This Row],[Abonnés]]&lt;8000000,"3. 3-8 M","4. ≥ 8 M"))))</f>
        <v>4. ≥ 8 M</v>
      </c>
      <c r="V224" s="41">
        <v>1845</v>
      </c>
      <c r="W224" s="41">
        <v>82300000</v>
      </c>
      <c r="X224" s="41">
        <v>6900000</v>
      </c>
      <c r="Y224" s="41">
        <v>30800</v>
      </c>
      <c r="Z224" s="41">
        <v>194900</v>
      </c>
      <c r="AA224" s="42">
        <f>(Donnees[[#This Row],[Likes]]+Donnees[[#This Row],[Commentaires]]+Donnees[[#This Row],[Partages]])/Donnees[[#This Row],[Vues]]</f>
        <v>8.6582017010935597E-2</v>
      </c>
      <c r="AB224" s="40">
        <f>IF(Donnees[[#This Row],[Engagement]]&gt;=VLOOKUP(Donnees[[#This Row],[Échantillon]],'Méthode &amp; limites'!$B$9:$D$11,2,FALSE),1,0)</f>
        <v>0</v>
      </c>
      <c r="AC224" s="43">
        <f>IF(Donnees[[#This Row],[Abonnés]]="","",Donnees[[#This Row],[Vues]]/Donnees[[#This Row],[Abonnés]])</f>
        <v>2.4789156626506026</v>
      </c>
      <c r="AD224" s="40" t="s">
        <v>44</v>
      </c>
      <c r="AE224" s="43">
        <f>SUMPRODUCT((Donnees[Échantillon]=Donnees[[#This Row],[Échantillon]])*(Donnees[Engagement]&lt;Donnees[[#This Row],[Engagement]]))+(SUMPRODUCT((Donnees[Échantillon]=Donnees[[#This Row],[Échantillon]])*(Donnees[Engagement]=Donnees[[#This Row],[Engagement]]))+1)/2</f>
        <v>9</v>
      </c>
      <c r="AF224" s="43">
        <f>SUMPRODUCT((Donnees[Échantillon]=Donnees[[#This Row],[Échantillon]])*(Donnees[Vues]&lt;Donnees[[#This Row],[Vues]]))+(SUMPRODUCT((Donnees[Échantillon]=Donnees[[#This Row],[Échantillon]])*(Donnees[Vues]=Donnees[[#This Row],[Vues]]))+1)/2</f>
        <v>78</v>
      </c>
      <c r="AG224" s="43">
        <f>SUMPRODUCT((Donnees[Échantillon]=Donnees[[#This Row],[Échantillon]])*(Donnees[Durée (s)]&lt;Donnees[[#This Row],[Durée (s)]]))+(SUMPRODUCT((Donnees[Échantillon]=Donnees[[#This Row],[Échantillon]])*(Donnees[Durée (s)]=Donnees[[#This Row],[Durée (s)]]))+1)/2</f>
        <v>97</v>
      </c>
      <c r="AH224" s="43">
        <f>SUMPRODUCT((Donnees[Échantillon]=Donnees[[#This Row],[Échantillon]])*(Donnees[Nb hashtags]&lt;Donnees[[#This Row],[Nb hashtags]]))+(SUMPRODUCT((Donnees[Échantillon]=Donnees[[#This Row],[Échantillon]])*(Donnees[Nb hashtags]=Donnees[[#This Row],[Nb hashtags]]))+1)/2</f>
        <v>79</v>
      </c>
      <c r="AI224" s="43">
        <f>SUMPRODUCT((Donnees[Échantillon]=Donnees[[#This Row],[Échantillon]])*(Donnees[Longueur du texte]&lt;Donnees[[#This Row],[Longueur du texte]]))+(SUMPRODUCT((Donnees[Échantillon]=Donnees[[#This Row],[Échantillon]])*(Donnees[Longueur du texte]=Donnees[[#This Row],[Longueur du texte]]))+1)/2</f>
        <v>90</v>
      </c>
      <c r="AJ224" s="43">
        <f>IF(Donnees[[#This Row],[Abonnés]]="","",SUMPRODUCT((Donnees[Échantillon]=Donnees[[#This Row],[Échantillon]])*(Donnees[Abonnés]&lt;Donnees[[#This Row],[Abonnés]]))+(SUMPRODUCT((Donnees[Échantillon]=Donnees[[#This Row],[Échantillon]])*(Donnees[Abonnés]=Donnees[[#This Row],[Abonnés]]))+1)/2)</f>
        <v>100</v>
      </c>
      <c r="AK224" s="43">
        <f>IF(Donnees[[#This Row],[Vidéos publiées]]="","",SUMPRODUCT((Donnees[Échantillon]=Donnees[[#This Row],[Échantillon]])*(Donnees[Vidéos publiées]&lt;Donnees[[#This Row],[Vidéos publiées]]))+(SUMPRODUCT((Donnees[Échantillon]=Donnees[[#This Row],[Échantillon]])*(Donnees[Vidéos publiées]=Donnees[[#This Row],[Vidéos publiées]]))+1)/2)</f>
        <v>99</v>
      </c>
    </row>
    <row r="225" spans="1:37" x14ac:dyDescent="0.2">
      <c r="A225" s="40" t="s">
        <v>237</v>
      </c>
      <c r="B225" s="40" t="s">
        <v>258</v>
      </c>
      <c r="C225" s="40" t="s">
        <v>50</v>
      </c>
      <c r="D225" s="40">
        <v>537</v>
      </c>
      <c r="E225" s="40" t="s">
        <v>47</v>
      </c>
      <c r="F225" s="40" t="str">
        <f>IF(OR(Donnees[[#This Row],[Jour]]="samedi",Donnees[[#This Row],[Jour]]="dimanche"),"Oui","Non")</f>
        <v>Non</v>
      </c>
      <c r="G225" s="40">
        <v>14</v>
      </c>
      <c r="H225" s="40" t="str">
        <f>IF(Donnees[[#This Row],[Heure UTC]]&lt;6,"0-5 h",IF(Donnees[[#This Row],[Heure UTC]]&lt;12,"6-11 h",IF(Donnees[[#This Row],[Heure UTC]]&lt;18,"12-17 h","18-23 h")))</f>
        <v>12-17 h</v>
      </c>
      <c r="I225" s="40">
        <v>20</v>
      </c>
      <c r="J225" s="40" t="str">
        <f>IF(Donnees[[#This Row],[Durée (s)]]&lt;=10,"1. ≤ 10 s",IF(Donnees[[#This Row],[Durée (s)]]&lt;=15,"2. 11-15 s",IF(Donnees[[#This Row],[Durée (s)]]&lt;=30,"3. 16-30 s",IF(Donnees[[#This Row],[Durée (s)]]&lt;=60,"4. 31-60 s","5. &gt; 60 s"))))</f>
        <v>3. 16-30 s</v>
      </c>
      <c r="K225" s="40" t="str">
        <f>IF(Donnees[[#This Row],[Durée (s)]]&gt;15,"Oui","Non")</f>
        <v>Oui</v>
      </c>
      <c r="L225" s="40">
        <v>5</v>
      </c>
      <c r="M225" s="40" t="s">
        <v>44</v>
      </c>
      <c r="N225" s="40">
        <v>34</v>
      </c>
      <c r="O225" s="40" t="s">
        <v>41</v>
      </c>
      <c r="P225" s="40" t="s">
        <v>41</v>
      </c>
      <c r="Q225" s="40" t="s">
        <v>41</v>
      </c>
      <c r="R225" s="40" t="s">
        <v>44</v>
      </c>
      <c r="S225" s="40" t="s">
        <v>44</v>
      </c>
      <c r="T225" s="41">
        <v>4500000</v>
      </c>
      <c r="U225" s="40" t="str">
        <f>IF(Donnees[[#This Row],[Abonnés]]="","",IF(Donnees[[#This Row],[Abonnés]]&lt;1000000,"1. &lt; 1 M",IF(Donnees[[#This Row],[Abonnés]]&lt;3000000,"2. 1-3 M",IF(Donnees[[#This Row],[Abonnés]]&lt;8000000,"3. 3-8 M","4. ≥ 8 M"))))</f>
        <v>3. 3-8 M</v>
      </c>
      <c r="V225" s="41">
        <v>572</v>
      </c>
      <c r="W225" s="41">
        <v>79400000</v>
      </c>
      <c r="X225" s="41">
        <v>7000000</v>
      </c>
      <c r="Y225" s="41">
        <v>9796</v>
      </c>
      <c r="Z225" s="41">
        <v>182100</v>
      </c>
      <c r="AA225" s="42">
        <f>(Donnees[[#This Row],[Likes]]+Donnees[[#This Row],[Commentaires]]+Donnees[[#This Row],[Partages]])/Donnees[[#This Row],[Vues]]</f>
        <v>9.0578035264483631E-2</v>
      </c>
      <c r="AB225" s="40">
        <f>IF(Donnees[[#This Row],[Engagement]]&gt;=VLOOKUP(Donnees[[#This Row],[Échantillon]],'Méthode &amp; limites'!$B$9:$D$11,2,FALSE),1,0)</f>
        <v>0</v>
      </c>
      <c r="AC225" s="43">
        <f>IF(Donnees[[#This Row],[Abonnés]]="","",Donnees[[#This Row],[Vues]]/Donnees[[#This Row],[Abonnés]])</f>
        <v>17.644444444444446</v>
      </c>
      <c r="AD225" s="40" t="s">
        <v>44</v>
      </c>
      <c r="AE225" s="43">
        <f>SUMPRODUCT((Donnees[Échantillon]=Donnees[[#This Row],[Échantillon]])*(Donnees[Engagement]&lt;Donnees[[#This Row],[Engagement]]))+(SUMPRODUCT((Donnees[Échantillon]=Donnees[[#This Row],[Échantillon]])*(Donnees[Engagement]=Donnees[[#This Row],[Engagement]]))+1)/2</f>
        <v>12</v>
      </c>
      <c r="AF225" s="43">
        <f>SUMPRODUCT((Donnees[Échantillon]=Donnees[[#This Row],[Échantillon]])*(Donnees[Vues]&lt;Donnees[[#This Row],[Vues]]))+(SUMPRODUCT((Donnees[Échantillon]=Donnees[[#This Row],[Échantillon]])*(Donnees[Vues]=Donnees[[#This Row],[Vues]]))+1)/2</f>
        <v>77</v>
      </c>
      <c r="AG225" s="43">
        <f>SUMPRODUCT((Donnees[Échantillon]=Donnees[[#This Row],[Échantillon]])*(Donnees[Durée (s)]&lt;Donnees[[#This Row],[Durée (s)]]))+(SUMPRODUCT((Donnees[Échantillon]=Donnees[[#This Row],[Échantillon]])*(Donnees[Durée (s)]=Donnees[[#This Row],[Durée (s)]]))+1)/2</f>
        <v>59.5</v>
      </c>
      <c r="AH225" s="43">
        <f>SUMPRODUCT((Donnees[Échantillon]=Donnees[[#This Row],[Échantillon]])*(Donnees[Nb hashtags]&lt;Donnees[[#This Row],[Nb hashtags]]))+(SUMPRODUCT((Donnees[Échantillon]=Donnees[[#This Row],[Échantillon]])*(Donnees[Nb hashtags]=Donnees[[#This Row],[Nb hashtags]]))+1)/2</f>
        <v>22</v>
      </c>
      <c r="AI225" s="43">
        <f>SUMPRODUCT((Donnees[Échantillon]=Donnees[[#This Row],[Échantillon]])*(Donnees[Longueur du texte]&lt;Donnees[[#This Row],[Longueur du texte]]))+(SUMPRODUCT((Donnees[Échantillon]=Donnees[[#This Row],[Échantillon]])*(Donnees[Longueur du texte]=Donnees[[#This Row],[Longueur du texte]]))+1)/2</f>
        <v>70</v>
      </c>
      <c r="AJ225" s="43">
        <f>IF(Donnees[[#This Row],[Abonnés]]="","",SUMPRODUCT((Donnees[Échantillon]=Donnees[[#This Row],[Échantillon]])*(Donnees[Abonnés]&lt;Donnees[[#This Row],[Abonnés]]))+(SUMPRODUCT((Donnees[Échantillon]=Donnees[[#This Row],[Échantillon]])*(Donnees[Abonnés]=Donnees[[#This Row],[Abonnés]]))+1)/2)</f>
        <v>61.5</v>
      </c>
      <c r="AK225" s="43">
        <f>IF(Donnees[[#This Row],[Vidéos publiées]]="","",SUMPRODUCT((Donnees[Échantillon]=Donnees[[#This Row],[Échantillon]])*(Donnees[Vidéos publiées]&lt;Donnees[[#This Row],[Vidéos publiées]]))+(SUMPRODUCT((Donnees[Échantillon]=Donnees[[#This Row],[Échantillon]])*(Donnees[Vidéos publiées]=Donnees[[#This Row],[Vidéos publiées]]))+1)/2)</f>
        <v>75</v>
      </c>
    </row>
    <row r="226" spans="1:37" x14ac:dyDescent="0.2">
      <c r="A226" s="40" t="s">
        <v>237</v>
      </c>
      <c r="B226" s="40" t="s">
        <v>244</v>
      </c>
      <c r="C226" s="40" t="s">
        <v>50</v>
      </c>
      <c r="D226" s="40">
        <v>483</v>
      </c>
      <c r="E226" s="40" t="s">
        <v>40</v>
      </c>
      <c r="F226" s="40" t="str">
        <f>IF(OR(Donnees[[#This Row],[Jour]]="samedi",Donnees[[#This Row],[Jour]]="dimanche"),"Oui","Non")</f>
        <v>Non</v>
      </c>
      <c r="G226" s="40">
        <v>19</v>
      </c>
      <c r="H226" s="40" t="str">
        <f>IF(Donnees[[#This Row],[Heure UTC]]&lt;6,"0-5 h",IF(Donnees[[#This Row],[Heure UTC]]&lt;12,"6-11 h",IF(Donnees[[#This Row],[Heure UTC]]&lt;18,"12-17 h","18-23 h")))</f>
        <v>18-23 h</v>
      </c>
      <c r="I226" s="40">
        <v>19</v>
      </c>
      <c r="J226" s="40" t="str">
        <f>IF(Donnees[[#This Row],[Durée (s)]]&lt;=10,"1. ≤ 10 s",IF(Donnees[[#This Row],[Durée (s)]]&lt;=15,"2. 11-15 s",IF(Donnees[[#This Row],[Durée (s)]]&lt;=30,"3. 16-30 s",IF(Donnees[[#This Row],[Durée (s)]]&lt;=60,"4. 31-60 s","5. &gt; 60 s"))))</f>
        <v>3. 16-30 s</v>
      </c>
      <c r="K226" s="40" t="str">
        <f>IF(Donnees[[#This Row],[Durée (s)]]&gt;15,"Oui","Non")</f>
        <v>Oui</v>
      </c>
      <c r="L226" s="40">
        <v>9</v>
      </c>
      <c r="M226" s="40" t="s">
        <v>44</v>
      </c>
      <c r="N226" s="40">
        <v>80</v>
      </c>
      <c r="O226" s="40" t="s">
        <v>41</v>
      </c>
      <c r="P226" s="40" t="s">
        <v>41</v>
      </c>
      <c r="Q226" s="40" t="s">
        <v>41</v>
      </c>
      <c r="R226" s="40" t="s">
        <v>44</v>
      </c>
      <c r="S226" s="40" t="s">
        <v>41</v>
      </c>
      <c r="T226" s="41">
        <v>7900000</v>
      </c>
      <c r="U226" s="40" t="str">
        <f>IF(Donnees[[#This Row],[Abonnés]]="","",IF(Donnees[[#This Row],[Abonnés]]&lt;1000000,"1. &lt; 1 M",IF(Donnees[[#This Row],[Abonnés]]&lt;3000000,"2. 1-3 M",IF(Donnees[[#This Row],[Abonnés]]&lt;8000000,"3. 3-8 M","4. ≥ 8 M"))))</f>
        <v>3. 3-8 M</v>
      </c>
      <c r="V226" s="41">
        <v>126</v>
      </c>
      <c r="W226" s="41">
        <v>77000000</v>
      </c>
      <c r="X226" s="41">
        <v>11000000</v>
      </c>
      <c r="Y226" s="41">
        <v>56300</v>
      </c>
      <c r="Z226" s="41">
        <v>194300</v>
      </c>
      <c r="AA226" s="42">
        <f>(Donnees[[#This Row],[Likes]]+Donnees[[#This Row],[Commentaires]]+Donnees[[#This Row],[Partages]])/Donnees[[#This Row],[Vues]]</f>
        <v>0.1461116883116883</v>
      </c>
      <c r="AB226" s="40">
        <f>IF(Donnees[[#This Row],[Engagement]]&gt;=VLOOKUP(Donnees[[#This Row],[Échantillon]],'Méthode &amp; limites'!$B$9:$D$11,2,FALSE),1,0)</f>
        <v>0</v>
      </c>
      <c r="AC226" s="43">
        <f>IF(Donnees[[#This Row],[Abonnés]]="","",Donnees[[#This Row],[Vues]]/Donnees[[#This Row],[Abonnés]])</f>
        <v>9.7468354430379751</v>
      </c>
      <c r="AD226" s="40" t="s">
        <v>44</v>
      </c>
      <c r="AE226" s="43">
        <f>SUMPRODUCT((Donnees[Échantillon]=Donnees[[#This Row],[Échantillon]])*(Donnees[Engagement]&lt;Donnees[[#This Row],[Engagement]]))+(SUMPRODUCT((Donnees[Échantillon]=Donnees[[#This Row],[Échantillon]])*(Donnees[Engagement]=Donnees[[#This Row],[Engagement]]))+1)/2</f>
        <v>41</v>
      </c>
      <c r="AF226" s="43">
        <f>SUMPRODUCT((Donnees[Échantillon]=Donnees[[#This Row],[Échantillon]])*(Donnees[Vues]&lt;Donnees[[#This Row],[Vues]]))+(SUMPRODUCT((Donnees[Échantillon]=Donnees[[#This Row],[Échantillon]])*(Donnees[Vues]=Donnees[[#This Row],[Vues]]))+1)/2</f>
        <v>75.5</v>
      </c>
      <c r="AG226" s="43">
        <f>SUMPRODUCT((Donnees[Échantillon]=Donnees[[#This Row],[Échantillon]])*(Donnees[Durée (s)]&lt;Donnees[[#This Row],[Durée (s)]]))+(SUMPRODUCT((Donnees[Échantillon]=Donnees[[#This Row],[Échantillon]])*(Donnees[Durée (s)]=Donnees[[#This Row],[Durée (s)]]))+1)/2</f>
        <v>56.5</v>
      </c>
      <c r="AH226" s="43">
        <f>SUMPRODUCT((Donnees[Échantillon]=Donnees[[#This Row],[Échantillon]])*(Donnees[Nb hashtags]&lt;Donnees[[#This Row],[Nb hashtags]]))+(SUMPRODUCT((Donnees[Échantillon]=Donnees[[#This Row],[Échantillon]])*(Donnees[Nb hashtags]=Donnees[[#This Row],[Nb hashtags]]))+1)/2</f>
        <v>60</v>
      </c>
      <c r="AI226" s="43">
        <f>SUMPRODUCT((Donnees[Échantillon]=Donnees[[#This Row],[Échantillon]])*(Donnees[Longueur du texte]&lt;Donnees[[#This Row],[Longueur du texte]]))+(SUMPRODUCT((Donnees[Échantillon]=Donnees[[#This Row],[Échantillon]])*(Donnees[Longueur du texte]=Donnees[[#This Row],[Longueur du texte]]))+1)/2</f>
        <v>99</v>
      </c>
      <c r="AJ226" s="43">
        <f>IF(Donnees[[#This Row],[Abonnés]]="","",SUMPRODUCT((Donnees[Échantillon]=Donnees[[#This Row],[Échantillon]])*(Donnees[Abonnés]&lt;Donnees[[#This Row],[Abonnés]]))+(SUMPRODUCT((Donnees[Échantillon]=Donnees[[#This Row],[Échantillon]])*(Donnees[Abonnés]=Donnees[[#This Row],[Abonnés]]))+1)/2)</f>
        <v>76</v>
      </c>
      <c r="AK226" s="43">
        <f>IF(Donnees[[#This Row],[Vidéos publiées]]="","",SUMPRODUCT((Donnees[Échantillon]=Donnees[[#This Row],[Échantillon]])*(Donnees[Vidéos publiées]&lt;Donnees[[#This Row],[Vidéos publiées]]))+(SUMPRODUCT((Donnees[Échantillon]=Donnees[[#This Row],[Échantillon]])*(Donnees[Vidéos publiées]=Donnees[[#This Row],[Vidéos publiées]]))+1)/2)</f>
        <v>36.5</v>
      </c>
    </row>
    <row r="227" spans="1:37" x14ac:dyDescent="0.2">
      <c r="A227" s="40" t="s">
        <v>237</v>
      </c>
      <c r="B227" s="40" t="s">
        <v>259</v>
      </c>
      <c r="C227" s="40" t="s">
        <v>67</v>
      </c>
      <c r="D227" s="40">
        <v>24</v>
      </c>
      <c r="E227" s="40" t="s">
        <v>75</v>
      </c>
      <c r="F227" s="40" t="str">
        <f>IF(OR(Donnees[[#This Row],[Jour]]="samedi",Donnees[[#This Row],[Jour]]="dimanche"),"Oui","Non")</f>
        <v>Oui</v>
      </c>
      <c r="G227" s="40">
        <v>16</v>
      </c>
      <c r="H227" s="40" t="str">
        <f>IF(Donnees[[#This Row],[Heure UTC]]&lt;6,"0-5 h",IF(Donnees[[#This Row],[Heure UTC]]&lt;12,"6-11 h",IF(Donnees[[#This Row],[Heure UTC]]&lt;18,"12-17 h","18-23 h")))</f>
        <v>12-17 h</v>
      </c>
      <c r="I227" s="40">
        <v>16</v>
      </c>
      <c r="J227" s="40" t="str">
        <f>IF(Donnees[[#This Row],[Durée (s)]]&lt;=10,"1. ≤ 10 s",IF(Donnees[[#This Row],[Durée (s)]]&lt;=15,"2. 11-15 s",IF(Donnees[[#This Row],[Durée (s)]]&lt;=30,"3. 16-30 s",IF(Donnees[[#This Row],[Durée (s)]]&lt;=60,"4. 31-60 s","5. &gt; 60 s"))))</f>
        <v>3. 16-30 s</v>
      </c>
      <c r="K227" s="40" t="str">
        <f>IF(Donnees[[#This Row],[Durée (s)]]&gt;15,"Oui","Non")</f>
        <v>Oui</v>
      </c>
      <c r="L227" s="40">
        <v>7</v>
      </c>
      <c r="M227" s="40" t="s">
        <v>44</v>
      </c>
      <c r="N227" s="40">
        <v>9</v>
      </c>
      <c r="O227" s="40" t="s">
        <v>41</v>
      </c>
      <c r="P227" s="40" t="s">
        <v>41</v>
      </c>
      <c r="Q227" s="40" t="s">
        <v>41</v>
      </c>
      <c r="R227" s="40" t="s">
        <v>44</v>
      </c>
      <c r="S227" s="40" t="s">
        <v>44</v>
      </c>
      <c r="T227" s="41">
        <v>2400000</v>
      </c>
      <c r="U227" s="40" t="str">
        <f>IF(Donnees[[#This Row],[Abonnés]]="","",IF(Donnees[[#This Row],[Abonnés]]&lt;1000000,"1. &lt; 1 M",IF(Donnees[[#This Row],[Abonnés]]&lt;3000000,"2. 1-3 M",IF(Donnees[[#This Row],[Abonnés]]&lt;8000000,"3. 3-8 M","4. ≥ 8 M"))))</f>
        <v>2. 1-3 M</v>
      </c>
      <c r="V227" s="41">
        <v>172</v>
      </c>
      <c r="W227" s="41">
        <v>77000000</v>
      </c>
      <c r="X227" s="41">
        <v>8000000</v>
      </c>
      <c r="Y227" s="41">
        <v>63100</v>
      </c>
      <c r="Z227" s="41">
        <v>131900</v>
      </c>
      <c r="AA227" s="42">
        <f>(Donnees[[#This Row],[Likes]]+Donnees[[#This Row],[Commentaires]]+Donnees[[#This Row],[Partages]])/Donnees[[#This Row],[Vues]]</f>
        <v>0.10642857142857143</v>
      </c>
      <c r="AB227" s="40">
        <f>IF(Donnees[[#This Row],[Engagement]]&gt;=VLOOKUP(Donnees[[#This Row],[Échantillon]],'Méthode &amp; limites'!$B$9:$D$11,2,FALSE),1,0)</f>
        <v>0</v>
      </c>
      <c r="AC227" s="43">
        <f>IF(Donnees[[#This Row],[Abonnés]]="","",Donnees[[#This Row],[Vues]]/Donnees[[#This Row],[Abonnés]])</f>
        <v>32.083333333333336</v>
      </c>
      <c r="AD227" s="40" t="s">
        <v>44</v>
      </c>
      <c r="AE227" s="43">
        <f>SUMPRODUCT((Donnees[Échantillon]=Donnees[[#This Row],[Échantillon]])*(Donnees[Engagement]&lt;Donnees[[#This Row],[Engagement]]))+(SUMPRODUCT((Donnees[Échantillon]=Donnees[[#This Row],[Échantillon]])*(Donnees[Engagement]=Donnees[[#This Row],[Engagement]]))+1)/2</f>
        <v>18</v>
      </c>
      <c r="AF227" s="43">
        <f>SUMPRODUCT((Donnees[Échantillon]=Donnees[[#This Row],[Échantillon]])*(Donnees[Vues]&lt;Donnees[[#This Row],[Vues]]))+(SUMPRODUCT((Donnees[Échantillon]=Donnees[[#This Row],[Échantillon]])*(Donnees[Vues]=Donnees[[#This Row],[Vues]]))+1)/2</f>
        <v>75.5</v>
      </c>
      <c r="AG227" s="43">
        <f>SUMPRODUCT((Donnees[Échantillon]=Donnees[[#This Row],[Échantillon]])*(Donnees[Durée (s)]&lt;Donnees[[#This Row],[Durée (s)]]))+(SUMPRODUCT((Donnees[Échantillon]=Donnees[[#This Row],[Échantillon]])*(Donnees[Durée (s)]=Donnees[[#This Row],[Durée (s)]]))+1)/2</f>
        <v>48</v>
      </c>
      <c r="AH227" s="43">
        <f>SUMPRODUCT((Donnees[Échantillon]=Donnees[[#This Row],[Échantillon]])*(Donnees[Nb hashtags]&lt;Donnees[[#This Row],[Nb hashtags]]))+(SUMPRODUCT((Donnees[Échantillon]=Donnees[[#This Row],[Échantillon]])*(Donnees[Nb hashtags]=Donnees[[#This Row],[Nb hashtags]]))+1)/2</f>
        <v>37.5</v>
      </c>
      <c r="AI227" s="43">
        <f>SUMPRODUCT((Donnees[Échantillon]=Donnees[[#This Row],[Échantillon]])*(Donnees[Longueur du texte]&lt;Donnees[[#This Row],[Longueur du texte]]))+(SUMPRODUCT((Donnees[Échantillon]=Donnees[[#This Row],[Échantillon]])*(Donnees[Longueur du texte]=Donnees[[#This Row],[Longueur du texte]]))+1)/2</f>
        <v>26</v>
      </c>
      <c r="AJ227" s="43">
        <f>IF(Donnees[[#This Row],[Abonnés]]="","",SUMPRODUCT((Donnees[Échantillon]=Donnees[[#This Row],[Échantillon]])*(Donnees[Abonnés]&lt;Donnees[[#This Row],[Abonnés]]))+(SUMPRODUCT((Donnees[Échantillon]=Donnees[[#This Row],[Échantillon]])*(Donnees[Abonnés]=Donnees[[#This Row],[Abonnés]]))+1)/2)</f>
        <v>48</v>
      </c>
      <c r="AK227" s="43">
        <f>IF(Donnees[[#This Row],[Vidéos publiées]]="","",SUMPRODUCT((Donnees[Échantillon]=Donnees[[#This Row],[Échantillon]])*(Donnees[Vidéos publiées]&lt;Donnees[[#This Row],[Vidéos publiées]]))+(SUMPRODUCT((Donnees[Échantillon]=Donnees[[#This Row],[Échantillon]])*(Donnees[Vidéos publiées]=Donnees[[#This Row],[Vidéos publiées]]))+1)/2)</f>
        <v>44</v>
      </c>
    </row>
    <row r="228" spans="1:37" x14ac:dyDescent="0.2">
      <c r="A228" s="40" t="s">
        <v>237</v>
      </c>
      <c r="B228" s="40" t="s">
        <v>61</v>
      </c>
      <c r="C228" s="40" t="s">
        <v>62</v>
      </c>
      <c r="D228" s="40">
        <v>34</v>
      </c>
      <c r="E228" s="40" t="s">
        <v>59</v>
      </c>
      <c r="F228" s="40" t="str">
        <f>IF(OR(Donnees[[#This Row],[Jour]]="samedi",Donnees[[#This Row],[Jour]]="dimanche"),"Oui","Non")</f>
        <v>Non</v>
      </c>
      <c r="G228" s="40">
        <v>14</v>
      </c>
      <c r="H228" s="40" t="str">
        <f>IF(Donnees[[#This Row],[Heure UTC]]&lt;6,"0-5 h",IF(Donnees[[#This Row],[Heure UTC]]&lt;12,"6-11 h",IF(Donnees[[#This Row],[Heure UTC]]&lt;18,"12-17 h","18-23 h")))</f>
        <v>12-17 h</v>
      </c>
      <c r="I228" s="40">
        <v>10</v>
      </c>
      <c r="J228" s="40" t="str">
        <f>IF(Donnees[[#This Row],[Durée (s)]]&lt;=10,"1. ≤ 10 s",IF(Donnees[[#This Row],[Durée (s)]]&lt;=15,"2. 11-15 s",IF(Donnees[[#This Row],[Durée (s)]]&lt;=30,"3. 16-30 s",IF(Donnees[[#This Row],[Durée (s)]]&lt;=60,"4. 31-60 s","5. &gt; 60 s"))))</f>
        <v>1. ≤ 10 s</v>
      </c>
      <c r="K228" s="40" t="str">
        <f>IF(Donnees[[#This Row],[Durée (s)]]&gt;15,"Oui","Non")</f>
        <v>Non</v>
      </c>
      <c r="L228" s="40">
        <v>17</v>
      </c>
      <c r="M228" s="40" t="s">
        <v>44</v>
      </c>
      <c r="N228" s="40">
        <v>18</v>
      </c>
      <c r="O228" s="40" t="s">
        <v>41</v>
      </c>
      <c r="P228" s="40" t="s">
        <v>41</v>
      </c>
      <c r="Q228" s="40" t="s">
        <v>41</v>
      </c>
      <c r="R228" s="40" t="s">
        <v>44</v>
      </c>
      <c r="S228" s="40" t="s">
        <v>41</v>
      </c>
      <c r="T228" s="41">
        <v>14500000</v>
      </c>
      <c r="U228" s="40" t="str">
        <f>IF(Donnees[[#This Row],[Abonnés]]="","",IF(Donnees[[#This Row],[Abonnés]]&lt;1000000,"1. &lt; 1 M",IF(Donnees[[#This Row],[Abonnés]]&lt;3000000,"2. 1-3 M",IF(Donnees[[#This Row],[Abonnés]]&lt;8000000,"3. 3-8 M","4. ≥ 8 M"))))</f>
        <v>4. ≥ 8 M</v>
      </c>
      <c r="V228" s="41">
        <v>592</v>
      </c>
      <c r="W228" s="41">
        <v>75700000</v>
      </c>
      <c r="X228" s="41">
        <v>10600000</v>
      </c>
      <c r="Y228" s="41">
        <v>111500</v>
      </c>
      <c r="Z228" s="41">
        <v>267700</v>
      </c>
      <c r="AA228" s="42">
        <f>(Donnees[[#This Row],[Likes]]+Donnees[[#This Row],[Commentaires]]+Donnees[[#This Row],[Partages]])/Donnees[[#This Row],[Vues]]</f>
        <v>0.14503566710700133</v>
      </c>
      <c r="AB228" s="40">
        <f>IF(Donnees[[#This Row],[Engagement]]&gt;=VLOOKUP(Donnees[[#This Row],[Échantillon]],'Méthode &amp; limites'!$B$9:$D$11,2,FALSE),1,0)</f>
        <v>0</v>
      </c>
      <c r="AC228" s="43">
        <f>IF(Donnees[[#This Row],[Abonnés]]="","",Donnees[[#This Row],[Vues]]/Donnees[[#This Row],[Abonnés]])</f>
        <v>5.2206896551724142</v>
      </c>
      <c r="AD228" s="40" t="s">
        <v>44</v>
      </c>
      <c r="AE228" s="43">
        <f>SUMPRODUCT((Donnees[Échantillon]=Donnees[[#This Row],[Échantillon]])*(Donnees[Engagement]&lt;Donnees[[#This Row],[Engagement]]))+(SUMPRODUCT((Donnees[Échantillon]=Donnees[[#This Row],[Échantillon]])*(Donnees[Engagement]=Donnees[[#This Row],[Engagement]]))+1)/2</f>
        <v>38</v>
      </c>
      <c r="AF228" s="43">
        <f>SUMPRODUCT((Donnees[Échantillon]=Donnees[[#This Row],[Échantillon]])*(Donnees[Vues]&lt;Donnees[[#This Row],[Vues]]))+(SUMPRODUCT((Donnees[Échantillon]=Donnees[[#This Row],[Échantillon]])*(Donnees[Vues]=Donnees[[#This Row],[Vues]]))+1)/2</f>
        <v>74</v>
      </c>
      <c r="AG228" s="43">
        <f>SUMPRODUCT((Donnees[Échantillon]=Donnees[[#This Row],[Échantillon]])*(Donnees[Durée (s)]&lt;Donnees[[#This Row],[Durée (s)]]))+(SUMPRODUCT((Donnees[Échantillon]=Donnees[[#This Row],[Échantillon]])*(Donnees[Durée (s)]=Donnees[[#This Row],[Durée (s)]]))+1)/2</f>
        <v>22</v>
      </c>
      <c r="AH228" s="43">
        <f>SUMPRODUCT((Donnees[Échantillon]=Donnees[[#This Row],[Échantillon]])*(Donnees[Nb hashtags]&lt;Donnees[[#This Row],[Nb hashtags]]))+(SUMPRODUCT((Donnees[Échantillon]=Donnees[[#This Row],[Échantillon]])*(Donnees[Nb hashtags]=Donnees[[#This Row],[Nb hashtags]]))+1)/2</f>
        <v>95.5</v>
      </c>
      <c r="AI228" s="43">
        <f>SUMPRODUCT((Donnees[Échantillon]=Donnees[[#This Row],[Échantillon]])*(Donnees[Longueur du texte]&lt;Donnees[[#This Row],[Longueur du texte]]))+(SUMPRODUCT((Donnees[Échantillon]=Donnees[[#This Row],[Échantillon]])*(Donnees[Longueur du texte]=Donnees[[#This Row],[Longueur du texte]]))+1)/2</f>
        <v>44</v>
      </c>
      <c r="AJ228" s="43">
        <f>IF(Donnees[[#This Row],[Abonnés]]="","",SUMPRODUCT((Donnees[Échantillon]=Donnees[[#This Row],[Échantillon]])*(Donnees[Abonnés]&lt;Donnees[[#This Row],[Abonnés]]))+(SUMPRODUCT((Donnees[Échantillon]=Donnees[[#This Row],[Échantillon]])*(Donnees[Abonnés]=Donnees[[#This Row],[Abonnés]]))+1)/2)</f>
        <v>89.5</v>
      </c>
      <c r="AK228" s="43">
        <f>IF(Donnees[[#This Row],[Vidéos publiées]]="","",SUMPRODUCT((Donnees[Échantillon]=Donnees[[#This Row],[Échantillon]])*(Donnees[Vidéos publiées]&lt;Donnees[[#This Row],[Vidéos publiées]]))+(SUMPRODUCT((Donnees[Échantillon]=Donnees[[#This Row],[Échantillon]])*(Donnees[Vidéos publiées]=Donnees[[#This Row],[Vidéos publiées]]))+1)/2)</f>
        <v>82.5</v>
      </c>
    </row>
    <row r="229" spans="1:37" x14ac:dyDescent="0.2">
      <c r="A229" s="40" t="s">
        <v>237</v>
      </c>
      <c r="B229" s="40" t="s">
        <v>260</v>
      </c>
      <c r="C229" s="40" t="s">
        <v>46</v>
      </c>
      <c r="D229" s="40">
        <v>610</v>
      </c>
      <c r="E229" s="40" t="s">
        <v>71</v>
      </c>
      <c r="F229" s="40" t="str">
        <f>IF(OR(Donnees[[#This Row],[Jour]]="samedi",Donnees[[#This Row],[Jour]]="dimanche"),"Oui","Non")</f>
        <v>Non</v>
      </c>
      <c r="G229" s="40">
        <v>13</v>
      </c>
      <c r="H229" s="40" t="str">
        <f>IF(Donnees[[#This Row],[Heure UTC]]&lt;6,"0-5 h",IF(Donnees[[#This Row],[Heure UTC]]&lt;12,"6-11 h",IF(Donnees[[#This Row],[Heure UTC]]&lt;18,"12-17 h","18-23 h")))</f>
        <v>12-17 h</v>
      </c>
      <c r="I229" s="40">
        <v>11</v>
      </c>
      <c r="J229" s="40" t="str">
        <f>IF(Donnees[[#This Row],[Durée (s)]]&lt;=10,"1. ≤ 10 s",IF(Donnees[[#This Row],[Durée (s)]]&lt;=15,"2. 11-15 s",IF(Donnees[[#This Row],[Durée (s)]]&lt;=30,"3. 16-30 s",IF(Donnees[[#This Row],[Durée (s)]]&lt;=60,"4. 31-60 s","5. &gt; 60 s"))))</f>
        <v>2. 11-15 s</v>
      </c>
      <c r="K229" s="40" t="str">
        <f>IF(Donnees[[#This Row],[Durée (s)]]&gt;15,"Oui","Non")</f>
        <v>Non</v>
      </c>
      <c r="L229" s="40">
        <v>10</v>
      </c>
      <c r="M229" s="40" t="s">
        <v>44</v>
      </c>
      <c r="N229" s="40">
        <v>26</v>
      </c>
      <c r="O229" s="40" t="s">
        <v>41</v>
      </c>
      <c r="P229" s="40" t="s">
        <v>41</v>
      </c>
      <c r="Q229" s="40" t="s">
        <v>44</v>
      </c>
      <c r="R229" s="40" t="s">
        <v>41</v>
      </c>
      <c r="S229" s="40" t="s">
        <v>44</v>
      </c>
      <c r="T229" s="41">
        <v>19700000</v>
      </c>
      <c r="U229" s="40" t="str">
        <f>IF(Donnees[[#This Row],[Abonnés]]="","",IF(Donnees[[#This Row],[Abonnés]]&lt;1000000,"1. &lt; 1 M",IF(Donnees[[#This Row],[Abonnés]]&lt;3000000,"2. 1-3 M",IF(Donnees[[#This Row],[Abonnés]]&lt;8000000,"3. 3-8 M","4. ≥ 8 M"))))</f>
        <v>4. ≥ 8 M</v>
      </c>
      <c r="V229" s="41">
        <v>314</v>
      </c>
      <c r="W229" s="41">
        <v>74400000</v>
      </c>
      <c r="X229" s="41">
        <v>9500000</v>
      </c>
      <c r="Y229" s="41">
        <v>27600</v>
      </c>
      <c r="Z229" s="41">
        <v>103400</v>
      </c>
      <c r="AA229" s="42">
        <f>(Donnees[[#This Row],[Likes]]+Donnees[[#This Row],[Commentaires]]+Donnees[[#This Row],[Partages]])/Donnees[[#This Row],[Vues]]</f>
        <v>0.1294489247311828</v>
      </c>
      <c r="AB229" s="40">
        <f>IF(Donnees[[#This Row],[Engagement]]&gt;=VLOOKUP(Donnees[[#This Row],[Échantillon]],'Méthode &amp; limites'!$B$9:$D$11,2,FALSE),1,0)</f>
        <v>0</v>
      </c>
      <c r="AC229" s="43">
        <f>IF(Donnees[[#This Row],[Abonnés]]="","",Donnees[[#This Row],[Vues]]/Donnees[[#This Row],[Abonnés]])</f>
        <v>3.7766497461928936</v>
      </c>
      <c r="AD229" s="40" t="s">
        <v>44</v>
      </c>
      <c r="AE229" s="43">
        <f>SUMPRODUCT((Donnees[Échantillon]=Donnees[[#This Row],[Échantillon]])*(Donnees[Engagement]&lt;Donnees[[#This Row],[Engagement]]))+(SUMPRODUCT((Donnees[Échantillon]=Donnees[[#This Row],[Échantillon]])*(Donnees[Engagement]=Donnees[[#This Row],[Engagement]]))+1)/2</f>
        <v>27</v>
      </c>
      <c r="AF229" s="43">
        <f>SUMPRODUCT((Donnees[Échantillon]=Donnees[[#This Row],[Échantillon]])*(Donnees[Vues]&lt;Donnees[[#This Row],[Vues]]))+(SUMPRODUCT((Donnees[Échantillon]=Donnees[[#This Row],[Échantillon]])*(Donnees[Vues]=Donnees[[#This Row],[Vues]]))+1)/2</f>
        <v>73</v>
      </c>
      <c r="AG229" s="43">
        <f>SUMPRODUCT((Donnees[Échantillon]=Donnees[[#This Row],[Échantillon]])*(Donnees[Durée (s)]&lt;Donnees[[#This Row],[Durée (s)]]))+(SUMPRODUCT((Donnees[Échantillon]=Donnees[[#This Row],[Échantillon]])*(Donnees[Durée (s)]=Donnees[[#This Row],[Durée (s)]]))+1)/2</f>
        <v>28</v>
      </c>
      <c r="AH229" s="43">
        <f>SUMPRODUCT((Donnees[Échantillon]=Donnees[[#This Row],[Échantillon]])*(Donnees[Nb hashtags]&lt;Donnees[[#This Row],[Nb hashtags]]))+(SUMPRODUCT((Donnees[Échantillon]=Donnees[[#This Row],[Échantillon]])*(Donnees[Nb hashtags]=Donnees[[#This Row],[Nb hashtags]]))+1)/2</f>
        <v>71.5</v>
      </c>
      <c r="AI229" s="43">
        <f>SUMPRODUCT((Donnees[Échantillon]=Donnees[[#This Row],[Échantillon]])*(Donnees[Longueur du texte]&lt;Donnees[[#This Row],[Longueur du texte]]))+(SUMPRODUCT((Donnees[Échantillon]=Donnees[[#This Row],[Échantillon]])*(Donnees[Longueur du texte]=Donnees[[#This Row],[Longueur du texte]]))+1)/2</f>
        <v>55</v>
      </c>
      <c r="AJ229" s="43">
        <f>IF(Donnees[[#This Row],[Abonnés]]="","",SUMPRODUCT((Donnees[Échantillon]=Donnees[[#This Row],[Échantillon]])*(Donnees[Abonnés]&lt;Donnees[[#This Row],[Abonnés]]))+(SUMPRODUCT((Donnees[Échantillon]=Donnees[[#This Row],[Échantillon]])*(Donnees[Abonnés]=Donnees[[#This Row],[Abonnés]]))+1)/2)</f>
        <v>92.5</v>
      </c>
      <c r="AK229" s="43">
        <f>IF(Donnees[[#This Row],[Vidéos publiées]]="","",SUMPRODUCT((Donnees[Échantillon]=Donnees[[#This Row],[Échantillon]])*(Donnees[Vidéos publiées]&lt;Donnees[[#This Row],[Vidéos publiées]]))+(SUMPRODUCT((Donnees[Échantillon]=Donnees[[#This Row],[Échantillon]])*(Donnees[Vidéos publiées]=Donnees[[#This Row],[Vidéos publiées]]))+1)/2)</f>
        <v>55.5</v>
      </c>
    </row>
    <row r="230" spans="1:37" x14ac:dyDescent="0.2">
      <c r="A230" s="40" t="s">
        <v>237</v>
      </c>
      <c r="B230" s="40" t="s">
        <v>261</v>
      </c>
      <c r="C230" s="40" t="s">
        <v>50</v>
      </c>
      <c r="D230" s="40">
        <v>111</v>
      </c>
      <c r="E230" s="40" t="s">
        <v>59</v>
      </c>
      <c r="F230" s="40" t="str">
        <f>IF(OR(Donnees[[#This Row],[Jour]]="samedi",Donnees[[#This Row],[Jour]]="dimanche"),"Oui","Non")</f>
        <v>Non</v>
      </c>
      <c r="G230" s="40">
        <v>0</v>
      </c>
      <c r="H230" s="40" t="str">
        <f>IF(Donnees[[#This Row],[Heure UTC]]&lt;6,"0-5 h",IF(Donnees[[#This Row],[Heure UTC]]&lt;12,"6-11 h",IF(Donnees[[#This Row],[Heure UTC]]&lt;18,"12-17 h","18-23 h")))</f>
        <v>0-5 h</v>
      </c>
      <c r="I230" s="40">
        <v>11</v>
      </c>
      <c r="J230" s="40" t="str">
        <f>IF(Donnees[[#This Row],[Durée (s)]]&lt;=10,"1. ≤ 10 s",IF(Donnees[[#This Row],[Durée (s)]]&lt;=15,"2. 11-15 s",IF(Donnees[[#This Row],[Durée (s)]]&lt;=30,"3. 16-30 s",IF(Donnees[[#This Row],[Durée (s)]]&lt;=60,"4. 31-60 s","5. &gt; 60 s"))))</f>
        <v>2. 11-15 s</v>
      </c>
      <c r="K230" s="40" t="str">
        <f>IF(Donnees[[#This Row],[Durée (s)]]&gt;15,"Oui","Non")</f>
        <v>Non</v>
      </c>
      <c r="L230" s="40">
        <v>5</v>
      </c>
      <c r="M230" s="40" t="s">
        <v>44</v>
      </c>
      <c r="N230" s="40">
        <v>0</v>
      </c>
      <c r="O230" s="40" t="s">
        <v>41</v>
      </c>
      <c r="P230" s="40" t="s">
        <v>41</v>
      </c>
      <c r="Q230" s="40" t="s">
        <v>41</v>
      </c>
      <c r="R230" s="40" t="s">
        <v>44</v>
      </c>
      <c r="S230" s="40" t="s">
        <v>44</v>
      </c>
      <c r="T230" s="41">
        <v>1300000</v>
      </c>
      <c r="U230" s="40" t="str">
        <f>IF(Donnees[[#This Row],[Abonnés]]="","",IF(Donnees[[#This Row],[Abonnés]]&lt;1000000,"1. &lt; 1 M",IF(Donnees[[#This Row],[Abonnés]]&lt;3000000,"2. 1-3 M",IF(Donnees[[#This Row],[Abonnés]]&lt;8000000,"3. 3-8 M","4. ≥ 8 M"))))</f>
        <v>2. 1-3 M</v>
      </c>
      <c r="V230" s="41">
        <v>506</v>
      </c>
      <c r="W230" s="41">
        <v>73600000</v>
      </c>
      <c r="X230" s="41">
        <v>15000000</v>
      </c>
      <c r="Y230" s="41">
        <v>164900</v>
      </c>
      <c r="Z230" s="41">
        <v>197300</v>
      </c>
      <c r="AA230" s="42">
        <f>(Donnees[[#This Row],[Likes]]+Donnees[[#This Row],[Commentaires]]+Donnees[[#This Row],[Partages]])/Donnees[[#This Row],[Vues]]</f>
        <v>0.20872554347826086</v>
      </c>
      <c r="AB230" s="40">
        <f>IF(Donnees[[#This Row],[Engagement]]&gt;=VLOOKUP(Donnees[[#This Row],[Échantillon]],'Méthode &amp; limites'!$B$9:$D$11,2,FALSE),1,0)</f>
        <v>1</v>
      </c>
      <c r="AC230" s="43">
        <f>IF(Donnees[[#This Row],[Abonnés]]="","",Donnees[[#This Row],[Vues]]/Donnees[[#This Row],[Abonnés]])</f>
        <v>56.615384615384613</v>
      </c>
      <c r="AD230" s="40" t="s">
        <v>44</v>
      </c>
      <c r="AE230" s="43">
        <f>SUMPRODUCT((Donnees[Échantillon]=Donnees[[#This Row],[Échantillon]])*(Donnees[Engagement]&lt;Donnees[[#This Row],[Engagement]]))+(SUMPRODUCT((Donnees[Échantillon]=Donnees[[#This Row],[Échantillon]])*(Donnees[Engagement]=Donnees[[#This Row],[Engagement]]))+1)/2</f>
        <v>80</v>
      </c>
      <c r="AF230" s="43">
        <f>SUMPRODUCT((Donnees[Échantillon]=Donnees[[#This Row],[Échantillon]])*(Donnees[Vues]&lt;Donnees[[#This Row],[Vues]]))+(SUMPRODUCT((Donnees[Échantillon]=Donnees[[#This Row],[Échantillon]])*(Donnees[Vues]=Donnees[[#This Row],[Vues]]))+1)/2</f>
        <v>72</v>
      </c>
      <c r="AG230" s="43">
        <f>SUMPRODUCT((Donnees[Échantillon]=Donnees[[#This Row],[Échantillon]])*(Donnees[Durée (s)]&lt;Donnees[[#This Row],[Durée (s)]]))+(SUMPRODUCT((Donnees[Échantillon]=Donnees[[#This Row],[Échantillon]])*(Donnees[Durée (s)]=Donnees[[#This Row],[Durée (s)]]))+1)/2</f>
        <v>28</v>
      </c>
      <c r="AH230" s="43">
        <f>SUMPRODUCT((Donnees[Échantillon]=Donnees[[#This Row],[Échantillon]])*(Donnees[Nb hashtags]&lt;Donnees[[#This Row],[Nb hashtags]]))+(SUMPRODUCT((Donnees[Échantillon]=Donnees[[#This Row],[Échantillon]])*(Donnees[Nb hashtags]=Donnees[[#This Row],[Nb hashtags]]))+1)/2</f>
        <v>22</v>
      </c>
      <c r="AI230" s="43">
        <f>SUMPRODUCT((Donnees[Échantillon]=Donnees[[#This Row],[Échantillon]])*(Donnees[Longueur du texte]&lt;Donnees[[#This Row],[Longueur du texte]]))+(SUMPRODUCT((Donnees[Échantillon]=Donnees[[#This Row],[Échantillon]])*(Donnees[Longueur du texte]=Donnees[[#This Row],[Longueur du texte]]))+1)/2</f>
        <v>6.5</v>
      </c>
      <c r="AJ230" s="43">
        <f>IF(Donnees[[#This Row],[Abonnés]]="","",SUMPRODUCT((Donnees[Échantillon]=Donnees[[#This Row],[Échantillon]])*(Donnees[Abonnés]&lt;Donnees[[#This Row],[Abonnés]]))+(SUMPRODUCT((Donnees[Échantillon]=Donnees[[#This Row],[Échantillon]])*(Donnees[Abonnés]=Donnees[[#This Row],[Abonnés]]))+1)/2)</f>
        <v>33</v>
      </c>
      <c r="AK230" s="43">
        <f>IF(Donnees[[#This Row],[Vidéos publiées]]="","",SUMPRODUCT((Donnees[Échantillon]=Donnees[[#This Row],[Échantillon]])*(Donnees[Vidéos publiées]&lt;Donnees[[#This Row],[Vidéos publiées]]))+(SUMPRODUCT((Donnees[Échantillon]=Donnees[[#This Row],[Échantillon]])*(Donnees[Vidéos publiées]=Donnees[[#This Row],[Vidéos publiées]]))+1)/2)</f>
        <v>68</v>
      </c>
    </row>
    <row r="231" spans="1:37" x14ac:dyDescent="0.2">
      <c r="A231" s="40" t="s">
        <v>237</v>
      </c>
      <c r="B231" s="40" t="s">
        <v>74</v>
      </c>
      <c r="C231" s="40" t="s">
        <v>50</v>
      </c>
      <c r="D231" s="40">
        <v>256</v>
      </c>
      <c r="E231" s="40" t="s">
        <v>68</v>
      </c>
      <c r="F231" s="40" t="str">
        <f>IF(OR(Donnees[[#This Row],[Jour]]="samedi",Donnees[[#This Row],[Jour]]="dimanche"),"Oui","Non")</f>
        <v>Non</v>
      </c>
      <c r="G231" s="40">
        <v>14</v>
      </c>
      <c r="H231" s="40" t="str">
        <f>IF(Donnees[[#This Row],[Heure UTC]]&lt;6,"0-5 h",IF(Donnees[[#This Row],[Heure UTC]]&lt;12,"6-11 h",IF(Donnees[[#This Row],[Heure UTC]]&lt;18,"12-17 h","18-23 h")))</f>
        <v>12-17 h</v>
      </c>
      <c r="I231" s="40">
        <v>9</v>
      </c>
      <c r="J231" s="40" t="str">
        <f>IF(Donnees[[#This Row],[Durée (s)]]&lt;=10,"1. ≤ 10 s",IF(Donnees[[#This Row],[Durée (s)]]&lt;=15,"2. 11-15 s",IF(Donnees[[#This Row],[Durée (s)]]&lt;=30,"3. 16-30 s",IF(Donnees[[#This Row],[Durée (s)]]&lt;=60,"4. 31-60 s","5. &gt; 60 s"))))</f>
        <v>1. ≤ 10 s</v>
      </c>
      <c r="K231" s="40" t="str">
        <f>IF(Donnees[[#This Row],[Durée (s)]]&gt;15,"Oui","Non")</f>
        <v>Non</v>
      </c>
      <c r="L231" s="40">
        <v>8</v>
      </c>
      <c r="M231" s="40" t="s">
        <v>44</v>
      </c>
      <c r="N231" s="40">
        <v>2</v>
      </c>
      <c r="O231" s="40" t="s">
        <v>41</v>
      </c>
      <c r="P231" s="40" t="s">
        <v>44</v>
      </c>
      <c r="Q231" s="40" t="s">
        <v>41</v>
      </c>
      <c r="R231" s="40" t="s">
        <v>41</v>
      </c>
      <c r="S231" s="40" t="s">
        <v>44</v>
      </c>
      <c r="T231" s="41">
        <v>27400000</v>
      </c>
      <c r="U231" s="40" t="str">
        <f>IF(Donnees[[#This Row],[Abonnés]]="","",IF(Donnees[[#This Row],[Abonnés]]&lt;1000000,"1. &lt; 1 M",IF(Donnees[[#This Row],[Abonnés]]&lt;3000000,"2. 1-3 M",IF(Donnees[[#This Row],[Abonnés]]&lt;8000000,"3. 3-8 M","4. ≥ 8 M"))))</f>
        <v>4. ≥ 8 M</v>
      </c>
      <c r="V231" s="41">
        <v>588</v>
      </c>
      <c r="W231" s="41">
        <v>71500000</v>
      </c>
      <c r="X231" s="41">
        <v>7800000</v>
      </c>
      <c r="Y231" s="41">
        <v>47700</v>
      </c>
      <c r="Z231" s="41">
        <v>43900</v>
      </c>
      <c r="AA231" s="42">
        <f>(Donnees[[#This Row],[Likes]]+Donnees[[#This Row],[Commentaires]]+Donnees[[#This Row],[Partages]])/Donnees[[#This Row],[Vues]]</f>
        <v>0.11037202797202797</v>
      </c>
      <c r="AB231" s="40">
        <f>IF(Donnees[[#This Row],[Engagement]]&gt;=VLOOKUP(Donnees[[#This Row],[Échantillon]],'Méthode &amp; limites'!$B$9:$D$11,2,FALSE),1,0)</f>
        <v>0</v>
      </c>
      <c r="AC231" s="43">
        <f>IF(Donnees[[#This Row],[Abonnés]]="","",Donnees[[#This Row],[Vues]]/Donnees[[#This Row],[Abonnés]])</f>
        <v>2.6094890510948905</v>
      </c>
      <c r="AD231" s="40" t="s">
        <v>44</v>
      </c>
      <c r="AE231" s="43">
        <f>SUMPRODUCT((Donnees[Échantillon]=Donnees[[#This Row],[Échantillon]])*(Donnees[Engagement]&lt;Donnees[[#This Row],[Engagement]]))+(SUMPRODUCT((Donnees[Échantillon]=Donnees[[#This Row],[Échantillon]])*(Donnees[Engagement]=Donnees[[#This Row],[Engagement]]))+1)/2</f>
        <v>21</v>
      </c>
      <c r="AF231" s="43">
        <f>SUMPRODUCT((Donnees[Échantillon]=Donnees[[#This Row],[Échantillon]])*(Donnees[Vues]&lt;Donnees[[#This Row],[Vues]]))+(SUMPRODUCT((Donnees[Échantillon]=Donnees[[#This Row],[Échantillon]])*(Donnees[Vues]=Donnees[[#This Row],[Vues]]))+1)/2</f>
        <v>71</v>
      </c>
      <c r="AG231" s="43">
        <f>SUMPRODUCT((Donnees[Échantillon]=Donnees[[#This Row],[Échantillon]])*(Donnees[Durée (s)]&lt;Donnees[[#This Row],[Durée (s)]]))+(SUMPRODUCT((Donnees[Échantillon]=Donnees[[#This Row],[Échantillon]])*(Donnees[Durée (s)]=Donnees[[#This Row],[Durée (s)]]))+1)/2</f>
        <v>14</v>
      </c>
      <c r="AH231" s="43">
        <f>SUMPRODUCT((Donnees[Échantillon]=Donnees[[#This Row],[Échantillon]])*(Donnees[Nb hashtags]&lt;Donnees[[#This Row],[Nb hashtags]]))+(SUMPRODUCT((Donnees[Échantillon]=Donnees[[#This Row],[Échantillon]])*(Donnees[Nb hashtags]=Donnees[[#This Row],[Nb hashtags]]))+1)/2</f>
        <v>47.5</v>
      </c>
      <c r="AI231" s="43">
        <f>SUMPRODUCT((Donnees[Échantillon]=Donnees[[#This Row],[Échantillon]])*(Donnees[Longueur du texte]&lt;Donnees[[#This Row],[Longueur du texte]]))+(SUMPRODUCT((Donnees[Échantillon]=Donnees[[#This Row],[Échantillon]])*(Donnees[Longueur du texte]=Donnees[[#This Row],[Longueur du texte]]))+1)/2</f>
        <v>14.5</v>
      </c>
      <c r="AJ231" s="43">
        <f>IF(Donnees[[#This Row],[Abonnés]]="","",SUMPRODUCT((Donnees[Échantillon]=Donnees[[#This Row],[Échantillon]])*(Donnees[Abonnés]&lt;Donnees[[#This Row],[Abonnés]]))+(SUMPRODUCT((Donnees[Échantillon]=Donnees[[#This Row],[Échantillon]])*(Donnees[Abonnés]=Donnees[[#This Row],[Abonnés]]))+1)/2)</f>
        <v>96.5</v>
      </c>
      <c r="AK231" s="43">
        <f>IF(Donnees[[#This Row],[Vidéos publiées]]="","",SUMPRODUCT((Donnees[Échantillon]=Donnees[[#This Row],[Échantillon]])*(Donnees[Vidéos publiées]&lt;Donnees[[#This Row],[Vidéos publiées]]))+(SUMPRODUCT((Donnees[Échantillon]=Donnees[[#This Row],[Échantillon]])*(Donnees[Vidéos publiées]=Donnees[[#This Row],[Vidéos publiées]]))+1)/2)</f>
        <v>78.5</v>
      </c>
    </row>
    <row r="232" spans="1:37" x14ac:dyDescent="0.2">
      <c r="A232" s="40" t="s">
        <v>237</v>
      </c>
      <c r="B232" s="40" t="s">
        <v>262</v>
      </c>
      <c r="C232" s="40" t="s">
        <v>46</v>
      </c>
      <c r="D232" s="40">
        <v>185</v>
      </c>
      <c r="E232" s="40" t="s">
        <v>75</v>
      </c>
      <c r="F232" s="40" t="str">
        <f>IF(OR(Donnees[[#This Row],[Jour]]="samedi",Donnees[[#This Row],[Jour]]="dimanche"),"Oui","Non")</f>
        <v>Oui</v>
      </c>
      <c r="G232" s="40">
        <v>23</v>
      </c>
      <c r="H232" s="40" t="str">
        <f>IF(Donnees[[#This Row],[Heure UTC]]&lt;6,"0-5 h",IF(Donnees[[#This Row],[Heure UTC]]&lt;12,"6-11 h",IF(Donnees[[#This Row],[Heure UTC]]&lt;18,"12-17 h","18-23 h")))</f>
        <v>18-23 h</v>
      </c>
      <c r="I232" s="40">
        <v>16</v>
      </c>
      <c r="J232" s="40" t="str">
        <f>IF(Donnees[[#This Row],[Durée (s)]]&lt;=10,"1. ≤ 10 s",IF(Donnees[[#This Row],[Durée (s)]]&lt;=15,"2. 11-15 s",IF(Donnees[[#This Row],[Durée (s)]]&lt;=30,"3. 16-30 s",IF(Donnees[[#This Row],[Durée (s)]]&lt;=60,"4. 31-60 s","5. &gt; 60 s"))))</f>
        <v>3. 16-30 s</v>
      </c>
      <c r="K232" s="40" t="str">
        <f>IF(Donnees[[#This Row],[Durée (s)]]&gt;15,"Oui","Non")</f>
        <v>Oui</v>
      </c>
      <c r="L232" s="40">
        <v>17</v>
      </c>
      <c r="M232" s="40" t="s">
        <v>44</v>
      </c>
      <c r="N232" s="40">
        <v>11</v>
      </c>
      <c r="O232" s="40" t="s">
        <v>41</v>
      </c>
      <c r="P232" s="40" t="s">
        <v>41</v>
      </c>
      <c r="Q232" s="40" t="s">
        <v>41</v>
      </c>
      <c r="R232" s="40" t="s">
        <v>44</v>
      </c>
      <c r="S232" s="40" t="s">
        <v>44</v>
      </c>
      <c r="T232" s="41">
        <v>547000</v>
      </c>
      <c r="U232" s="40" t="str">
        <f>IF(Donnees[[#This Row],[Abonnés]]="","",IF(Donnees[[#This Row],[Abonnés]]&lt;1000000,"1. &lt; 1 M",IF(Donnees[[#This Row],[Abonnés]]&lt;3000000,"2. 1-3 M",IF(Donnees[[#This Row],[Abonnés]]&lt;8000000,"3. 3-8 M","4. ≥ 8 M"))))</f>
        <v>1. &lt; 1 M</v>
      </c>
      <c r="V232" s="41">
        <v>449</v>
      </c>
      <c r="W232" s="41">
        <v>71200000</v>
      </c>
      <c r="X232" s="41">
        <v>10300000</v>
      </c>
      <c r="Y232" s="41">
        <v>328100</v>
      </c>
      <c r="Z232" s="41">
        <v>655800</v>
      </c>
      <c r="AA232" s="42">
        <f>(Donnees[[#This Row],[Likes]]+Donnees[[#This Row],[Commentaires]]+Donnees[[#This Row],[Partages]])/Donnees[[#This Row],[Vues]]</f>
        <v>0.15848174157303371</v>
      </c>
      <c r="AB232" s="40">
        <f>IF(Donnees[[#This Row],[Engagement]]&gt;=VLOOKUP(Donnees[[#This Row],[Échantillon]],'Méthode &amp; limites'!$B$9:$D$11,2,FALSE),1,0)</f>
        <v>0</v>
      </c>
      <c r="AC232" s="43">
        <f>IF(Donnees[[#This Row],[Abonnés]]="","",Donnees[[#This Row],[Vues]]/Donnees[[#This Row],[Abonnés]])</f>
        <v>130.16453382084094</v>
      </c>
      <c r="AD232" s="40" t="s">
        <v>44</v>
      </c>
      <c r="AE232" s="43">
        <f>SUMPRODUCT((Donnees[Échantillon]=Donnees[[#This Row],[Échantillon]])*(Donnees[Engagement]&lt;Donnees[[#This Row],[Engagement]]))+(SUMPRODUCT((Donnees[Échantillon]=Donnees[[#This Row],[Échantillon]])*(Donnees[Engagement]=Donnees[[#This Row],[Engagement]]))+1)/2</f>
        <v>47</v>
      </c>
      <c r="AF232" s="43">
        <f>SUMPRODUCT((Donnees[Échantillon]=Donnees[[#This Row],[Échantillon]])*(Donnees[Vues]&lt;Donnees[[#This Row],[Vues]]))+(SUMPRODUCT((Donnees[Échantillon]=Donnees[[#This Row],[Échantillon]])*(Donnees[Vues]=Donnees[[#This Row],[Vues]]))+1)/2</f>
        <v>70</v>
      </c>
      <c r="AG232" s="43">
        <f>SUMPRODUCT((Donnees[Échantillon]=Donnees[[#This Row],[Échantillon]])*(Donnees[Durée (s)]&lt;Donnees[[#This Row],[Durée (s)]]))+(SUMPRODUCT((Donnees[Échantillon]=Donnees[[#This Row],[Échantillon]])*(Donnees[Durée (s)]=Donnees[[#This Row],[Durée (s)]]))+1)/2</f>
        <v>48</v>
      </c>
      <c r="AH232" s="43">
        <f>SUMPRODUCT((Donnees[Échantillon]=Donnees[[#This Row],[Échantillon]])*(Donnees[Nb hashtags]&lt;Donnees[[#This Row],[Nb hashtags]]))+(SUMPRODUCT((Donnees[Échantillon]=Donnees[[#This Row],[Échantillon]])*(Donnees[Nb hashtags]=Donnees[[#This Row],[Nb hashtags]]))+1)/2</f>
        <v>95.5</v>
      </c>
      <c r="AI232" s="43">
        <f>SUMPRODUCT((Donnees[Échantillon]=Donnees[[#This Row],[Échantillon]])*(Donnees[Longueur du texte]&lt;Donnees[[#This Row],[Longueur du texte]]))+(SUMPRODUCT((Donnees[Échantillon]=Donnees[[#This Row],[Échantillon]])*(Donnees[Longueur du texte]=Donnees[[#This Row],[Longueur du texte]]))+1)/2</f>
        <v>30</v>
      </c>
      <c r="AJ232" s="43">
        <f>IF(Donnees[[#This Row],[Abonnés]]="","",SUMPRODUCT((Donnees[Échantillon]=Donnees[[#This Row],[Échantillon]])*(Donnees[Abonnés]&lt;Donnees[[#This Row],[Abonnés]]))+(SUMPRODUCT((Donnees[Échantillon]=Donnees[[#This Row],[Échantillon]])*(Donnees[Abonnés]=Donnees[[#This Row],[Abonnés]]))+1)/2)</f>
        <v>20</v>
      </c>
      <c r="AK232" s="43">
        <f>IF(Donnees[[#This Row],[Vidéos publiées]]="","",SUMPRODUCT((Donnees[Échantillon]=Donnees[[#This Row],[Échantillon]])*(Donnees[Vidéos publiées]&lt;Donnees[[#This Row],[Vidéos publiées]]))+(SUMPRODUCT((Donnees[Échantillon]=Donnees[[#This Row],[Échantillon]])*(Donnees[Vidéos publiées]=Donnees[[#This Row],[Vidéos publiées]]))+1)/2)</f>
        <v>65</v>
      </c>
    </row>
    <row r="233" spans="1:37" x14ac:dyDescent="0.2">
      <c r="A233" s="40" t="s">
        <v>237</v>
      </c>
      <c r="B233" s="40" t="s">
        <v>263</v>
      </c>
      <c r="C233" s="40" t="s">
        <v>67</v>
      </c>
      <c r="D233" s="40">
        <v>40</v>
      </c>
      <c r="E233" s="40" t="s">
        <v>47</v>
      </c>
      <c r="F233" s="40" t="str">
        <f>IF(OR(Donnees[[#This Row],[Jour]]="samedi",Donnees[[#This Row],[Jour]]="dimanche"),"Oui","Non")</f>
        <v>Non</v>
      </c>
      <c r="G233" s="40">
        <v>18</v>
      </c>
      <c r="H233" s="40" t="str">
        <f>IF(Donnees[[#This Row],[Heure UTC]]&lt;6,"0-5 h",IF(Donnees[[#This Row],[Heure UTC]]&lt;12,"6-11 h",IF(Donnees[[#This Row],[Heure UTC]]&lt;18,"12-17 h","18-23 h")))</f>
        <v>18-23 h</v>
      </c>
      <c r="I233" s="40">
        <v>7</v>
      </c>
      <c r="J233" s="40" t="str">
        <f>IF(Donnees[[#This Row],[Durée (s)]]&lt;=10,"1. ≤ 10 s",IF(Donnees[[#This Row],[Durée (s)]]&lt;=15,"2. 11-15 s",IF(Donnees[[#This Row],[Durée (s)]]&lt;=30,"3. 16-30 s",IF(Donnees[[#This Row],[Durée (s)]]&lt;=60,"4. 31-60 s","5. &gt; 60 s"))))</f>
        <v>1. ≤ 10 s</v>
      </c>
      <c r="K233" s="40" t="str">
        <f>IF(Donnees[[#This Row],[Durée (s)]]&gt;15,"Oui","Non")</f>
        <v>Non</v>
      </c>
      <c r="L233" s="40">
        <v>12</v>
      </c>
      <c r="M233" s="40" t="s">
        <v>44</v>
      </c>
      <c r="N233" s="40">
        <v>4</v>
      </c>
      <c r="O233" s="40" t="s">
        <v>41</v>
      </c>
      <c r="P233" s="40" t="s">
        <v>41</v>
      </c>
      <c r="Q233" s="40" t="s">
        <v>41</v>
      </c>
      <c r="R233" s="40" t="s">
        <v>44</v>
      </c>
      <c r="S233" s="40" t="s">
        <v>44</v>
      </c>
      <c r="T233" s="41">
        <v>1800000</v>
      </c>
      <c r="U233" s="40" t="str">
        <f>IF(Donnees[[#This Row],[Abonnés]]="","",IF(Donnees[[#This Row],[Abonnés]]&lt;1000000,"1. &lt; 1 M",IF(Donnees[[#This Row],[Abonnés]]&lt;3000000,"2. 1-3 M",IF(Donnees[[#This Row],[Abonnés]]&lt;8000000,"3. 3-8 M","4. ≥ 8 M"))))</f>
        <v>2. 1-3 M</v>
      </c>
      <c r="V233" s="41">
        <v>89</v>
      </c>
      <c r="W233" s="41">
        <v>70700000</v>
      </c>
      <c r="X233" s="41">
        <v>7000000</v>
      </c>
      <c r="Y233" s="41">
        <v>60100</v>
      </c>
      <c r="Z233" s="41">
        <v>262900</v>
      </c>
      <c r="AA233" s="42">
        <f>(Donnees[[#This Row],[Likes]]+Donnees[[#This Row],[Commentaires]]+Donnees[[#This Row],[Partages]])/Donnees[[#This Row],[Vues]]</f>
        <v>0.10357850070721358</v>
      </c>
      <c r="AB233" s="40">
        <f>IF(Donnees[[#This Row],[Engagement]]&gt;=VLOOKUP(Donnees[[#This Row],[Échantillon]],'Méthode &amp; limites'!$B$9:$D$11,2,FALSE),1,0)</f>
        <v>0</v>
      </c>
      <c r="AC233" s="43">
        <f>IF(Donnees[[#This Row],[Abonnés]]="","",Donnees[[#This Row],[Vues]]/Donnees[[#This Row],[Abonnés]])</f>
        <v>39.277777777777779</v>
      </c>
      <c r="AD233" s="40" t="s">
        <v>44</v>
      </c>
      <c r="AE233" s="43">
        <f>SUMPRODUCT((Donnees[Échantillon]=Donnees[[#This Row],[Échantillon]])*(Donnees[Engagement]&lt;Donnees[[#This Row],[Engagement]]))+(SUMPRODUCT((Donnees[Échantillon]=Donnees[[#This Row],[Échantillon]])*(Donnees[Engagement]=Donnees[[#This Row],[Engagement]]))+1)/2</f>
        <v>17</v>
      </c>
      <c r="AF233" s="43">
        <f>SUMPRODUCT((Donnees[Échantillon]=Donnees[[#This Row],[Échantillon]])*(Donnees[Vues]&lt;Donnees[[#This Row],[Vues]]))+(SUMPRODUCT((Donnees[Échantillon]=Donnees[[#This Row],[Échantillon]])*(Donnees[Vues]=Donnees[[#This Row],[Vues]]))+1)/2</f>
        <v>69</v>
      </c>
      <c r="AG233" s="43">
        <f>SUMPRODUCT((Donnees[Échantillon]=Donnees[[#This Row],[Échantillon]])*(Donnees[Durée (s)]&lt;Donnees[[#This Row],[Durée (s)]]))+(SUMPRODUCT((Donnees[Échantillon]=Donnees[[#This Row],[Échantillon]])*(Donnees[Durée (s)]=Donnees[[#This Row],[Durée (s)]]))+1)/2</f>
        <v>5.5</v>
      </c>
      <c r="AH233" s="43">
        <f>SUMPRODUCT((Donnees[Échantillon]=Donnees[[#This Row],[Échantillon]])*(Donnees[Nb hashtags]&lt;Donnees[[#This Row],[Nb hashtags]]))+(SUMPRODUCT((Donnees[Échantillon]=Donnees[[#This Row],[Échantillon]])*(Donnees[Nb hashtags]=Donnees[[#This Row],[Nb hashtags]]))+1)/2</f>
        <v>83</v>
      </c>
      <c r="AI233" s="43">
        <f>SUMPRODUCT((Donnees[Échantillon]=Donnees[[#This Row],[Échantillon]])*(Donnees[Longueur du texte]&lt;Donnees[[#This Row],[Longueur du texte]]))+(SUMPRODUCT((Donnees[Échantillon]=Donnees[[#This Row],[Échantillon]])*(Donnees[Longueur du texte]=Donnees[[#This Row],[Longueur du texte]]))+1)/2</f>
        <v>19.5</v>
      </c>
      <c r="AJ233" s="43">
        <f>IF(Donnees[[#This Row],[Abonnés]]="","",SUMPRODUCT((Donnees[Échantillon]=Donnees[[#This Row],[Échantillon]])*(Donnees[Abonnés]&lt;Donnees[[#This Row],[Abonnés]]))+(SUMPRODUCT((Donnees[Échantillon]=Donnees[[#This Row],[Échantillon]])*(Donnees[Abonnés]=Donnees[[#This Row],[Abonnés]]))+1)/2)</f>
        <v>39</v>
      </c>
      <c r="AK233" s="43">
        <f>IF(Donnees[[#This Row],[Vidéos publiées]]="","",SUMPRODUCT((Donnees[Échantillon]=Donnees[[#This Row],[Échantillon]])*(Donnees[Vidéos publiées]&lt;Donnees[[#This Row],[Vidéos publiées]]))+(SUMPRODUCT((Donnees[Échantillon]=Donnees[[#This Row],[Échantillon]])*(Donnees[Vidéos publiées]=Donnees[[#This Row],[Vidéos publiées]]))+1)/2)</f>
        <v>26.5</v>
      </c>
    </row>
    <row r="234" spans="1:37" x14ac:dyDescent="0.2">
      <c r="A234" s="40" t="s">
        <v>237</v>
      </c>
      <c r="B234" s="40" t="s">
        <v>247</v>
      </c>
      <c r="C234" s="40" t="s">
        <v>46</v>
      </c>
      <c r="D234" s="40">
        <v>687</v>
      </c>
      <c r="E234" s="40" t="s">
        <v>71</v>
      </c>
      <c r="F234" s="40" t="str">
        <f>IF(OR(Donnees[[#This Row],[Jour]]="samedi",Donnees[[#This Row],[Jour]]="dimanche"),"Oui","Non")</f>
        <v>Non</v>
      </c>
      <c r="G234" s="40">
        <v>16</v>
      </c>
      <c r="H234" s="40" t="str">
        <f>IF(Donnees[[#This Row],[Heure UTC]]&lt;6,"0-5 h",IF(Donnees[[#This Row],[Heure UTC]]&lt;12,"6-11 h",IF(Donnees[[#This Row],[Heure UTC]]&lt;18,"12-17 h","18-23 h")))</f>
        <v>12-17 h</v>
      </c>
      <c r="I234" s="40">
        <v>23</v>
      </c>
      <c r="J234" s="40" t="str">
        <f>IF(Donnees[[#This Row],[Durée (s)]]&lt;=10,"1. ≤ 10 s",IF(Donnees[[#This Row],[Durée (s)]]&lt;=15,"2. 11-15 s",IF(Donnees[[#This Row],[Durée (s)]]&lt;=30,"3. 16-30 s",IF(Donnees[[#This Row],[Durée (s)]]&lt;=60,"4. 31-60 s","5. &gt; 60 s"))))</f>
        <v>3. 16-30 s</v>
      </c>
      <c r="K234" s="40" t="str">
        <f>IF(Donnees[[#This Row],[Durée (s)]]&gt;15,"Oui","Non")</f>
        <v>Oui</v>
      </c>
      <c r="L234" s="40">
        <v>8</v>
      </c>
      <c r="M234" s="40" t="s">
        <v>44</v>
      </c>
      <c r="N234" s="40">
        <v>64</v>
      </c>
      <c r="O234" s="40" t="s">
        <v>41</v>
      </c>
      <c r="P234" s="40" t="s">
        <v>41</v>
      </c>
      <c r="Q234" s="40" t="s">
        <v>44</v>
      </c>
      <c r="R234" s="40" t="s">
        <v>44</v>
      </c>
      <c r="S234" s="40" t="s">
        <v>44</v>
      </c>
      <c r="T234" s="41">
        <v>9100000</v>
      </c>
      <c r="U234" s="40" t="str">
        <f>IF(Donnees[[#This Row],[Abonnés]]="","",IF(Donnees[[#This Row],[Abonnés]]&lt;1000000,"1. &lt; 1 M",IF(Donnees[[#This Row],[Abonnés]]&lt;3000000,"2. 1-3 M",IF(Donnees[[#This Row],[Abonnés]]&lt;8000000,"3. 3-8 M","4. ≥ 8 M"))))</f>
        <v>4. ≥ 8 M</v>
      </c>
      <c r="V234" s="41">
        <v>543</v>
      </c>
      <c r="W234" s="41">
        <v>69400000</v>
      </c>
      <c r="X234" s="41">
        <v>7400000</v>
      </c>
      <c r="Y234" s="41">
        <v>14000</v>
      </c>
      <c r="Z234" s="41">
        <v>81600</v>
      </c>
      <c r="AA234" s="42">
        <f>(Donnees[[#This Row],[Likes]]+Donnees[[#This Row],[Commentaires]]+Donnees[[#This Row],[Partages]])/Donnees[[#This Row],[Vues]]</f>
        <v>0.1080057636887608</v>
      </c>
      <c r="AB234" s="40">
        <f>IF(Donnees[[#This Row],[Engagement]]&gt;=VLOOKUP(Donnees[[#This Row],[Échantillon]],'Méthode &amp; limites'!$B$9:$D$11,2,FALSE),1,0)</f>
        <v>0</v>
      </c>
      <c r="AC234" s="43">
        <f>IF(Donnees[[#This Row],[Abonnés]]="","",Donnees[[#This Row],[Vues]]/Donnees[[#This Row],[Abonnés]])</f>
        <v>7.6263736263736268</v>
      </c>
      <c r="AD234" s="40" t="s">
        <v>44</v>
      </c>
      <c r="AE234" s="43">
        <f>SUMPRODUCT((Donnees[Échantillon]=Donnees[[#This Row],[Échantillon]])*(Donnees[Engagement]&lt;Donnees[[#This Row],[Engagement]]))+(SUMPRODUCT((Donnees[Échantillon]=Donnees[[#This Row],[Échantillon]])*(Donnees[Engagement]=Donnees[[#This Row],[Engagement]]))+1)/2</f>
        <v>20</v>
      </c>
      <c r="AF234" s="43">
        <f>SUMPRODUCT((Donnees[Échantillon]=Donnees[[#This Row],[Échantillon]])*(Donnees[Vues]&lt;Donnees[[#This Row],[Vues]]))+(SUMPRODUCT((Donnees[Échantillon]=Donnees[[#This Row],[Échantillon]])*(Donnees[Vues]=Donnees[[#This Row],[Vues]]))+1)/2</f>
        <v>68</v>
      </c>
      <c r="AG234" s="43">
        <f>SUMPRODUCT((Donnees[Échantillon]=Donnees[[#This Row],[Échantillon]])*(Donnees[Durée (s)]&lt;Donnees[[#This Row],[Durée (s)]]))+(SUMPRODUCT((Donnees[Échantillon]=Donnees[[#This Row],[Échantillon]])*(Donnees[Durée (s)]=Donnees[[#This Row],[Durée (s)]]))+1)/2</f>
        <v>65</v>
      </c>
      <c r="AH234" s="43">
        <f>SUMPRODUCT((Donnees[Échantillon]=Donnees[[#This Row],[Échantillon]])*(Donnees[Nb hashtags]&lt;Donnees[[#This Row],[Nb hashtags]]))+(SUMPRODUCT((Donnees[Échantillon]=Donnees[[#This Row],[Échantillon]])*(Donnees[Nb hashtags]=Donnees[[#This Row],[Nb hashtags]]))+1)/2</f>
        <v>47.5</v>
      </c>
      <c r="AI234" s="43">
        <f>SUMPRODUCT((Donnees[Échantillon]=Donnees[[#This Row],[Échantillon]])*(Donnees[Longueur du texte]&lt;Donnees[[#This Row],[Longueur du texte]]))+(SUMPRODUCT((Donnees[Échantillon]=Donnees[[#This Row],[Échantillon]])*(Donnees[Longueur du texte]=Donnees[[#This Row],[Longueur du texte]]))+1)/2</f>
        <v>91</v>
      </c>
      <c r="AJ234" s="43">
        <f>IF(Donnees[[#This Row],[Abonnés]]="","",SUMPRODUCT((Donnees[Échantillon]=Donnees[[#This Row],[Échantillon]])*(Donnees[Abonnés]&lt;Donnees[[#This Row],[Abonnés]]))+(SUMPRODUCT((Donnees[Échantillon]=Donnees[[#This Row],[Échantillon]])*(Donnees[Abonnés]=Donnees[[#This Row],[Abonnés]]))+1)/2)</f>
        <v>85.5</v>
      </c>
      <c r="AK234" s="43">
        <f>IF(Donnees[[#This Row],[Vidéos publiées]]="","",SUMPRODUCT((Donnees[Échantillon]=Donnees[[#This Row],[Échantillon]])*(Donnees[Vidéos publiées]&lt;Donnees[[#This Row],[Vidéos publiées]]))+(SUMPRODUCT((Donnees[Échantillon]=Donnees[[#This Row],[Échantillon]])*(Donnees[Vidéos publiées]=Donnees[[#This Row],[Vidéos publiées]]))+1)/2)</f>
        <v>73.5</v>
      </c>
    </row>
    <row r="235" spans="1:37" x14ac:dyDescent="0.2">
      <c r="A235" s="40" t="s">
        <v>237</v>
      </c>
      <c r="B235" s="40" t="s">
        <v>264</v>
      </c>
      <c r="C235" s="40" t="s">
        <v>62</v>
      </c>
      <c r="D235" s="40">
        <v>83</v>
      </c>
      <c r="E235" s="40" t="s">
        <v>59</v>
      </c>
      <c r="F235" s="40" t="str">
        <f>IF(OR(Donnees[[#This Row],[Jour]]="samedi",Donnees[[#This Row],[Jour]]="dimanche"),"Oui","Non")</f>
        <v>Non</v>
      </c>
      <c r="G235" s="40">
        <v>22</v>
      </c>
      <c r="H235" s="40" t="str">
        <f>IF(Donnees[[#This Row],[Heure UTC]]&lt;6,"0-5 h",IF(Donnees[[#This Row],[Heure UTC]]&lt;12,"6-11 h",IF(Donnees[[#This Row],[Heure UTC]]&lt;18,"12-17 h","18-23 h")))</f>
        <v>18-23 h</v>
      </c>
      <c r="I235" s="40">
        <v>9</v>
      </c>
      <c r="J235" s="40" t="str">
        <f>IF(Donnees[[#This Row],[Durée (s)]]&lt;=10,"1. ≤ 10 s",IF(Donnees[[#This Row],[Durée (s)]]&lt;=15,"2. 11-15 s",IF(Donnees[[#This Row],[Durée (s)]]&lt;=30,"3. 16-30 s",IF(Donnees[[#This Row],[Durée (s)]]&lt;=60,"4. 31-60 s","5. &gt; 60 s"))))</f>
        <v>1. ≤ 10 s</v>
      </c>
      <c r="K235" s="40" t="str">
        <f>IF(Donnees[[#This Row],[Durée (s)]]&gt;15,"Oui","Non")</f>
        <v>Non</v>
      </c>
      <c r="L235" s="40">
        <v>2</v>
      </c>
      <c r="M235" s="40" t="s">
        <v>41</v>
      </c>
      <c r="N235" s="40">
        <v>18</v>
      </c>
      <c r="O235" s="40" t="s">
        <v>41</v>
      </c>
      <c r="P235" s="40" t="s">
        <v>41</v>
      </c>
      <c r="Q235" s="40" t="s">
        <v>41</v>
      </c>
      <c r="R235" s="40" t="s">
        <v>44</v>
      </c>
      <c r="S235" s="40" t="s">
        <v>41</v>
      </c>
      <c r="T235" s="41">
        <v>362600</v>
      </c>
      <c r="U235" s="40" t="str">
        <f>IF(Donnees[[#This Row],[Abonnés]]="","",IF(Donnees[[#This Row],[Abonnés]]&lt;1000000,"1. &lt; 1 M",IF(Donnees[[#This Row],[Abonnés]]&lt;3000000,"2. 1-3 M",IF(Donnees[[#This Row],[Abonnés]]&lt;8000000,"3. 3-8 M","4. ≥ 8 M"))))</f>
        <v>1. &lt; 1 M</v>
      </c>
      <c r="V235" s="41">
        <v>8</v>
      </c>
      <c r="W235" s="41">
        <v>66000000</v>
      </c>
      <c r="X235" s="41">
        <v>9700000</v>
      </c>
      <c r="Y235" s="41">
        <v>541500</v>
      </c>
      <c r="Z235" s="41">
        <v>846900</v>
      </c>
      <c r="AA235" s="42">
        <f>(Donnees[[#This Row],[Likes]]+Donnees[[#This Row],[Commentaires]]+Donnees[[#This Row],[Partages]])/Donnees[[#This Row],[Vues]]</f>
        <v>0.1680060606060606</v>
      </c>
      <c r="AB235" s="40">
        <f>IF(Donnees[[#This Row],[Engagement]]&gt;=VLOOKUP(Donnees[[#This Row],[Échantillon]],'Méthode &amp; limites'!$B$9:$D$11,2,FALSE),1,0)</f>
        <v>0</v>
      </c>
      <c r="AC235" s="43">
        <f>IF(Donnees[[#This Row],[Abonnés]]="","",Donnees[[#This Row],[Vues]]/Donnees[[#This Row],[Abonnés]])</f>
        <v>182.01875344732488</v>
      </c>
      <c r="AD235" s="40" t="s">
        <v>44</v>
      </c>
      <c r="AE235" s="43">
        <f>SUMPRODUCT((Donnees[Échantillon]=Donnees[[#This Row],[Échantillon]])*(Donnees[Engagement]&lt;Donnees[[#This Row],[Engagement]]))+(SUMPRODUCT((Donnees[Échantillon]=Donnees[[#This Row],[Échantillon]])*(Donnees[Engagement]=Donnees[[#This Row],[Engagement]]))+1)/2</f>
        <v>54</v>
      </c>
      <c r="AF235" s="43">
        <f>SUMPRODUCT((Donnees[Échantillon]=Donnees[[#This Row],[Échantillon]])*(Donnees[Vues]&lt;Donnees[[#This Row],[Vues]]))+(SUMPRODUCT((Donnees[Échantillon]=Donnees[[#This Row],[Échantillon]])*(Donnees[Vues]=Donnees[[#This Row],[Vues]]))+1)/2</f>
        <v>67</v>
      </c>
      <c r="AG235" s="43">
        <f>SUMPRODUCT((Donnees[Échantillon]=Donnees[[#This Row],[Échantillon]])*(Donnees[Durée (s)]&lt;Donnees[[#This Row],[Durée (s)]]))+(SUMPRODUCT((Donnees[Échantillon]=Donnees[[#This Row],[Échantillon]])*(Donnees[Durée (s)]=Donnees[[#This Row],[Durée (s)]]))+1)/2</f>
        <v>14</v>
      </c>
      <c r="AH235" s="43">
        <f>SUMPRODUCT((Donnees[Échantillon]=Donnees[[#This Row],[Échantillon]])*(Donnees[Nb hashtags]&lt;Donnees[[#This Row],[Nb hashtags]]))+(SUMPRODUCT((Donnees[Échantillon]=Donnees[[#This Row],[Échantillon]])*(Donnees[Nb hashtags]=Donnees[[#This Row],[Nb hashtags]]))+1)/2</f>
        <v>4.5</v>
      </c>
      <c r="AI235" s="43">
        <f>SUMPRODUCT((Donnees[Échantillon]=Donnees[[#This Row],[Échantillon]])*(Donnees[Longueur du texte]&lt;Donnees[[#This Row],[Longueur du texte]]))+(SUMPRODUCT((Donnees[Échantillon]=Donnees[[#This Row],[Échantillon]])*(Donnees[Longueur du texte]=Donnees[[#This Row],[Longueur du texte]]))+1)/2</f>
        <v>44</v>
      </c>
      <c r="AJ235" s="43">
        <f>IF(Donnees[[#This Row],[Abonnés]]="","",SUMPRODUCT((Donnees[Échantillon]=Donnees[[#This Row],[Échantillon]])*(Donnees[Abonnés]&lt;Donnees[[#This Row],[Abonnés]]))+(SUMPRODUCT((Donnees[Échantillon]=Donnees[[#This Row],[Échantillon]])*(Donnees[Abonnés]=Donnees[[#This Row],[Abonnés]]))+1)/2)</f>
        <v>10</v>
      </c>
      <c r="AK235" s="43">
        <f>IF(Donnees[[#This Row],[Vidéos publiées]]="","",SUMPRODUCT((Donnees[Échantillon]=Donnees[[#This Row],[Échantillon]])*(Donnees[Vidéos publiées]&lt;Donnees[[#This Row],[Vidéos publiées]]))+(SUMPRODUCT((Donnees[Échantillon]=Donnees[[#This Row],[Échantillon]])*(Donnees[Vidéos publiées]=Donnees[[#This Row],[Vidéos publiées]]))+1)/2)</f>
        <v>6.5</v>
      </c>
    </row>
    <row r="236" spans="1:37" x14ac:dyDescent="0.2">
      <c r="A236" s="40" t="s">
        <v>237</v>
      </c>
      <c r="B236" s="40" t="s">
        <v>265</v>
      </c>
      <c r="C236" s="40" t="s">
        <v>50</v>
      </c>
      <c r="D236" s="40">
        <v>210</v>
      </c>
      <c r="E236" s="40" t="s">
        <v>40</v>
      </c>
      <c r="F236" s="40" t="str">
        <f>IF(OR(Donnees[[#This Row],[Jour]]="samedi",Donnees[[#This Row],[Jour]]="dimanche"),"Oui","Non")</f>
        <v>Non</v>
      </c>
      <c r="G236" s="40">
        <v>16</v>
      </c>
      <c r="H236" s="40" t="str">
        <f>IF(Donnees[[#This Row],[Heure UTC]]&lt;6,"0-5 h",IF(Donnees[[#This Row],[Heure UTC]]&lt;12,"6-11 h",IF(Donnees[[#This Row],[Heure UTC]]&lt;18,"12-17 h","18-23 h")))</f>
        <v>12-17 h</v>
      </c>
      <c r="I236" s="40">
        <v>59</v>
      </c>
      <c r="J236" s="40" t="str">
        <f>IF(Donnees[[#This Row],[Durée (s)]]&lt;=10,"1. ≤ 10 s",IF(Donnees[[#This Row],[Durée (s)]]&lt;=15,"2. 11-15 s",IF(Donnees[[#This Row],[Durée (s)]]&lt;=30,"3. 16-30 s",IF(Donnees[[#This Row],[Durée (s)]]&lt;=60,"4. 31-60 s","5. &gt; 60 s"))))</f>
        <v>4. 31-60 s</v>
      </c>
      <c r="K236" s="40" t="str">
        <f>IF(Donnees[[#This Row],[Durée (s)]]&gt;15,"Oui","Non")</f>
        <v>Oui</v>
      </c>
      <c r="L236" s="40">
        <v>8</v>
      </c>
      <c r="M236" s="40" t="s">
        <v>44</v>
      </c>
      <c r="N236" s="40">
        <v>0</v>
      </c>
      <c r="O236" s="40" t="s">
        <v>41</v>
      </c>
      <c r="P236" s="40" t="s">
        <v>41</v>
      </c>
      <c r="Q236" s="40" t="s">
        <v>41</v>
      </c>
      <c r="R236" s="40" t="s">
        <v>41</v>
      </c>
      <c r="S236" s="40" t="s">
        <v>41</v>
      </c>
      <c r="T236" s="41">
        <v>3500000</v>
      </c>
      <c r="U236" s="40" t="str">
        <f>IF(Donnees[[#This Row],[Abonnés]]="","",IF(Donnees[[#This Row],[Abonnés]]&lt;1000000,"1. &lt; 1 M",IF(Donnees[[#This Row],[Abonnés]]&lt;3000000,"2. 1-3 M",IF(Donnees[[#This Row],[Abonnés]]&lt;8000000,"3. 3-8 M","4. ≥ 8 M"))))</f>
        <v>3. 3-8 M</v>
      </c>
      <c r="V236" s="41">
        <v>285</v>
      </c>
      <c r="W236" s="41">
        <v>65900000</v>
      </c>
      <c r="X236" s="41">
        <v>11200000</v>
      </c>
      <c r="Y236" s="41">
        <v>188300</v>
      </c>
      <c r="Z236" s="41">
        <v>728700</v>
      </c>
      <c r="AA236" s="42">
        <f>(Donnees[[#This Row],[Likes]]+Donnees[[#This Row],[Commentaires]]+Donnees[[#This Row],[Partages]])/Donnees[[#This Row],[Vues]]</f>
        <v>0.18386949924127466</v>
      </c>
      <c r="AB236" s="40">
        <f>IF(Donnees[[#This Row],[Engagement]]&gt;=VLOOKUP(Donnees[[#This Row],[Échantillon]],'Méthode &amp; limites'!$B$9:$D$11,2,FALSE),1,0)</f>
        <v>0</v>
      </c>
      <c r="AC236" s="43">
        <f>IF(Donnees[[#This Row],[Abonnés]]="","",Donnees[[#This Row],[Vues]]/Donnees[[#This Row],[Abonnés]])</f>
        <v>18.828571428571429</v>
      </c>
      <c r="AD236" s="40" t="s">
        <v>44</v>
      </c>
      <c r="AE236" s="43">
        <f>SUMPRODUCT((Donnees[Échantillon]=Donnees[[#This Row],[Échantillon]])*(Donnees[Engagement]&lt;Donnees[[#This Row],[Engagement]]))+(SUMPRODUCT((Donnees[Échantillon]=Donnees[[#This Row],[Échantillon]])*(Donnees[Engagement]=Donnees[[#This Row],[Engagement]]))+1)/2</f>
        <v>58</v>
      </c>
      <c r="AF236" s="43">
        <f>SUMPRODUCT((Donnees[Échantillon]=Donnees[[#This Row],[Échantillon]])*(Donnees[Vues]&lt;Donnees[[#This Row],[Vues]]))+(SUMPRODUCT((Donnees[Échantillon]=Donnees[[#This Row],[Échantillon]])*(Donnees[Vues]=Donnees[[#This Row],[Vues]]))+1)/2</f>
        <v>66</v>
      </c>
      <c r="AG236" s="43">
        <f>SUMPRODUCT((Donnees[Échantillon]=Donnees[[#This Row],[Échantillon]])*(Donnees[Durée (s)]&lt;Donnees[[#This Row],[Durée (s)]]))+(SUMPRODUCT((Donnees[Échantillon]=Donnees[[#This Row],[Échantillon]])*(Donnees[Durée (s)]=Donnees[[#This Row],[Durée (s)]]))+1)/2</f>
        <v>97</v>
      </c>
      <c r="AH236" s="43">
        <f>SUMPRODUCT((Donnees[Échantillon]=Donnees[[#This Row],[Échantillon]])*(Donnees[Nb hashtags]&lt;Donnees[[#This Row],[Nb hashtags]]))+(SUMPRODUCT((Donnees[Échantillon]=Donnees[[#This Row],[Échantillon]])*(Donnees[Nb hashtags]=Donnees[[#This Row],[Nb hashtags]]))+1)/2</f>
        <v>47.5</v>
      </c>
      <c r="AI236" s="43">
        <f>SUMPRODUCT((Donnees[Échantillon]=Donnees[[#This Row],[Échantillon]])*(Donnees[Longueur du texte]&lt;Donnees[[#This Row],[Longueur du texte]]))+(SUMPRODUCT((Donnees[Échantillon]=Donnees[[#This Row],[Échantillon]])*(Donnees[Longueur du texte]=Donnees[[#This Row],[Longueur du texte]]))+1)/2</f>
        <v>6.5</v>
      </c>
      <c r="AJ236" s="43">
        <f>IF(Donnees[[#This Row],[Abonnés]]="","",SUMPRODUCT((Donnees[Échantillon]=Donnees[[#This Row],[Échantillon]])*(Donnees[Abonnés]&lt;Donnees[[#This Row],[Abonnés]]))+(SUMPRODUCT((Donnees[Échantillon]=Donnees[[#This Row],[Échantillon]])*(Donnees[Abonnés]=Donnees[[#This Row],[Abonnés]]))+1)/2)</f>
        <v>52</v>
      </c>
      <c r="AK236" s="43">
        <f>IF(Donnees[[#This Row],[Vidéos publiées]]="","",SUMPRODUCT((Donnees[Échantillon]=Donnees[[#This Row],[Échantillon]])*(Donnees[Vidéos publiées]&lt;Donnees[[#This Row],[Vidéos publiées]]))+(SUMPRODUCT((Donnees[Échantillon]=Donnees[[#This Row],[Échantillon]])*(Donnees[Vidéos publiées]=Donnees[[#This Row],[Vidéos publiées]]))+1)/2)</f>
        <v>51</v>
      </c>
    </row>
    <row r="237" spans="1:37" x14ac:dyDescent="0.2">
      <c r="A237" s="40" t="s">
        <v>237</v>
      </c>
      <c r="B237" s="40" t="s">
        <v>266</v>
      </c>
      <c r="C237" s="40" t="s">
        <v>50</v>
      </c>
      <c r="D237" s="40">
        <v>256</v>
      </c>
      <c r="E237" s="40" t="s">
        <v>68</v>
      </c>
      <c r="F237" s="40" t="str">
        <f>IF(OR(Donnees[[#This Row],[Jour]]="samedi",Donnees[[#This Row],[Jour]]="dimanche"),"Oui","Non")</f>
        <v>Non</v>
      </c>
      <c r="G237" s="40">
        <v>17</v>
      </c>
      <c r="H237" s="40" t="str">
        <f>IF(Donnees[[#This Row],[Heure UTC]]&lt;6,"0-5 h",IF(Donnees[[#This Row],[Heure UTC]]&lt;12,"6-11 h",IF(Donnees[[#This Row],[Heure UTC]]&lt;18,"12-17 h","18-23 h")))</f>
        <v>12-17 h</v>
      </c>
      <c r="I237" s="40">
        <v>7</v>
      </c>
      <c r="J237" s="40" t="str">
        <f>IF(Donnees[[#This Row],[Durée (s)]]&lt;=10,"1. ≤ 10 s",IF(Donnees[[#This Row],[Durée (s)]]&lt;=15,"2. 11-15 s",IF(Donnees[[#This Row],[Durée (s)]]&lt;=30,"3. 16-30 s",IF(Donnees[[#This Row],[Durée (s)]]&lt;=60,"4. 31-60 s","5. &gt; 60 s"))))</f>
        <v>1. ≤ 10 s</v>
      </c>
      <c r="K237" s="40" t="str">
        <f>IF(Donnees[[#This Row],[Durée (s)]]&gt;15,"Oui","Non")</f>
        <v>Non</v>
      </c>
      <c r="L237" s="40">
        <v>6</v>
      </c>
      <c r="M237" s="40" t="s">
        <v>44</v>
      </c>
      <c r="N237" s="40">
        <v>46</v>
      </c>
      <c r="O237" s="40" t="s">
        <v>41</v>
      </c>
      <c r="P237" s="40" t="s">
        <v>44</v>
      </c>
      <c r="Q237" s="40" t="s">
        <v>41</v>
      </c>
      <c r="R237" s="40" t="s">
        <v>44</v>
      </c>
      <c r="S237" s="40" t="s">
        <v>44</v>
      </c>
      <c r="T237" s="41">
        <v>933700</v>
      </c>
      <c r="U237" s="40" t="str">
        <f>IF(Donnees[[#This Row],[Abonnés]]="","",IF(Donnees[[#This Row],[Abonnés]]&lt;1000000,"1. &lt; 1 M",IF(Donnees[[#This Row],[Abonnés]]&lt;3000000,"2. 1-3 M",IF(Donnees[[#This Row],[Abonnés]]&lt;8000000,"3. 3-8 M","4. ≥ 8 M"))))</f>
        <v>1. &lt; 1 M</v>
      </c>
      <c r="V237" s="41">
        <v>182</v>
      </c>
      <c r="W237" s="41">
        <v>63700000</v>
      </c>
      <c r="X237" s="41">
        <v>10100000</v>
      </c>
      <c r="Y237" s="41">
        <v>93500</v>
      </c>
      <c r="Z237" s="41">
        <v>277100</v>
      </c>
      <c r="AA237" s="42">
        <f>(Donnees[[#This Row],[Likes]]+Donnees[[#This Row],[Commentaires]]+Donnees[[#This Row],[Partages]])/Donnees[[#This Row],[Vues]]</f>
        <v>0.16437362637362637</v>
      </c>
      <c r="AB237" s="40">
        <f>IF(Donnees[[#This Row],[Engagement]]&gt;=VLOOKUP(Donnees[[#This Row],[Échantillon]],'Méthode &amp; limites'!$B$9:$D$11,2,FALSE),1,0)</f>
        <v>0</v>
      </c>
      <c r="AC237" s="43">
        <f>IF(Donnees[[#This Row],[Abonnés]]="","",Donnees[[#This Row],[Vues]]/Donnees[[#This Row],[Abonnés]])</f>
        <v>68.22319802934561</v>
      </c>
      <c r="AD237" s="40" t="s">
        <v>44</v>
      </c>
      <c r="AE237" s="43">
        <f>SUMPRODUCT((Donnees[Échantillon]=Donnees[[#This Row],[Échantillon]])*(Donnees[Engagement]&lt;Donnees[[#This Row],[Engagement]]))+(SUMPRODUCT((Donnees[Échantillon]=Donnees[[#This Row],[Échantillon]])*(Donnees[Engagement]=Donnees[[#This Row],[Engagement]]))+1)/2</f>
        <v>51</v>
      </c>
      <c r="AF237" s="43">
        <f>SUMPRODUCT((Donnees[Échantillon]=Donnees[[#This Row],[Échantillon]])*(Donnees[Vues]&lt;Donnees[[#This Row],[Vues]]))+(SUMPRODUCT((Donnees[Échantillon]=Donnees[[#This Row],[Échantillon]])*(Donnees[Vues]=Donnees[[#This Row],[Vues]]))+1)/2</f>
        <v>65</v>
      </c>
      <c r="AG237" s="43">
        <f>SUMPRODUCT((Donnees[Échantillon]=Donnees[[#This Row],[Échantillon]])*(Donnees[Durée (s)]&lt;Donnees[[#This Row],[Durée (s)]]))+(SUMPRODUCT((Donnees[Échantillon]=Donnees[[#This Row],[Échantillon]])*(Donnees[Durée (s)]=Donnees[[#This Row],[Durée (s)]]))+1)/2</f>
        <v>5.5</v>
      </c>
      <c r="AH237" s="43">
        <f>SUMPRODUCT((Donnees[Échantillon]=Donnees[[#This Row],[Échantillon]])*(Donnees[Nb hashtags]&lt;Donnees[[#This Row],[Nb hashtags]]))+(SUMPRODUCT((Donnees[Échantillon]=Donnees[[#This Row],[Échantillon]])*(Donnees[Nb hashtags]=Donnees[[#This Row],[Nb hashtags]]))+1)/2</f>
        <v>30</v>
      </c>
      <c r="AI237" s="43">
        <f>SUMPRODUCT((Donnees[Échantillon]=Donnees[[#This Row],[Échantillon]])*(Donnees[Longueur du texte]&lt;Donnees[[#This Row],[Longueur du texte]]))+(SUMPRODUCT((Donnees[Échantillon]=Donnees[[#This Row],[Échantillon]])*(Donnees[Longueur du texte]=Donnees[[#This Row],[Longueur du texte]]))+1)/2</f>
        <v>80</v>
      </c>
      <c r="AJ237" s="43">
        <f>IF(Donnees[[#This Row],[Abonnés]]="","",SUMPRODUCT((Donnees[Échantillon]=Donnees[[#This Row],[Échantillon]])*(Donnees[Abonnés]&lt;Donnees[[#This Row],[Abonnés]]))+(SUMPRODUCT((Donnees[Échantillon]=Donnees[[#This Row],[Échantillon]])*(Donnees[Abonnés]=Donnees[[#This Row],[Abonnés]]))+1)/2)</f>
        <v>25</v>
      </c>
      <c r="AK237" s="43">
        <f>IF(Donnees[[#This Row],[Vidéos publiées]]="","",SUMPRODUCT((Donnees[Échantillon]=Donnees[[#This Row],[Échantillon]])*(Donnees[Vidéos publiées]&lt;Donnees[[#This Row],[Vidéos publiées]]))+(SUMPRODUCT((Donnees[Échantillon]=Donnees[[#This Row],[Échantillon]])*(Donnees[Vidéos publiées]=Donnees[[#This Row],[Vidéos publiées]]))+1)/2)</f>
        <v>46</v>
      </c>
    </row>
    <row r="238" spans="1:37" x14ac:dyDescent="0.2">
      <c r="A238" s="40" t="s">
        <v>237</v>
      </c>
      <c r="B238" s="40" t="s">
        <v>267</v>
      </c>
      <c r="C238" s="40" t="s">
        <v>62</v>
      </c>
      <c r="D238" s="40">
        <v>239</v>
      </c>
      <c r="E238" s="40" t="s">
        <v>71</v>
      </c>
      <c r="F238" s="40" t="str">
        <f>IF(OR(Donnees[[#This Row],[Jour]]="samedi",Donnees[[#This Row],[Jour]]="dimanche"),"Oui","Non")</f>
        <v>Non</v>
      </c>
      <c r="G238" s="40">
        <v>21</v>
      </c>
      <c r="H238" s="40" t="str">
        <f>IF(Donnees[[#This Row],[Heure UTC]]&lt;6,"0-5 h",IF(Donnees[[#This Row],[Heure UTC]]&lt;12,"6-11 h",IF(Donnees[[#This Row],[Heure UTC]]&lt;18,"12-17 h","18-23 h")))</f>
        <v>18-23 h</v>
      </c>
      <c r="I238" s="40">
        <v>57</v>
      </c>
      <c r="J238" s="40" t="str">
        <f>IF(Donnees[[#This Row],[Durée (s)]]&lt;=10,"1. ≤ 10 s",IF(Donnees[[#This Row],[Durée (s)]]&lt;=15,"2. 11-15 s",IF(Donnees[[#This Row],[Durée (s)]]&lt;=30,"3. 16-30 s",IF(Donnees[[#This Row],[Durée (s)]]&lt;=60,"4. 31-60 s","5. &gt; 60 s"))))</f>
        <v>4. 31-60 s</v>
      </c>
      <c r="K238" s="40" t="str">
        <f>IF(Donnees[[#This Row],[Durée (s)]]&gt;15,"Oui","Non")</f>
        <v>Oui</v>
      </c>
      <c r="L238" s="40">
        <v>7</v>
      </c>
      <c r="M238" s="40" t="s">
        <v>41</v>
      </c>
      <c r="N238" s="40">
        <v>41</v>
      </c>
      <c r="O238" s="40" t="s">
        <v>41</v>
      </c>
      <c r="P238" s="40" t="s">
        <v>41</v>
      </c>
      <c r="Q238" s="40" t="s">
        <v>41</v>
      </c>
      <c r="R238" s="40" t="s">
        <v>44</v>
      </c>
      <c r="S238" s="40" t="s">
        <v>44</v>
      </c>
      <c r="T238" s="41">
        <v>2100000</v>
      </c>
      <c r="U238" s="40" t="str">
        <f>IF(Donnees[[#This Row],[Abonnés]]="","",IF(Donnees[[#This Row],[Abonnés]]&lt;1000000,"1. &lt; 1 M",IF(Donnees[[#This Row],[Abonnés]]&lt;3000000,"2. 1-3 M",IF(Donnees[[#This Row],[Abonnés]]&lt;8000000,"3. 3-8 M","4. ≥ 8 M"))))</f>
        <v>2. 1-3 M</v>
      </c>
      <c r="V238" s="41">
        <v>102</v>
      </c>
      <c r="W238" s="41">
        <v>62400000</v>
      </c>
      <c r="X238" s="41">
        <v>11900000</v>
      </c>
      <c r="Y238" s="41">
        <v>89600</v>
      </c>
      <c r="Z238" s="41">
        <v>203800</v>
      </c>
      <c r="AA238" s="42">
        <f>(Donnees[[#This Row],[Likes]]+Donnees[[#This Row],[Commentaires]]+Donnees[[#This Row],[Partages]])/Donnees[[#This Row],[Vues]]</f>
        <v>0.19540705128205127</v>
      </c>
      <c r="AB238" s="40">
        <f>IF(Donnees[[#This Row],[Engagement]]&gt;=VLOOKUP(Donnees[[#This Row],[Échantillon]],'Méthode &amp; limites'!$B$9:$D$11,2,FALSE),1,0)</f>
        <v>0</v>
      </c>
      <c r="AC238" s="43">
        <f>IF(Donnees[[#This Row],[Abonnés]]="","",Donnees[[#This Row],[Vues]]/Donnees[[#This Row],[Abonnés]])</f>
        <v>29.714285714285715</v>
      </c>
      <c r="AD238" s="40" t="s">
        <v>44</v>
      </c>
      <c r="AE238" s="43">
        <f>SUMPRODUCT((Donnees[Échantillon]=Donnees[[#This Row],[Échantillon]])*(Donnees[Engagement]&lt;Donnees[[#This Row],[Engagement]]))+(SUMPRODUCT((Donnees[Échantillon]=Donnees[[#This Row],[Échantillon]])*(Donnees[Engagement]=Donnees[[#This Row],[Engagement]]))+1)/2</f>
        <v>72</v>
      </c>
      <c r="AF238" s="43">
        <f>SUMPRODUCT((Donnees[Échantillon]=Donnees[[#This Row],[Échantillon]])*(Donnees[Vues]&lt;Donnees[[#This Row],[Vues]]))+(SUMPRODUCT((Donnees[Échantillon]=Donnees[[#This Row],[Échantillon]])*(Donnees[Vues]=Donnees[[#This Row],[Vues]]))+1)/2</f>
        <v>64</v>
      </c>
      <c r="AG238" s="43">
        <f>SUMPRODUCT((Donnees[Échantillon]=Donnees[[#This Row],[Échantillon]])*(Donnees[Durée (s)]&lt;Donnees[[#This Row],[Durée (s)]]))+(SUMPRODUCT((Donnees[Échantillon]=Donnees[[#This Row],[Échantillon]])*(Donnees[Durée (s)]=Donnees[[#This Row],[Durée (s)]]))+1)/2</f>
        <v>93.5</v>
      </c>
      <c r="AH238" s="43">
        <f>SUMPRODUCT((Donnees[Échantillon]=Donnees[[#This Row],[Échantillon]])*(Donnees[Nb hashtags]&lt;Donnees[[#This Row],[Nb hashtags]]))+(SUMPRODUCT((Donnees[Échantillon]=Donnees[[#This Row],[Échantillon]])*(Donnees[Nb hashtags]=Donnees[[#This Row],[Nb hashtags]]))+1)/2</f>
        <v>37.5</v>
      </c>
      <c r="AI238" s="43">
        <f>SUMPRODUCT((Donnees[Échantillon]=Donnees[[#This Row],[Échantillon]])*(Donnees[Longueur du texte]&lt;Donnees[[#This Row],[Longueur du texte]]))+(SUMPRODUCT((Donnees[Échantillon]=Donnees[[#This Row],[Échantillon]])*(Donnees[Longueur du texte]=Donnees[[#This Row],[Longueur du texte]]))+1)/2</f>
        <v>74.5</v>
      </c>
      <c r="AJ238" s="43">
        <f>IF(Donnees[[#This Row],[Abonnés]]="","",SUMPRODUCT((Donnees[Échantillon]=Donnees[[#This Row],[Échantillon]])*(Donnees[Abonnés]&lt;Donnees[[#This Row],[Abonnés]]))+(SUMPRODUCT((Donnees[Échantillon]=Donnees[[#This Row],[Échantillon]])*(Donnees[Abonnés]=Donnees[[#This Row],[Abonnés]]))+1)/2)</f>
        <v>43</v>
      </c>
      <c r="AK238" s="43">
        <f>IF(Donnees[[#This Row],[Vidéos publiées]]="","",SUMPRODUCT((Donnees[Échantillon]=Donnees[[#This Row],[Échantillon]])*(Donnees[Vidéos publiées]&lt;Donnees[[#This Row],[Vidéos publiées]]))+(SUMPRODUCT((Donnees[Échantillon]=Donnees[[#This Row],[Échantillon]])*(Donnees[Vidéos publiées]=Donnees[[#This Row],[Vidéos publiées]]))+1)/2)</f>
        <v>32</v>
      </c>
    </row>
    <row r="239" spans="1:37" x14ac:dyDescent="0.2">
      <c r="A239" s="40" t="s">
        <v>237</v>
      </c>
      <c r="B239" s="40" t="s">
        <v>244</v>
      </c>
      <c r="C239" s="40" t="s">
        <v>50</v>
      </c>
      <c r="D239" s="40">
        <v>200</v>
      </c>
      <c r="E239" s="40" t="s">
        <v>68</v>
      </c>
      <c r="F239" s="40" t="str">
        <f>IF(OR(Donnees[[#This Row],[Jour]]="samedi",Donnees[[#This Row],[Jour]]="dimanche"),"Oui","Non")</f>
        <v>Non</v>
      </c>
      <c r="G239" s="40">
        <v>1</v>
      </c>
      <c r="H239" s="40" t="str">
        <f>IF(Donnees[[#This Row],[Heure UTC]]&lt;6,"0-5 h",IF(Donnees[[#This Row],[Heure UTC]]&lt;12,"6-11 h",IF(Donnees[[#This Row],[Heure UTC]]&lt;18,"12-17 h","18-23 h")))</f>
        <v>0-5 h</v>
      </c>
      <c r="I239" s="40">
        <v>10</v>
      </c>
      <c r="J239" s="40" t="str">
        <f>IF(Donnees[[#This Row],[Durée (s)]]&lt;=10,"1. ≤ 10 s",IF(Donnees[[#This Row],[Durée (s)]]&lt;=15,"2. 11-15 s",IF(Donnees[[#This Row],[Durée (s)]]&lt;=30,"3. 16-30 s",IF(Donnees[[#This Row],[Durée (s)]]&lt;=60,"4. 31-60 s","5. &gt; 60 s"))))</f>
        <v>1. ≤ 10 s</v>
      </c>
      <c r="K239" s="40" t="str">
        <f>IF(Donnees[[#This Row],[Durée (s)]]&gt;15,"Oui","Non")</f>
        <v>Non</v>
      </c>
      <c r="L239" s="40">
        <v>9</v>
      </c>
      <c r="M239" s="40" t="s">
        <v>44</v>
      </c>
      <c r="N239" s="40">
        <v>80</v>
      </c>
      <c r="O239" s="40" t="s">
        <v>41</v>
      </c>
      <c r="P239" s="40" t="s">
        <v>41</v>
      </c>
      <c r="Q239" s="40" t="s">
        <v>44</v>
      </c>
      <c r="R239" s="40" t="s">
        <v>44</v>
      </c>
      <c r="S239" s="40" t="s">
        <v>44</v>
      </c>
      <c r="T239" s="41">
        <v>7900000</v>
      </c>
      <c r="U239" s="40" t="str">
        <f>IF(Donnees[[#This Row],[Abonnés]]="","",IF(Donnees[[#This Row],[Abonnés]]&lt;1000000,"1. &lt; 1 M",IF(Donnees[[#This Row],[Abonnés]]&lt;3000000,"2. 1-3 M",IF(Donnees[[#This Row],[Abonnés]]&lt;8000000,"3. 3-8 M","4. ≥ 8 M"))))</f>
        <v>3. 3-8 M</v>
      </c>
      <c r="V239" s="41">
        <v>126</v>
      </c>
      <c r="W239" s="41">
        <v>61400000</v>
      </c>
      <c r="X239" s="41">
        <v>8900000</v>
      </c>
      <c r="Y239" s="41">
        <v>107300</v>
      </c>
      <c r="Z239" s="41">
        <v>231100</v>
      </c>
      <c r="AA239" s="42">
        <f>(Donnees[[#This Row],[Likes]]+Donnees[[#This Row],[Commentaires]]+Donnees[[#This Row],[Partages]])/Donnees[[#This Row],[Vues]]</f>
        <v>0.15046254071661239</v>
      </c>
      <c r="AB239" s="40">
        <f>IF(Donnees[[#This Row],[Engagement]]&gt;=VLOOKUP(Donnees[[#This Row],[Échantillon]],'Méthode &amp; limites'!$B$9:$D$11,2,FALSE),1,0)</f>
        <v>0</v>
      </c>
      <c r="AC239" s="43">
        <f>IF(Donnees[[#This Row],[Abonnés]]="","",Donnees[[#This Row],[Vues]]/Donnees[[#This Row],[Abonnés]])</f>
        <v>7.7721518987341769</v>
      </c>
      <c r="AD239" s="40" t="s">
        <v>44</v>
      </c>
      <c r="AE239" s="43">
        <f>SUMPRODUCT((Donnees[Échantillon]=Donnees[[#This Row],[Échantillon]])*(Donnees[Engagement]&lt;Donnees[[#This Row],[Engagement]]))+(SUMPRODUCT((Donnees[Échantillon]=Donnees[[#This Row],[Échantillon]])*(Donnees[Engagement]=Donnees[[#This Row],[Engagement]]))+1)/2</f>
        <v>43</v>
      </c>
      <c r="AF239" s="43">
        <f>SUMPRODUCT((Donnees[Échantillon]=Donnees[[#This Row],[Échantillon]])*(Donnees[Vues]&lt;Donnees[[#This Row],[Vues]]))+(SUMPRODUCT((Donnees[Échantillon]=Donnees[[#This Row],[Échantillon]])*(Donnees[Vues]=Donnees[[#This Row],[Vues]]))+1)/2</f>
        <v>63</v>
      </c>
      <c r="AG239" s="43">
        <f>SUMPRODUCT((Donnees[Échantillon]=Donnees[[#This Row],[Échantillon]])*(Donnees[Durée (s)]&lt;Donnees[[#This Row],[Durée (s)]]))+(SUMPRODUCT((Donnees[Échantillon]=Donnees[[#This Row],[Échantillon]])*(Donnees[Durée (s)]=Donnees[[#This Row],[Durée (s)]]))+1)/2</f>
        <v>22</v>
      </c>
      <c r="AH239" s="43">
        <f>SUMPRODUCT((Donnees[Échantillon]=Donnees[[#This Row],[Échantillon]])*(Donnees[Nb hashtags]&lt;Donnees[[#This Row],[Nb hashtags]]))+(SUMPRODUCT((Donnees[Échantillon]=Donnees[[#This Row],[Échantillon]])*(Donnees[Nb hashtags]=Donnees[[#This Row],[Nb hashtags]]))+1)/2</f>
        <v>60</v>
      </c>
      <c r="AI239" s="43">
        <f>SUMPRODUCT((Donnees[Échantillon]=Donnees[[#This Row],[Échantillon]])*(Donnees[Longueur du texte]&lt;Donnees[[#This Row],[Longueur du texte]]))+(SUMPRODUCT((Donnees[Échantillon]=Donnees[[#This Row],[Échantillon]])*(Donnees[Longueur du texte]=Donnees[[#This Row],[Longueur du texte]]))+1)/2</f>
        <v>99</v>
      </c>
      <c r="AJ239" s="43">
        <f>IF(Donnees[[#This Row],[Abonnés]]="","",SUMPRODUCT((Donnees[Échantillon]=Donnees[[#This Row],[Échantillon]])*(Donnees[Abonnés]&lt;Donnees[[#This Row],[Abonnés]]))+(SUMPRODUCT((Donnees[Échantillon]=Donnees[[#This Row],[Échantillon]])*(Donnees[Abonnés]=Donnees[[#This Row],[Abonnés]]))+1)/2)</f>
        <v>76</v>
      </c>
      <c r="AK239" s="43">
        <f>IF(Donnees[[#This Row],[Vidéos publiées]]="","",SUMPRODUCT((Donnees[Échantillon]=Donnees[[#This Row],[Échantillon]])*(Donnees[Vidéos publiées]&lt;Donnees[[#This Row],[Vidéos publiées]]))+(SUMPRODUCT((Donnees[Échantillon]=Donnees[[#This Row],[Échantillon]])*(Donnees[Vidéos publiées]=Donnees[[#This Row],[Vidéos publiées]]))+1)/2)</f>
        <v>36.5</v>
      </c>
    </row>
    <row r="240" spans="1:37" x14ac:dyDescent="0.2">
      <c r="A240" s="40" t="s">
        <v>237</v>
      </c>
      <c r="B240" s="40" t="s">
        <v>268</v>
      </c>
      <c r="C240" s="40" t="s">
        <v>50</v>
      </c>
      <c r="D240" s="40">
        <v>512</v>
      </c>
      <c r="E240" s="40" t="s">
        <v>71</v>
      </c>
      <c r="F240" s="40" t="str">
        <f>IF(OR(Donnees[[#This Row],[Jour]]="samedi",Donnees[[#This Row],[Jour]]="dimanche"),"Oui","Non")</f>
        <v>Non</v>
      </c>
      <c r="G240" s="40">
        <v>10</v>
      </c>
      <c r="H240" s="40" t="str">
        <f>IF(Donnees[[#This Row],[Heure UTC]]&lt;6,"0-5 h",IF(Donnees[[#This Row],[Heure UTC]]&lt;12,"6-11 h",IF(Donnees[[#This Row],[Heure UTC]]&lt;18,"12-17 h","18-23 h")))</f>
        <v>6-11 h</v>
      </c>
      <c r="I240" s="40">
        <v>10</v>
      </c>
      <c r="J240" s="40" t="str">
        <f>IF(Donnees[[#This Row],[Durée (s)]]&lt;=10,"1. ≤ 10 s",IF(Donnees[[#This Row],[Durée (s)]]&lt;=15,"2. 11-15 s",IF(Donnees[[#This Row],[Durée (s)]]&lt;=30,"3. 16-30 s",IF(Donnees[[#This Row],[Durée (s)]]&lt;=60,"4. 31-60 s","5. &gt; 60 s"))))</f>
        <v>1. ≤ 10 s</v>
      </c>
      <c r="K240" s="40" t="str">
        <f>IF(Donnees[[#This Row],[Durée (s)]]&gt;15,"Oui","Non")</f>
        <v>Non</v>
      </c>
      <c r="L240" s="40">
        <v>10</v>
      </c>
      <c r="M240" s="40" t="s">
        <v>41</v>
      </c>
      <c r="N240" s="40">
        <v>16</v>
      </c>
      <c r="O240" s="40" t="s">
        <v>41</v>
      </c>
      <c r="P240" s="40" t="s">
        <v>41</v>
      </c>
      <c r="Q240" s="40" t="s">
        <v>41</v>
      </c>
      <c r="R240" s="40" t="s">
        <v>44</v>
      </c>
      <c r="S240" s="40" t="s">
        <v>44</v>
      </c>
      <c r="T240" s="41">
        <v>10400000</v>
      </c>
      <c r="U240" s="40" t="str">
        <f>IF(Donnees[[#This Row],[Abonnés]]="","",IF(Donnees[[#This Row],[Abonnés]]&lt;1000000,"1. &lt; 1 M",IF(Donnees[[#This Row],[Abonnés]]&lt;3000000,"2. 1-3 M",IF(Donnees[[#This Row],[Abonnés]]&lt;8000000,"3. 3-8 M","4. ≥ 8 M"))))</f>
        <v>4. ≥ 8 M</v>
      </c>
      <c r="V240" s="41">
        <v>719</v>
      </c>
      <c r="W240" s="41">
        <v>60700000</v>
      </c>
      <c r="X240" s="41">
        <v>8800000</v>
      </c>
      <c r="Y240" s="41">
        <v>57000</v>
      </c>
      <c r="Z240" s="41">
        <v>514600</v>
      </c>
      <c r="AA240" s="42">
        <f>(Donnees[[#This Row],[Likes]]+Donnees[[#This Row],[Commentaires]]+Donnees[[#This Row],[Partages]])/Donnees[[#This Row],[Vues]]</f>
        <v>0.15439209225700165</v>
      </c>
      <c r="AB240" s="40">
        <f>IF(Donnees[[#This Row],[Engagement]]&gt;=VLOOKUP(Donnees[[#This Row],[Échantillon]],'Méthode &amp; limites'!$B$9:$D$11,2,FALSE),1,0)</f>
        <v>0</v>
      </c>
      <c r="AC240" s="43">
        <f>IF(Donnees[[#This Row],[Abonnés]]="","",Donnees[[#This Row],[Vues]]/Donnees[[#This Row],[Abonnés]])</f>
        <v>5.8365384615384617</v>
      </c>
      <c r="AD240" s="40" t="s">
        <v>44</v>
      </c>
      <c r="AE240" s="43">
        <f>SUMPRODUCT((Donnees[Échantillon]=Donnees[[#This Row],[Échantillon]])*(Donnees[Engagement]&lt;Donnees[[#This Row],[Engagement]]))+(SUMPRODUCT((Donnees[Échantillon]=Donnees[[#This Row],[Échantillon]])*(Donnees[Engagement]=Donnees[[#This Row],[Engagement]]))+1)/2</f>
        <v>45</v>
      </c>
      <c r="AF240" s="43">
        <f>SUMPRODUCT((Donnees[Échantillon]=Donnees[[#This Row],[Échantillon]])*(Donnees[Vues]&lt;Donnees[[#This Row],[Vues]]))+(SUMPRODUCT((Donnees[Échantillon]=Donnees[[#This Row],[Échantillon]])*(Donnees[Vues]=Donnees[[#This Row],[Vues]]))+1)/2</f>
        <v>62</v>
      </c>
      <c r="AG240" s="43">
        <f>SUMPRODUCT((Donnees[Échantillon]=Donnees[[#This Row],[Échantillon]])*(Donnees[Durée (s)]&lt;Donnees[[#This Row],[Durée (s)]]))+(SUMPRODUCT((Donnees[Échantillon]=Donnees[[#This Row],[Échantillon]])*(Donnees[Durée (s)]=Donnees[[#This Row],[Durée (s)]]))+1)/2</f>
        <v>22</v>
      </c>
      <c r="AH240" s="43">
        <f>SUMPRODUCT((Donnees[Échantillon]=Donnees[[#This Row],[Échantillon]])*(Donnees[Nb hashtags]&lt;Donnees[[#This Row],[Nb hashtags]]))+(SUMPRODUCT((Donnees[Échantillon]=Donnees[[#This Row],[Échantillon]])*(Donnees[Nb hashtags]=Donnees[[#This Row],[Nb hashtags]]))+1)/2</f>
        <v>71.5</v>
      </c>
      <c r="AI240" s="43">
        <f>SUMPRODUCT((Donnees[Échantillon]=Donnees[[#This Row],[Échantillon]])*(Donnees[Longueur du texte]&lt;Donnees[[#This Row],[Longueur du texte]]))+(SUMPRODUCT((Donnees[Échantillon]=Donnees[[#This Row],[Échantillon]])*(Donnees[Longueur du texte]=Donnees[[#This Row],[Longueur du texte]]))+1)/2</f>
        <v>40.5</v>
      </c>
      <c r="AJ240" s="43">
        <f>IF(Donnees[[#This Row],[Abonnés]]="","",SUMPRODUCT((Donnees[Échantillon]=Donnees[[#This Row],[Échantillon]])*(Donnees[Abonnés]&lt;Donnees[[#This Row],[Abonnés]]))+(SUMPRODUCT((Donnees[Échantillon]=Donnees[[#This Row],[Échantillon]])*(Donnees[Abonnés]=Donnees[[#This Row],[Abonnés]]))+1)/2)</f>
        <v>87</v>
      </c>
      <c r="AK240" s="43">
        <f>IF(Donnees[[#This Row],[Vidéos publiées]]="","",SUMPRODUCT((Donnees[Échantillon]=Donnees[[#This Row],[Échantillon]])*(Donnees[Vidéos publiées]&lt;Donnees[[#This Row],[Vidéos publiées]]))+(SUMPRODUCT((Donnees[Échantillon]=Donnees[[#This Row],[Échantillon]])*(Donnees[Vidéos publiées]=Donnees[[#This Row],[Vidéos publiées]]))+1)/2)</f>
        <v>85</v>
      </c>
    </row>
    <row r="241" spans="1:37" x14ac:dyDescent="0.2">
      <c r="A241" s="40" t="s">
        <v>237</v>
      </c>
      <c r="B241" s="40" t="s">
        <v>244</v>
      </c>
      <c r="C241" s="40" t="s">
        <v>50</v>
      </c>
      <c r="D241" s="40">
        <v>212</v>
      </c>
      <c r="E241" s="40" t="s">
        <v>56</v>
      </c>
      <c r="F241" s="40" t="str">
        <f>IF(OR(Donnees[[#This Row],[Jour]]="samedi",Donnees[[#This Row],[Jour]]="dimanche"),"Oui","Non")</f>
        <v>Oui</v>
      </c>
      <c r="G241" s="40">
        <v>2</v>
      </c>
      <c r="H241" s="40" t="str">
        <f>IF(Donnees[[#This Row],[Heure UTC]]&lt;6,"0-5 h",IF(Donnees[[#This Row],[Heure UTC]]&lt;12,"6-11 h",IF(Donnees[[#This Row],[Heure UTC]]&lt;18,"12-17 h","18-23 h")))</f>
        <v>0-5 h</v>
      </c>
      <c r="I241" s="40">
        <v>18</v>
      </c>
      <c r="J241" s="40" t="str">
        <f>IF(Donnees[[#This Row],[Durée (s)]]&lt;=10,"1. ≤ 10 s",IF(Donnees[[#This Row],[Durée (s)]]&lt;=15,"2. 11-15 s",IF(Donnees[[#This Row],[Durée (s)]]&lt;=30,"3. 16-30 s",IF(Donnees[[#This Row],[Durée (s)]]&lt;=60,"4. 31-60 s","5. &gt; 60 s"))))</f>
        <v>3. 16-30 s</v>
      </c>
      <c r="K241" s="40" t="str">
        <f>IF(Donnees[[#This Row],[Durée (s)]]&gt;15,"Oui","Non")</f>
        <v>Oui</v>
      </c>
      <c r="L241" s="40">
        <v>8</v>
      </c>
      <c r="M241" s="40" t="s">
        <v>44</v>
      </c>
      <c r="N241" s="40">
        <v>80</v>
      </c>
      <c r="O241" s="40" t="s">
        <v>41</v>
      </c>
      <c r="P241" s="40" t="s">
        <v>41</v>
      </c>
      <c r="Q241" s="40" t="s">
        <v>44</v>
      </c>
      <c r="R241" s="40" t="s">
        <v>41</v>
      </c>
      <c r="S241" s="40" t="s">
        <v>44</v>
      </c>
      <c r="T241" s="41">
        <v>7900000</v>
      </c>
      <c r="U241" s="40" t="str">
        <f>IF(Donnees[[#This Row],[Abonnés]]="","",IF(Donnees[[#This Row],[Abonnés]]&lt;1000000,"1. &lt; 1 M",IF(Donnees[[#This Row],[Abonnés]]&lt;3000000,"2. 1-3 M",IF(Donnees[[#This Row],[Abonnés]]&lt;8000000,"3. 3-8 M","4. ≥ 8 M"))))</f>
        <v>3. 3-8 M</v>
      </c>
      <c r="V241" s="41">
        <v>126</v>
      </c>
      <c r="W241" s="41">
        <v>60300000</v>
      </c>
      <c r="X241" s="41">
        <v>10300000</v>
      </c>
      <c r="Y241" s="41">
        <v>109800</v>
      </c>
      <c r="Z241" s="41">
        <v>186400</v>
      </c>
      <c r="AA241" s="42">
        <f>(Donnees[[#This Row],[Likes]]+Donnees[[#This Row],[Commentaires]]+Donnees[[#This Row],[Partages]])/Donnees[[#This Row],[Vues]]</f>
        <v>0.17572470978441126</v>
      </c>
      <c r="AB241" s="40">
        <f>IF(Donnees[[#This Row],[Engagement]]&gt;=VLOOKUP(Donnees[[#This Row],[Échantillon]],'Méthode &amp; limites'!$B$9:$D$11,2,FALSE),1,0)</f>
        <v>0</v>
      </c>
      <c r="AC241" s="43">
        <f>IF(Donnees[[#This Row],[Abonnés]]="","",Donnees[[#This Row],[Vues]]/Donnees[[#This Row],[Abonnés]])</f>
        <v>7.6329113924050631</v>
      </c>
      <c r="AD241" s="40" t="s">
        <v>44</v>
      </c>
      <c r="AE241" s="43">
        <f>SUMPRODUCT((Donnees[Échantillon]=Donnees[[#This Row],[Échantillon]])*(Donnees[Engagement]&lt;Donnees[[#This Row],[Engagement]]))+(SUMPRODUCT((Donnees[Échantillon]=Donnees[[#This Row],[Échantillon]])*(Donnees[Engagement]=Donnees[[#This Row],[Engagement]]))+1)/2</f>
        <v>55</v>
      </c>
      <c r="AF241" s="43">
        <f>SUMPRODUCT((Donnees[Échantillon]=Donnees[[#This Row],[Échantillon]])*(Donnees[Vues]&lt;Donnees[[#This Row],[Vues]]))+(SUMPRODUCT((Donnees[Échantillon]=Donnees[[#This Row],[Échantillon]])*(Donnees[Vues]=Donnees[[#This Row],[Vues]]))+1)/2</f>
        <v>61</v>
      </c>
      <c r="AG241" s="43">
        <f>SUMPRODUCT((Donnees[Échantillon]=Donnees[[#This Row],[Échantillon]])*(Donnees[Durée (s)]&lt;Donnees[[#This Row],[Durée (s)]]))+(SUMPRODUCT((Donnees[Échantillon]=Donnees[[#This Row],[Échantillon]])*(Donnees[Durée (s)]=Donnees[[#This Row],[Durée (s)]]))+1)/2</f>
        <v>53</v>
      </c>
      <c r="AH241" s="43">
        <f>SUMPRODUCT((Donnees[Échantillon]=Donnees[[#This Row],[Échantillon]])*(Donnees[Nb hashtags]&lt;Donnees[[#This Row],[Nb hashtags]]))+(SUMPRODUCT((Donnees[Échantillon]=Donnees[[#This Row],[Échantillon]])*(Donnees[Nb hashtags]=Donnees[[#This Row],[Nb hashtags]]))+1)/2</f>
        <v>47.5</v>
      </c>
      <c r="AI241" s="43">
        <f>SUMPRODUCT((Donnees[Échantillon]=Donnees[[#This Row],[Échantillon]])*(Donnees[Longueur du texte]&lt;Donnees[[#This Row],[Longueur du texte]]))+(SUMPRODUCT((Donnees[Échantillon]=Donnees[[#This Row],[Échantillon]])*(Donnees[Longueur du texte]=Donnees[[#This Row],[Longueur du texte]]))+1)/2</f>
        <v>99</v>
      </c>
      <c r="AJ241" s="43">
        <f>IF(Donnees[[#This Row],[Abonnés]]="","",SUMPRODUCT((Donnees[Échantillon]=Donnees[[#This Row],[Échantillon]])*(Donnees[Abonnés]&lt;Donnees[[#This Row],[Abonnés]]))+(SUMPRODUCT((Donnees[Échantillon]=Donnees[[#This Row],[Échantillon]])*(Donnees[Abonnés]=Donnees[[#This Row],[Abonnés]]))+1)/2)</f>
        <v>76</v>
      </c>
      <c r="AK241" s="43">
        <f>IF(Donnees[[#This Row],[Vidéos publiées]]="","",SUMPRODUCT((Donnees[Échantillon]=Donnees[[#This Row],[Échantillon]])*(Donnees[Vidéos publiées]&lt;Donnees[[#This Row],[Vidéos publiées]]))+(SUMPRODUCT((Donnees[Échantillon]=Donnees[[#This Row],[Échantillon]])*(Donnees[Vidéos publiées]=Donnees[[#This Row],[Vidéos publiées]]))+1)/2)</f>
        <v>36.5</v>
      </c>
    </row>
    <row r="242" spans="1:37" x14ac:dyDescent="0.2">
      <c r="A242" s="40" t="s">
        <v>237</v>
      </c>
      <c r="B242" s="40" t="s">
        <v>61</v>
      </c>
      <c r="C242" s="40" t="s">
        <v>62</v>
      </c>
      <c r="D242" s="40">
        <v>264</v>
      </c>
      <c r="E242" s="40" t="s">
        <v>47</v>
      </c>
      <c r="F242" s="40" t="str">
        <f>IF(OR(Donnees[[#This Row],[Jour]]="samedi",Donnees[[#This Row],[Jour]]="dimanche"),"Oui","Non")</f>
        <v>Non</v>
      </c>
      <c r="G242" s="40">
        <v>16</v>
      </c>
      <c r="H242" s="40" t="str">
        <f>IF(Donnees[[#This Row],[Heure UTC]]&lt;6,"0-5 h",IF(Donnees[[#This Row],[Heure UTC]]&lt;12,"6-11 h",IF(Donnees[[#This Row],[Heure UTC]]&lt;18,"12-17 h","18-23 h")))</f>
        <v>12-17 h</v>
      </c>
      <c r="I242" s="40">
        <v>7</v>
      </c>
      <c r="J242" s="40" t="str">
        <f>IF(Donnees[[#This Row],[Durée (s)]]&lt;=10,"1. ≤ 10 s",IF(Donnees[[#This Row],[Durée (s)]]&lt;=15,"2. 11-15 s",IF(Donnees[[#This Row],[Durée (s)]]&lt;=30,"3. 16-30 s",IF(Donnees[[#This Row],[Durée (s)]]&lt;=60,"4. 31-60 s","5. &gt; 60 s"))))</f>
        <v>1. ≤ 10 s</v>
      </c>
      <c r="K242" s="40" t="str">
        <f>IF(Donnees[[#This Row],[Durée (s)]]&gt;15,"Oui","Non")</f>
        <v>Non</v>
      </c>
      <c r="L242" s="40">
        <v>18</v>
      </c>
      <c r="M242" s="40" t="s">
        <v>44</v>
      </c>
      <c r="N242" s="40">
        <v>11</v>
      </c>
      <c r="O242" s="40" t="s">
        <v>41</v>
      </c>
      <c r="P242" s="40" t="s">
        <v>41</v>
      </c>
      <c r="Q242" s="40" t="s">
        <v>41</v>
      </c>
      <c r="R242" s="40" t="s">
        <v>44</v>
      </c>
      <c r="S242" s="40" t="s">
        <v>44</v>
      </c>
      <c r="T242" s="41">
        <v>14500000</v>
      </c>
      <c r="U242" s="40" t="str">
        <f>IF(Donnees[[#This Row],[Abonnés]]="","",IF(Donnees[[#This Row],[Abonnés]]&lt;1000000,"1. &lt; 1 M",IF(Donnees[[#This Row],[Abonnés]]&lt;3000000,"2. 1-3 M",IF(Donnees[[#This Row],[Abonnés]]&lt;8000000,"3. 3-8 M","4. ≥ 8 M"))))</f>
        <v>4. ≥ 8 M</v>
      </c>
      <c r="V242" s="41">
        <v>592</v>
      </c>
      <c r="W242" s="41">
        <v>59700000</v>
      </c>
      <c r="X242" s="41">
        <v>7500000</v>
      </c>
      <c r="Y242" s="41">
        <v>64100</v>
      </c>
      <c r="Z242" s="41">
        <v>431600</v>
      </c>
      <c r="AA242" s="42">
        <f>(Donnees[[#This Row],[Likes]]+Donnees[[#This Row],[Commentaires]]+Donnees[[#This Row],[Partages]])/Donnees[[#This Row],[Vues]]</f>
        <v>0.13393132328308208</v>
      </c>
      <c r="AB242" s="40">
        <f>IF(Donnees[[#This Row],[Engagement]]&gt;=VLOOKUP(Donnees[[#This Row],[Échantillon]],'Méthode &amp; limites'!$B$9:$D$11,2,FALSE),1,0)</f>
        <v>0</v>
      </c>
      <c r="AC242" s="43">
        <f>IF(Donnees[[#This Row],[Abonnés]]="","",Donnees[[#This Row],[Vues]]/Donnees[[#This Row],[Abonnés]])</f>
        <v>4.1172413793103448</v>
      </c>
      <c r="AD242" s="40" t="s">
        <v>44</v>
      </c>
      <c r="AE242" s="43">
        <f>SUMPRODUCT((Donnees[Échantillon]=Donnees[[#This Row],[Échantillon]])*(Donnees[Engagement]&lt;Donnees[[#This Row],[Engagement]]))+(SUMPRODUCT((Donnees[Échantillon]=Donnees[[#This Row],[Échantillon]])*(Donnees[Engagement]=Donnees[[#This Row],[Engagement]]))+1)/2</f>
        <v>31</v>
      </c>
      <c r="AF242" s="43">
        <f>SUMPRODUCT((Donnees[Échantillon]=Donnees[[#This Row],[Échantillon]])*(Donnees[Vues]&lt;Donnees[[#This Row],[Vues]]))+(SUMPRODUCT((Donnees[Échantillon]=Donnees[[#This Row],[Échantillon]])*(Donnees[Vues]=Donnees[[#This Row],[Vues]]))+1)/2</f>
        <v>60</v>
      </c>
      <c r="AG242" s="43">
        <f>SUMPRODUCT((Donnees[Échantillon]=Donnees[[#This Row],[Échantillon]])*(Donnees[Durée (s)]&lt;Donnees[[#This Row],[Durée (s)]]))+(SUMPRODUCT((Donnees[Échantillon]=Donnees[[#This Row],[Échantillon]])*(Donnees[Durée (s)]=Donnees[[#This Row],[Durée (s)]]))+1)/2</f>
        <v>5.5</v>
      </c>
      <c r="AH242" s="43">
        <f>SUMPRODUCT((Donnees[Échantillon]=Donnees[[#This Row],[Échantillon]])*(Donnees[Nb hashtags]&lt;Donnees[[#This Row],[Nb hashtags]]))+(SUMPRODUCT((Donnees[Échantillon]=Donnees[[#This Row],[Échantillon]])*(Donnees[Nb hashtags]=Donnees[[#This Row],[Nb hashtags]]))+1)/2</f>
        <v>98</v>
      </c>
      <c r="AI242" s="43">
        <f>SUMPRODUCT((Donnees[Échantillon]=Donnees[[#This Row],[Échantillon]])*(Donnees[Longueur du texte]&lt;Donnees[[#This Row],[Longueur du texte]]))+(SUMPRODUCT((Donnees[Échantillon]=Donnees[[#This Row],[Échantillon]])*(Donnees[Longueur du texte]=Donnees[[#This Row],[Longueur du texte]]))+1)/2</f>
        <v>30</v>
      </c>
      <c r="AJ242" s="43">
        <f>IF(Donnees[[#This Row],[Abonnés]]="","",SUMPRODUCT((Donnees[Échantillon]=Donnees[[#This Row],[Échantillon]])*(Donnees[Abonnés]&lt;Donnees[[#This Row],[Abonnés]]))+(SUMPRODUCT((Donnees[Échantillon]=Donnees[[#This Row],[Échantillon]])*(Donnees[Abonnés]=Donnees[[#This Row],[Abonnés]]))+1)/2)</f>
        <v>89.5</v>
      </c>
      <c r="AK242" s="43">
        <f>IF(Donnees[[#This Row],[Vidéos publiées]]="","",SUMPRODUCT((Donnees[Échantillon]=Donnees[[#This Row],[Échantillon]])*(Donnees[Vidéos publiées]&lt;Donnees[[#This Row],[Vidéos publiées]]))+(SUMPRODUCT((Donnees[Échantillon]=Donnees[[#This Row],[Échantillon]])*(Donnees[Vidéos publiées]=Donnees[[#This Row],[Vidéos publiées]]))+1)/2)</f>
        <v>82.5</v>
      </c>
    </row>
    <row r="243" spans="1:37" x14ac:dyDescent="0.2">
      <c r="A243" s="40" t="s">
        <v>237</v>
      </c>
      <c r="B243" s="40" t="s">
        <v>269</v>
      </c>
      <c r="C243" s="40" t="s">
        <v>67</v>
      </c>
      <c r="D243" s="40">
        <v>200</v>
      </c>
      <c r="E243" s="40" t="s">
        <v>68</v>
      </c>
      <c r="F243" s="40" t="str">
        <f>IF(OR(Donnees[[#This Row],[Jour]]="samedi",Donnees[[#This Row],[Jour]]="dimanche"),"Oui","Non")</f>
        <v>Non</v>
      </c>
      <c r="G243" s="40">
        <v>5</v>
      </c>
      <c r="H243" s="40" t="str">
        <f>IF(Donnees[[#This Row],[Heure UTC]]&lt;6,"0-5 h",IF(Donnees[[#This Row],[Heure UTC]]&lt;12,"6-11 h",IF(Donnees[[#This Row],[Heure UTC]]&lt;18,"12-17 h","18-23 h")))</f>
        <v>0-5 h</v>
      </c>
      <c r="I243" s="40">
        <v>10</v>
      </c>
      <c r="J243" s="40" t="str">
        <f>IF(Donnees[[#This Row],[Durée (s)]]&lt;=10,"1. ≤ 10 s",IF(Donnees[[#This Row],[Durée (s)]]&lt;=15,"2. 11-15 s",IF(Donnees[[#This Row],[Durée (s)]]&lt;=30,"3. 16-30 s",IF(Donnees[[#This Row],[Durée (s)]]&lt;=60,"4. 31-60 s","5. &gt; 60 s"))))</f>
        <v>1. ≤ 10 s</v>
      </c>
      <c r="K243" s="40" t="str">
        <f>IF(Donnees[[#This Row],[Durée (s)]]&gt;15,"Oui","Non")</f>
        <v>Non</v>
      </c>
      <c r="L243" s="40">
        <v>12</v>
      </c>
      <c r="M243" s="40" t="s">
        <v>44</v>
      </c>
      <c r="N243" s="40">
        <v>48</v>
      </c>
      <c r="O243" s="40" t="s">
        <v>41</v>
      </c>
      <c r="P243" s="40" t="s">
        <v>41</v>
      </c>
      <c r="Q243" s="40" t="s">
        <v>44</v>
      </c>
      <c r="R243" s="40" t="s">
        <v>44</v>
      </c>
      <c r="S243" s="40" t="s">
        <v>44</v>
      </c>
      <c r="T243" s="41">
        <v>168400</v>
      </c>
      <c r="U243" s="40" t="str">
        <f>IF(Donnees[[#This Row],[Abonnés]]="","",IF(Donnees[[#This Row],[Abonnés]]&lt;1000000,"1. &lt; 1 M",IF(Donnees[[#This Row],[Abonnés]]&lt;3000000,"2. 1-3 M",IF(Donnees[[#This Row],[Abonnés]]&lt;8000000,"3. 3-8 M","4. ≥ 8 M"))))</f>
        <v>1. &lt; 1 M</v>
      </c>
      <c r="V243" s="41">
        <v>89</v>
      </c>
      <c r="W243" s="41">
        <v>59400000</v>
      </c>
      <c r="X243" s="41">
        <v>12500000</v>
      </c>
      <c r="Y243" s="41">
        <v>364600</v>
      </c>
      <c r="Z243" s="41">
        <v>1000000</v>
      </c>
      <c r="AA243" s="42">
        <f>(Donnees[[#This Row],[Likes]]+Donnees[[#This Row],[Commentaires]]+Donnees[[#This Row],[Partages]])/Donnees[[#This Row],[Vues]]</f>
        <v>0.2334107744107744</v>
      </c>
      <c r="AB243" s="40">
        <f>IF(Donnees[[#This Row],[Engagement]]&gt;=VLOOKUP(Donnees[[#This Row],[Échantillon]],'Méthode &amp; limites'!$B$9:$D$11,2,FALSE),1,0)</f>
        <v>1</v>
      </c>
      <c r="AC243" s="43">
        <f>IF(Donnees[[#This Row],[Abonnés]]="","",Donnees[[#This Row],[Vues]]/Donnees[[#This Row],[Abonnés]])</f>
        <v>352.73159144893111</v>
      </c>
      <c r="AD243" s="40" t="s">
        <v>44</v>
      </c>
      <c r="AE243" s="43">
        <f>SUMPRODUCT((Donnees[Échantillon]=Donnees[[#This Row],[Échantillon]])*(Donnees[Engagement]&lt;Donnees[[#This Row],[Engagement]]))+(SUMPRODUCT((Donnees[Échantillon]=Donnees[[#This Row],[Échantillon]])*(Donnees[Engagement]=Donnees[[#This Row],[Engagement]]))+1)/2</f>
        <v>95</v>
      </c>
      <c r="AF243" s="43">
        <f>SUMPRODUCT((Donnees[Échantillon]=Donnees[[#This Row],[Échantillon]])*(Donnees[Vues]&lt;Donnees[[#This Row],[Vues]]))+(SUMPRODUCT((Donnees[Échantillon]=Donnees[[#This Row],[Échantillon]])*(Donnees[Vues]=Donnees[[#This Row],[Vues]]))+1)/2</f>
        <v>59</v>
      </c>
      <c r="AG243" s="43">
        <f>SUMPRODUCT((Donnees[Échantillon]=Donnees[[#This Row],[Échantillon]])*(Donnees[Durée (s)]&lt;Donnees[[#This Row],[Durée (s)]]))+(SUMPRODUCT((Donnees[Échantillon]=Donnees[[#This Row],[Échantillon]])*(Donnees[Durée (s)]=Donnees[[#This Row],[Durée (s)]]))+1)/2</f>
        <v>22</v>
      </c>
      <c r="AH243" s="43">
        <f>SUMPRODUCT((Donnees[Échantillon]=Donnees[[#This Row],[Échantillon]])*(Donnees[Nb hashtags]&lt;Donnees[[#This Row],[Nb hashtags]]))+(SUMPRODUCT((Donnees[Échantillon]=Donnees[[#This Row],[Échantillon]])*(Donnees[Nb hashtags]=Donnees[[#This Row],[Nb hashtags]]))+1)/2</f>
        <v>83</v>
      </c>
      <c r="AI243" s="43">
        <f>SUMPRODUCT((Donnees[Échantillon]=Donnees[[#This Row],[Échantillon]])*(Donnees[Longueur du texte]&lt;Donnees[[#This Row],[Longueur du texte]]))+(SUMPRODUCT((Donnees[Échantillon]=Donnees[[#This Row],[Échantillon]])*(Donnees[Longueur du texte]=Donnees[[#This Row],[Longueur du texte]]))+1)/2</f>
        <v>82.5</v>
      </c>
      <c r="AJ243" s="43">
        <f>IF(Donnees[[#This Row],[Abonnés]]="","",SUMPRODUCT((Donnees[Échantillon]=Donnees[[#This Row],[Échantillon]])*(Donnees[Abonnés]&lt;Donnees[[#This Row],[Abonnés]]))+(SUMPRODUCT((Donnees[Échantillon]=Donnees[[#This Row],[Échantillon]])*(Donnees[Abonnés]=Donnees[[#This Row],[Abonnés]]))+1)/2)</f>
        <v>4</v>
      </c>
      <c r="AK243" s="43">
        <f>IF(Donnees[[#This Row],[Vidéos publiées]]="","",SUMPRODUCT((Donnees[Échantillon]=Donnees[[#This Row],[Échantillon]])*(Donnees[Vidéos publiées]&lt;Donnees[[#This Row],[Vidéos publiées]]))+(SUMPRODUCT((Donnees[Échantillon]=Donnees[[#This Row],[Échantillon]])*(Donnees[Vidéos publiées]=Donnees[[#This Row],[Vidéos publiées]]))+1)/2)</f>
        <v>26.5</v>
      </c>
    </row>
    <row r="244" spans="1:37" x14ac:dyDescent="0.2">
      <c r="A244" s="40" t="s">
        <v>237</v>
      </c>
      <c r="B244" s="40" t="s">
        <v>270</v>
      </c>
      <c r="C244" s="40" t="s">
        <v>50</v>
      </c>
      <c r="D244" s="40">
        <v>201</v>
      </c>
      <c r="E244" s="40" t="s">
        <v>47</v>
      </c>
      <c r="F244" s="40" t="str">
        <f>IF(OR(Donnees[[#This Row],[Jour]]="samedi",Donnees[[#This Row],[Jour]]="dimanche"),"Oui","Non")</f>
        <v>Non</v>
      </c>
      <c r="G244" s="40">
        <v>18</v>
      </c>
      <c r="H244" s="40" t="str">
        <f>IF(Donnees[[#This Row],[Heure UTC]]&lt;6,"0-5 h",IF(Donnees[[#This Row],[Heure UTC]]&lt;12,"6-11 h",IF(Donnees[[#This Row],[Heure UTC]]&lt;18,"12-17 h","18-23 h")))</f>
        <v>18-23 h</v>
      </c>
      <c r="I244" s="40">
        <v>39</v>
      </c>
      <c r="J244" s="40" t="str">
        <f>IF(Donnees[[#This Row],[Durée (s)]]&lt;=10,"1. ≤ 10 s",IF(Donnees[[#This Row],[Durée (s)]]&lt;=15,"2. 11-15 s",IF(Donnees[[#This Row],[Durée (s)]]&lt;=30,"3. 16-30 s",IF(Donnees[[#This Row],[Durée (s)]]&lt;=60,"4. 31-60 s","5. &gt; 60 s"))))</f>
        <v>4. 31-60 s</v>
      </c>
      <c r="K244" s="40" t="str">
        <f>IF(Donnees[[#This Row],[Durée (s)]]&gt;15,"Oui","Non")</f>
        <v>Oui</v>
      </c>
      <c r="L244" s="40">
        <v>13</v>
      </c>
      <c r="M244" s="40" t="s">
        <v>44</v>
      </c>
      <c r="N244" s="40">
        <v>0</v>
      </c>
      <c r="O244" s="40" t="s">
        <v>41</v>
      </c>
      <c r="P244" s="40" t="s">
        <v>41</v>
      </c>
      <c r="Q244" s="40" t="s">
        <v>41</v>
      </c>
      <c r="R244" s="40" t="s">
        <v>41</v>
      </c>
      <c r="S244" s="40" t="s">
        <v>44</v>
      </c>
      <c r="T244" s="41">
        <v>830400</v>
      </c>
      <c r="U244" s="40" t="str">
        <f>IF(Donnees[[#This Row],[Abonnés]]="","",IF(Donnees[[#This Row],[Abonnés]]&lt;1000000,"1. &lt; 1 M",IF(Donnees[[#This Row],[Abonnés]]&lt;3000000,"2. 1-3 M",IF(Donnees[[#This Row],[Abonnés]]&lt;8000000,"3. 3-8 M","4. ≥ 8 M"))))</f>
        <v>1. &lt; 1 M</v>
      </c>
      <c r="V244" s="41">
        <v>1101</v>
      </c>
      <c r="W244" s="41">
        <v>58400000</v>
      </c>
      <c r="X244" s="41">
        <v>6800000</v>
      </c>
      <c r="Y244" s="41">
        <v>71100</v>
      </c>
      <c r="Z244" s="41">
        <v>205700</v>
      </c>
      <c r="AA244" s="42">
        <f>(Donnees[[#This Row],[Likes]]+Donnees[[#This Row],[Commentaires]]+Donnees[[#This Row],[Partages]])/Donnees[[#This Row],[Vues]]</f>
        <v>0.12117808219178082</v>
      </c>
      <c r="AB244" s="40">
        <f>IF(Donnees[[#This Row],[Engagement]]&gt;=VLOOKUP(Donnees[[#This Row],[Échantillon]],'Méthode &amp; limites'!$B$9:$D$11,2,FALSE),1,0)</f>
        <v>0</v>
      </c>
      <c r="AC244" s="43">
        <f>IF(Donnees[[#This Row],[Abonnés]]="","",Donnees[[#This Row],[Vues]]/Donnees[[#This Row],[Abonnés]])</f>
        <v>70.327552986512529</v>
      </c>
      <c r="AD244" s="40" t="s">
        <v>44</v>
      </c>
      <c r="AE244" s="43">
        <f>SUMPRODUCT((Donnees[Échantillon]=Donnees[[#This Row],[Échantillon]])*(Donnees[Engagement]&lt;Donnees[[#This Row],[Engagement]]))+(SUMPRODUCT((Donnees[Échantillon]=Donnees[[#This Row],[Échantillon]])*(Donnees[Engagement]=Donnees[[#This Row],[Engagement]]))+1)/2</f>
        <v>23</v>
      </c>
      <c r="AF244" s="43">
        <f>SUMPRODUCT((Donnees[Échantillon]=Donnees[[#This Row],[Échantillon]])*(Donnees[Vues]&lt;Donnees[[#This Row],[Vues]]))+(SUMPRODUCT((Donnees[Échantillon]=Donnees[[#This Row],[Échantillon]])*(Donnees[Vues]=Donnees[[#This Row],[Vues]]))+1)/2</f>
        <v>58</v>
      </c>
      <c r="AG244" s="43">
        <f>SUMPRODUCT((Donnees[Échantillon]=Donnees[[#This Row],[Échantillon]])*(Donnees[Durée (s)]&lt;Donnees[[#This Row],[Durée (s)]]))+(SUMPRODUCT((Donnees[Échantillon]=Donnees[[#This Row],[Échantillon]])*(Donnees[Durée (s)]=Donnees[[#This Row],[Durée (s)]]))+1)/2</f>
        <v>80</v>
      </c>
      <c r="AH244" s="43">
        <f>SUMPRODUCT((Donnees[Échantillon]=Donnees[[#This Row],[Échantillon]])*(Donnees[Nb hashtags]&lt;Donnees[[#This Row],[Nb hashtags]]))+(SUMPRODUCT((Donnees[Échantillon]=Donnees[[#This Row],[Échantillon]])*(Donnees[Nb hashtags]=Donnees[[#This Row],[Nb hashtags]]))+1)/2</f>
        <v>87.5</v>
      </c>
      <c r="AI244" s="43">
        <f>SUMPRODUCT((Donnees[Échantillon]=Donnees[[#This Row],[Échantillon]])*(Donnees[Longueur du texte]&lt;Donnees[[#This Row],[Longueur du texte]]))+(SUMPRODUCT((Donnees[Échantillon]=Donnees[[#This Row],[Échantillon]])*(Donnees[Longueur du texte]=Donnees[[#This Row],[Longueur du texte]]))+1)/2</f>
        <v>6.5</v>
      </c>
      <c r="AJ244" s="43">
        <f>IF(Donnees[[#This Row],[Abonnés]]="","",SUMPRODUCT((Donnees[Échantillon]=Donnees[[#This Row],[Échantillon]])*(Donnees[Abonnés]&lt;Donnees[[#This Row],[Abonnés]]))+(SUMPRODUCT((Donnees[Échantillon]=Donnees[[#This Row],[Échantillon]])*(Donnees[Abonnés]=Donnees[[#This Row],[Abonnés]]))+1)/2)</f>
        <v>24</v>
      </c>
      <c r="AK244" s="43">
        <f>IF(Donnees[[#This Row],[Vidéos publiées]]="","",SUMPRODUCT((Donnees[Échantillon]=Donnees[[#This Row],[Échantillon]])*(Donnees[Vidéos publiées]&lt;Donnees[[#This Row],[Vidéos publiées]]))+(SUMPRODUCT((Donnees[Échantillon]=Donnees[[#This Row],[Échantillon]])*(Donnees[Vidéos publiées]=Donnees[[#This Row],[Vidéos publiées]]))+1)/2)</f>
        <v>95</v>
      </c>
    </row>
    <row r="245" spans="1:37" x14ac:dyDescent="0.2">
      <c r="A245" s="40" t="s">
        <v>237</v>
      </c>
      <c r="B245" s="40" t="s">
        <v>63</v>
      </c>
      <c r="C245" s="40" t="s">
        <v>62</v>
      </c>
      <c r="D245" s="40">
        <v>41</v>
      </c>
      <c r="E245" s="40" t="s">
        <v>59</v>
      </c>
      <c r="F245" s="40" t="str">
        <f>IF(OR(Donnees[[#This Row],[Jour]]="samedi",Donnees[[#This Row],[Jour]]="dimanche"),"Oui","Non")</f>
        <v>Non</v>
      </c>
      <c r="G245" s="40">
        <v>21</v>
      </c>
      <c r="H245" s="40" t="str">
        <f>IF(Donnees[[#This Row],[Heure UTC]]&lt;6,"0-5 h",IF(Donnees[[#This Row],[Heure UTC]]&lt;12,"6-11 h",IF(Donnees[[#This Row],[Heure UTC]]&lt;18,"12-17 h","18-23 h")))</f>
        <v>18-23 h</v>
      </c>
      <c r="I245" s="40">
        <v>47</v>
      </c>
      <c r="J245" s="40" t="str">
        <f>IF(Donnees[[#This Row],[Durée (s)]]&lt;=10,"1. ≤ 10 s",IF(Donnees[[#This Row],[Durée (s)]]&lt;=15,"2. 11-15 s",IF(Donnees[[#This Row],[Durée (s)]]&lt;=30,"3. 16-30 s",IF(Donnees[[#This Row],[Durée (s)]]&lt;=60,"4. 31-60 s","5. &gt; 60 s"))))</f>
        <v>4. 31-60 s</v>
      </c>
      <c r="K245" s="40" t="str">
        <f>IF(Donnees[[#This Row],[Durée (s)]]&gt;15,"Oui","Non")</f>
        <v>Oui</v>
      </c>
      <c r="L245" s="40">
        <v>7</v>
      </c>
      <c r="M245" s="40" t="s">
        <v>41</v>
      </c>
      <c r="N245" s="40">
        <v>34</v>
      </c>
      <c r="O245" s="40" t="s">
        <v>41</v>
      </c>
      <c r="P245" s="40" t="s">
        <v>41</v>
      </c>
      <c r="Q245" s="40" t="s">
        <v>41</v>
      </c>
      <c r="R245" s="40" t="s">
        <v>44</v>
      </c>
      <c r="S245" s="40" t="s">
        <v>44</v>
      </c>
      <c r="T245" s="41">
        <v>7300000</v>
      </c>
      <c r="U245" s="40" t="str">
        <f>IF(Donnees[[#This Row],[Abonnés]]="","",IF(Donnees[[#This Row],[Abonnés]]&lt;1000000,"1. &lt; 1 M",IF(Donnees[[#This Row],[Abonnés]]&lt;3000000,"2. 1-3 M",IF(Donnees[[#This Row],[Abonnés]]&lt;8000000,"3. 3-8 M","4. ≥ 8 M"))))</f>
        <v>3. 3-8 M</v>
      </c>
      <c r="V245" s="41">
        <v>538</v>
      </c>
      <c r="W245" s="41">
        <v>56600000</v>
      </c>
      <c r="X245" s="41">
        <v>8300000</v>
      </c>
      <c r="Y245" s="41">
        <v>55900</v>
      </c>
      <c r="Z245" s="41">
        <v>414200</v>
      </c>
      <c r="AA245" s="42">
        <f>(Donnees[[#This Row],[Likes]]+Donnees[[#This Row],[Commentaires]]+Donnees[[#This Row],[Partages]])/Donnees[[#This Row],[Vues]]</f>
        <v>0.15494876325088339</v>
      </c>
      <c r="AB245" s="40">
        <f>IF(Donnees[[#This Row],[Engagement]]&gt;=VLOOKUP(Donnees[[#This Row],[Échantillon]],'Méthode &amp; limites'!$B$9:$D$11,2,FALSE),1,0)</f>
        <v>0</v>
      </c>
      <c r="AC245" s="43">
        <f>IF(Donnees[[#This Row],[Abonnés]]="","",Donnees[[#This Row],[Vues]]/Donnees[[#This Row],[Abonnés]])</f>
        <v>7.7534246575342465</v>
      </c>
      <c r="AD245" s="40" t="s">
        <v>41</v>
      </c>
      <c r="AE245" s="43">
        <f>SUMPRODUCT((Donnees[Échantillon]=Donnees[[#This Row],[Échantillon]])*(Donnees[Engagement]&lt;Donnees[[#This Row],[Engagement]]))+(SUMPRODUCT((Donnees[Échantillon]=Donnees[[#This Row],[Échantillon]])*(Donnees[Engagement]=Donnees[[#This Row],[Engagement]]))+1)/2</f>
        <v>46</v>
      </c>
      <c r="AF245" s="43">
        <f>SUMPRODUCT((Donnees[Échantillon]=Donnees[[#This Row],[Échantillon]])*(Donnees[Vues]&lt;Donnees[[#This Row],[Vues]]))+(SUMPRODUCT((Donnees[Échantillon]=Donnees[[#This Row],[Échantillon]])*(Donnees[Vues]=Donnees[[#This Row],[Vues]]))+1)/2</f>
        <v>57</v>
      </c>
      <c r="AG245" s="43">
        <f>SUMPRODUCT((Donnees[Échantillon]=Donnees[[#This Row],[Échantillon]])*(Donnees[Durée (s)]&lt;Donnees[[#This Row],[Durée (s)]]))+(SUMPRODUCT((Donnees[Échantillon]=Donnees[[#This Row],[Échantillon]])*(Donnees[Durée (s)]=Donnees[[#This Row],[Durée (s)]]))+1)/2</f>
        <v>87</v>
      </c>
      <c r="AH245" s="43">
        <f>SUMPRODUCT((Donnees[Échantillon]=Donnees[[#This Row],[Échantillon]])*(Donnees[Nb hashtags]&lt;Donnees[[#This Row],[Nb hashtags]]))+(SUMPRODUCT((Donnees[Échantillon]=Donnees[[#This Row],[Échantillon]])*(Donnees[Nb hashtags]=Donnees[[#This Row],[Nb hashtags]]))+1)/2</f>
        <v>37.5</v>
      </c>
      <c r="AI245" s="43">
        <f>SUMPRODUCT((Donnees[Échantillon]=Donnees[[#This Row],[Échantillon]])*(Donnees[Longueur du texte]&lt;Donnees[[#This Row],[Longueur du texte]]))+(SUMPRODUCT((Donnees[Échantillon]=Donnees[[#This Row],[Échantillon]])*(Donnees[Longueur du texte]=Donnees[[#This Row],[Longueur du texte]]))+1)/2</f>
        <v>70</v>
      </c>
      <c r="AJ245" s="43">
        <f>IF(Donnees[[#This Row],[Abonnés]]="","",SUMPRODUCT((Donnees[Échantillon]=Donnees[[#This Row],[Échantillon]])*(Donnees[Abonnés]&lt;Donnees[[#This Row],[Abonnés]]))+(SUMPRODUCT((Donnees[Échantillon]=Donnees[[#This Row],[Échantillon]])*(Donnees[Abonnés]=Donnees[[#This Row],[Abonnés]]))+1)/2)</f>
        <v>71</v>
      </c>
      <c r="AK245" s="43">
        <f>IF(Donnees[[#This Row],[Vidéos publiées]]="","",SUMPRODUCT((Donnees[Échantillon]=Donnees[[#This Row],[Échantillon]])*(Donnees[Vidéos publiées]&lt;Donnees[[#This Row],[Vidéos publiées]]))+(SUMPRODUCT((Donnees[Échantillon]=Donnees[[#This Row],[Échantillon]])*(Donnees[Vidéos publiées]=Donnees[[#This Row],[Vidéos publiées]]))+1)/2)</f>
        <v>71</v>
      </c>
    </row>
    <row r="246" spans="1:37" x14ac:dyDescent="0.2">
      <c r="A246" s="40" t="s">
        <v>237</v>
      </c>
      <c r="B246" s="40" t="s">
        <v>271</v>
      </c>
      <c r="C246" s="40" t="s">
        <v>46</v>
      </c>
      <c r="D246" s="40">
        <v>364</v>
      </c>
      <c r="E246" s="40" t="s">
        <v>40</v>
      </c>
      <c r="F246" s="40" t="str">
        <f>IF(OR(Donnees[[#This Row],[Jour]]="samedi",Donnees[[#This Row],[Jour]]="dimanche"),"Oui","Non")</f>
        <v>Non</v>
      </c>
      <c r="G246" s="40">
        <v>0</v>
      </c>
      <c r="H246" s="40" t="str">
        <f>IF(Donnees[[#This Row],[Heure UTC]]&lt;6,"0-5 h",IF(Donnees[[#This Row],[Heure UTC]]&lt;12,"6-11 h",IF(Donnees[[#This Row],[Heure UTC]]&lt;18,"12-17 h","18-23 h")))</f>
        <v>0-5 h</v>
      </c>
      <c r="I246" s="40">
        <v>19</v>
      </c>
      <c r="J246" s="40" t="str">
        <f>IF(Donnees[[#This Row],[Durée (s)]]&lt;=10,"1. ≤ 10 s",IF(Donnees[[#This Row],[Durée (s)]]&lt;=15,"2. 11-15 s",IF(Donnees[[#This Row],[Durée (s)]]&lt;=30,"3. 16-30 s",IF(Donnees[[#This Row],[Durée (s)]]&lt;=60,"4. 31-60 s","5. &gt; 60 s"))))</f>
        <v>3. 16-30 s</v>
      </c>
      <c r="K246" s="40" t="str">
        <f>IF(Donnees[[#This Row],[Durée (s)]]&gt;15,"Oui","Non")</f>
        <v>Oui</v>
      </c>
      <c r="L246" s="40">
        <v>9</v>
      </c>
      <c r="M246" s="40" t="s">
        <v>44</v>
      </c>
      <c r="N246" s="40">
        <v>58</v>
      </c>
      <c r="O246" s="40" t="s">
        <v>41</v>
      </c>
      <c r="P246" s="40" t="s">
        <v>44</v>
      </c>
      <c r="Q246" s="40" t="s">
        <v>44</v>
      </c>
      <c r="R246" s="40" t="s">
        <v>44</v>
      </c>
      <c r="S246" s="40" t="s">
        <v>44</v>
      </c>
      <c r="T246" s="41">
        <v>4000000</v>
      </c>
      <c r="U246" s="40" t="str">
        <f>IF(Donnees[[#This Row],[Abonnés]]="","",IF(Donnees[[#This Row],[Abonnés]]&lt;1000000,"1. &lt; 1 M",IF(Donnees[[#This Row],[Abonnés]]&lt;3000000,"2. 1-3 M",IF(Donnees[[#This Row],[Abonnés]]&lt;8000000,"3. 3-8 M","4. ≥ 8 M"))))</f>
        <v>3. 3-8 M</v>
      </c>
      <c r="V246" s="41">
        <v>423</v>
      </c>
      <c r="W246" s="41">
        <v>56400000</v>
      </c>
      <c r="X246" s="41">
        <v>7500000</v>
      </c>
      <c r="Y246" s="41">
        <v>150400</v>
      </c>
      <c r="Z246" s="41">
        <v>255100</v>
      </c>
      <c r="AA246" s="42">
        <f>(Donnees[[#This Row],[Likes]]+Donnees[[#This Row],[Commentaires]]+Donnees[[#This Row],[Partages]])/Donnees[[#This Row],[Vues]]</f>
        <v>0.14016843971631204</v>
      </c>
      <c r="AB246" s="40">
        <f>IF(Donnees[[#This Row],[Engagement]]&gt;=VLOOKUP(Donnees[[#This Row],[Échantillon]],'Méthode &amp; limites'!$B$9:$D$11,2,FALSE),1,0)</f>
        <v>0</v>
      </c>
      <c r="AC246" s="43">
        <f>IF(Donnees[[#This Row],[Abonnés]]="","",Donnees[[#This Row],[Vues]]/Donnees[[#This Row],[Abonnés]])</f>
        <v>14.1</v>
      </c>
      <c r="AD246" s="40" t="s">
        <v>44</v>
      </c>
      <c r="AE246" s="43">
        <f>SUMPRODUCT((Donnees[Échantillon]=Donnees[[#This Row],[Échantillon]])*(Donnees[Engagement]&lt;Donnees[[#This Row],[Engagement]]))+(SUMPRODUCT((Donnees[Échantillon]=Donnees[[#This Row],[Échantillon]])*(Donnees[Engagement]=Donnees[[#This Row],[Engagement]]))+1)/2</f>
        <v>34</v>
      </c>
      <c r="AF246" s="43">
        <f>SUMPRODUCT((Donnees[Échantillon]=Donnees[[#This Row],[Échantillon]])*(Donnees[Vues]&lt;Donnees[[#This Row],[Vues]]))+(SUMPRODUCT((Donnees[Échantillon]=Donnees[[#This Row],[Échantillon]])*(Donnees[Vues]=Donnees[[#This Row],[Vues]]))+1)/2</f>
        <v>56</v>
      </c>
      <c r="AG246" s="43">
        <f>SUMPRODUCT((Donnees[Échantillon]=Donnees[[#This Row],[Échantillon]])*(Donnees[Durée (s)]&lt;Donnees[[#This Row],[Durée (s)]]))+(SUMPRODUCT((Donnees[Échantillon]=Donnees[[#This Row],[Échantillon]])*(Donnees[Durée (s)]=Donnees[[#This Row],[Durée (s)]]))+1)/2</f>
        <v>56.5</v>
      </c>
      <c r="AH246" s="43">
        <f>SUMPRODUCT((Donnees[Échantillon]=Donnees[[#This Row],[Échantillon]])*(Donnees[Nb hashtags]&lt;Donnees[[#This Row],[Nb hashtags]]))+(SUMPRODUCT((Donnees[Échantillon]=Donnees[[#This Row],[Échantillon]])*(Donnees[Nb hashtags]=Donnees[[#This Row],[Nb hashtags]]))+1)/2</f>
        <v>60</v>
      </c>
      <c r="AI246" s="43">
        <f>SUMPRODUCT((Donnees[Échantillon]=Donnees[[#This Row],[Échantillon]])*(Donnees[Longueur du texte]&lt;Donnees[[#This Row],[Longueur du texte]]))+(SUMPRODUCT((Donnees[Échantillon]=Donnees[[#This Row],[Échantillon]])*(Donnees[Longueur du texte]=Donnees[[#This Row],[Longueur du texte]]))+1)/2</f>
        <v>89</v>
      </c>
      <c r="AJ246" s="43">
        <f>IF(Donnees[[#This Row],[Abonnés]]="","",SUMPRODUCT((Donnees[Échantillon]=Donnees[[#This Row],[Échantillon]])*(Donnees[Abonnés]&lt;Donnees[[#This Row],[Abonnés]]))+(SUMPRODUCT((Donnees[Échantillon]=Donnees[[#This Row],[Échantillon]])*(Donnees[Abonnés]=Donnees[[#This Row],[Abonnés]]))+1)/2)</f>
        <v>54</v>
      </c>
      <c r="AK246" s="43">
        <f>IF(Donnees[[#This Row],[Vidéos publiées]]="","",SUMPRODUCT((Donnees[Échantillon]=Donnees[[#This Row],[Échantillon]])*(Donnees[Vidéos publiées]&lt;Donnees[[#This Row],[Vidéos publiées]]))+(SUMPRODUCT((Donnees[Échantillon]=Donnees[[#This Row],[Échantillon]])*(Donnees[Vidéos publiées]=Donnees[[#This Row],[Vidéos publiées]]))+1)/2)</f>
        <v>64</v>
      </c>
    </row>
    <row r="247" spans="1:37" x14ac:dyDescent="0.2">
      <c r="A247" s="40" t="s">
        <v>237</v>
      </c>
      <c r="B247" s="40" t="s">
        <v>260</v>
      </c>
      <c r="C247" s="40" t="s">
        <v>46</v>
      </c>
      <c r="D247" s="40">
        <v>621</v>
      </c>
      <c r="E247" s="40" t="s">
        <v>47</v>
      </c>
      <c r="F247" s="40" t="str">
        <f>IF(OR(Donnees[[#This Row],[Jour]]="samedi",Donnees[[#This Row],[Jour]]="dimanche"),"Oui","Non")</f>
        <v>Non</v>
      </c>
      <c r="G247" s="40">
        <v>12</v>
      </c>
      <c r="H247" s="40" t="str">
        <f>IF(Donnees[[#This Row],[Heure UTC]]&lt;6,"0-5 h",IF(Donnees[[#This Row],[Heure UTC]]&lt;12,"6-11 h",IF(Donnees[[#This Row],[Heure UTC]]&lt;18,"12-17 h","18-23 h")))</f>
        <v>12-17 h</v>
      </c>
      <c r="I247" s="40">
        <v>26</v>
      </c>
      <c r="J247" s="40" t="str">
        <f>IF(Donnees[[#This Row],[Durée (s)]]&lt;=10,"1. ≤ 10 s",IF(Donnees[[#This Row],[Durée (s)]]&lt;=15,"2. 11-15 s",IF(Donnees[[#This Row],[Durée (s)]]&lt;=30,"3. 16-30 s",IF(Donnees[[#This Row],[Durée (s)]]&lt;=60,"4. 31-60 s","5. &gt; 60 s"))))</f>
        <v>3. 16-30 s</v>
      </c>
      <c r="K247" s="40" t="str">
        <f>IF(Donnees[[#This Row],[Durée (s)]]&gt;15,"Oui","Non")</f>
        <v>Oui</v>
      </c>
      <c r="L247" s="40">
        <v>10</v>
      </c>
      <c r="M247" s="40" t="s">
        <v>44</v>
      </c>
      <c r="N247" s="40">
        <v>39</v>
      </c>
      <c r="O247" s="40" t="s">
        <v>41</v>
      </c>
      <c r="P247" s="40" t="s">
        <v>41</v>
      </c>
      <c r="Q247" s="40" t="s">
        <v>44</v>
      </c>
      <c r="R247" s="40" t="s">
        <v>44</v>
      </c>
      <c r="S247" s="40" t="s">
        <v>44</v>
      </c>
      <c r="T247" s="41">
        <v>19700000</v>
      </c>
      <c r="U247" s="40" t="str">
        <f>IF(Donnees[[#This Row],[Abonnés]]="","",IF(Donnees[[#This Row],[Abonnés]]&lt;1000000,"1. &lt; 1 M",IF(Donnees[[#This Row],[Abonnés]]&lt;3000000,"2. 1-3 M",IF(Donnees[[#This Row],[Abonnés]]&lt;8000000,"3. 3-8 M","4. ≥ 8 M"))))</f>
        <v>4. ≥ 8 M</v>
      </c>
      <c r="V247" s="41">
        <v>314</v>
      </c>
      <c r="W247" s="41">
        <v>55400000</v>
      </c>
      <c r="X247" s="41">
        <v>6900000</v>
      </c>
      <c r="Y247" s="41">
        <v>10500</v>
      </c>
      <c r="Z247" s="41">
        <v>136400</v>
      </c>
      <c r="AA247" s="42">
        <f>(Donnees[[#This Row],[Likes]]+Donnees[[#This Row],[Commentaires]]+Donnees[[#This Row],[Partages]])/Donnees[[#This Row],[Vues]]</f>
        <v>0.12720036101083032</v>
      </c>
      <c r="AB247" s="40">
        <f>IF(Donnees[[#This Row],[Engagement]]&gt;=VLOOKUP(Donnees[[#This Row],[Échantillon]],'Méthode &amp; limites'!$B$9:$D$11,2,FALSE),1,0)</f>
        <v>0</v>
      </c>
      <c r="AC247" s="43">
        <f>IF(Donnees[[#This Row],[Abonnés]]="","",Donnees[[#This Row],[Vues]]/Donnees[[#This Row],[Abonnés]])</f>
        <v>2.8121827411167515</v>
      </c>
      <c r="AD247" s="40" t="s">
        <v>44</v>
      </c>
      <c r="AE247" s="43">
        <f>SUMPRODUCT((Donnees[Échantillon]=Donnees[[#This Row],[Échantillon]])*(Donnees[Engagement]&lt;Donnees[[#This Row],[Engagement]]))+(SUMPRODUCT((Donnees[Échantillon]=Donnees[[#This Row],[Échantillon]])*(Donnees[Engagement]=Donnees[[#This Row],[Engagement]]))+1)/2</f>
        <v>24</v>
      </c>
      <c r="AF247" s="43">
        <f>SUMPRODUCT((Donnees[Échantillon]=Donnees[[#This Row],[Échantillon]])*(Donnees[Vues]&lt;Donnees[[#This Row],[Vues]]))+(SUMPRODUCT((Donnees[Échantillon]=Donnees[[#This Row],[Échantillon]])*(Donnees[Vues]=Donnees[[#This Row],[Vues]]))+1)/2</f>
        <v>55</v>
      </c>
      <c r="AG247" s="43">
        <f>SUMPRODUCT((Donnees[Échantillon]=Donnees[[#This Row],[Échantillon]])*(Donnees[Durée (s)]&lt;Donnees[[#This Row],[Durée (s)]]))+(SUMPRODUCT((Donnees[Échantillon]=Donnees[[#This Row],[Échantillon]])*(Donnees[Durée (s)]=Donnees[[#This Row],[Durée (s)]]))+1)/2</f>
        <v>68</v>
      </c>
      <c r="AH247" s="43">
        <f>SUMPRODUCT((Donnees[Échantillon]=Donnees[[#This Row],[Échantillon]])*(Donnees[Nb hashtags]&lt;Donnees[[#This Row],[Nb hashtags]]))+(SUMPRODUCT((Donnees[Échantillon]=Donnees[[#This Row],[Échantillon]])*(Donnees[Nb hashtags]=Donnees[[#This Row],[Nb hashtags]]))+1)/2</f>
        <v>71.5</v>
      </c>
      <c r="AI247" s="43">
        <f>SUMPRODUCT((Donnees[Échantillon]=Donnees[[#This Row],[Échantillon]])*(Donnees[Longueur du texte]&lt;Donnees[[#This Row],[Longueur du texte]]))+(SUMPRODUCT((Donnees[Échantillon]=Donnees[[#This Row],[Échantillon]])*(Donnees[Longueur du texte]=Donnees[[#This Row],[Longueur du texte]]))+1)/2</f>
        <v>73</v>
      </c>
      <c r="AJ247" s="43">
        <f>IF(Donnees[[#This Row],[Abonnés]]="","",SUMPRODUCT((Donnees[Échantillon]=Donnees[[#This Row],[Échantillon]])*(Donnees[Abonnés]&lt;Donnees[[#This Row],[Abonnés]]))+(SUMPRODUCT((Donnees[Échantillon]=Donnees[[#This Row],[Échantillon]])*(Donnees[Abonnés]=Donnees[[#This Row],[Abonnés]]))+1)/2)</f>
        <v>92.5</v>
      </c>
      <c r="AK247" s="43">
        <f>IF(Donnees[[#This Row],[Vidéos publiées]]="","",SUMPRODUCT((Donnees[Échantillon]=Donnees[[#This Row],[Échantillon]])*(Donnees[Vidéos publiées]&lt;Donnees[[#This Row],[Vidéos publiées]]))+(SUMPRODUCT((Donnees[Échantillon]=Donnees[[#This Row],[Échantillon]])*(Donnees[Vidéos publiées]=Donnees[[#This Row],[Vidéos publiées]]))+1)/2)</f>
        <v>55.5</v>
      </c>
    </row>
    <row r="248" spans="1:37" x14ac:dyDescent="0.2">
      <c r="A248" s="40" t="s">
        <v>237</v>
      </c>
      <c r="B248" s="40" t="s">
        <v>272</v>
      </c>
      <c r="C248" s="40" t="s">
        <v>50</v>
      </c>
      <c r="D248" s="40">
        <v>392</v>
      </c>
      <c r="E248" s="40" t="s">
        <v>40</v>
      </c>
      <c r="F248" s="40" t="str">
        <f>IF(OR(Donnees[[#This Row],[Jour]]="samedi",Donnees[[#This Row],[Jour]]="dimanche"),"Oui","Non")</f>
        <v>Non</v>
      </c>
      <c r="G248" s="40">
        <v>17</v>
      </c>
      <c r="H248" s="40" t="str">
        <f>IF(Donnees[[#This Row],[Heure UTC]]&lt;6,"0-5 h",IF(Donnees[[#This Row],[Heure UTC]]&lt;12,"6-11 h",IF(Donnees[[#This Row],[Heure UTC]]&lt;18,"12-17 h","18-23 h")))</f>
        <v>12-17 h</v>
      </c>
      <c r="I248" s="40">
        <v>52</v>
      </c>
      <c r="J248" s="40" t="str">
        <f>IF(Donnees[[#This Row],[Durée (s)]]&lt;=10,"1. ≤ 10 s",IF(Donnees[[#This Row],[Durée (s)]]&lt;=15,"2. 11-15 s",IF(Donnees[[#This Row],[Durée (s)]]&lt;=30,"3. 16-30 s",IF(Donnees[[#This Row],[Durée (s)]]&lt;=60,"4. 31-60 s","5. &gt; 60 s"))))</f>
        <v>4. 31-60 s</v>
      </c>
      <c r="K248" s="40" t="str">
        <f>IF(Donnees[[#This Row],[Durée (s)]]&gt;15,"Oui","Non")</f>
        <v>Oui</v>
      </c>
      <c r="L248" s="40">
        <v>6</v>
      </c>
      <c r="M248" s="40" t="s">
        <v>44</v>
      </c>
      <c r="N248" s="40">
        <v>42</v>
      </c>
      <c r="O248" s="40" t="s">
        <v>41</v>
      </c>
      <c r="P248" s="40" t="s">
        <v>44</v>
      </c>
      <c r="Q248" s="40" t="s">
        <v>41</v>
      </c>
      <c r="R248" s="40" t="s">
        <v>44</v>
      </c>
      <c r="S248" s="40" t="s">
        <v>44</v>
      </c>
      <c r="T248" s="41">
        <v>6300000</v>
      </c>
      <c r="U248" s="40" t="str">
        <f>IF(Donnees[[#This Row],[Abonnés]]="","",IF(Donnees[[#This Row],[Abonnés]]&lt;1000000,"1. &lt; 1 M",IF(Donnees[[#This Row],[Abonnés]]&lt;3000000,"2. 1-3 M",IF(Donnees[[#This Row],[Abonnés]]&lt;8000000,"3. 3-8 M","4. ≥ 8 M"))))</f>
        <v>3. 3-8 M</v>
      </c>
      <c r="V248" s="41">
        <v>1095</v>
      </c>
      <c r="W248" s="41">
        <v>55200000</v>
      </c>
      <c r="X248" s="41">
        <v>9700000</v>
      </c>
      <c r="Y248" s="41">
        <v>99000</v>
      </c>
      <c r="Z248" s="41">
        <v>712400</v>
      </c>
      <c r="AA248" s="42">
        <f>(Donnees[[#This Row],[Likes]]+Donnees[[#This Row],[Commentaires]]+Donnees[[#This Row],[Partages]])/Donnees[[#This Row],[Vues]]</f>
        <v>0.19042391304347825</v>
      </c>
      <c r="AB248" s="40">
        <f>IF(Donnees[[#This Row],[Engagement]]&gt;=VLOOKUP(Donnees[[#This Row],[Échantillon]],'Méthode &amp; limites'!$B$9:$D$11,2,FALSE),1,0)</f>
        <v>0</v>
      </c>
      <c r="AC248" s="43">
        <f>IF(Donnees[[#This Row],[Abonnés]]="","",Donnees[[#This Row],[Vues]]/Donnees[[#This Row],[Abonnés]])</f>
        <v>8.7619047619047628</v>
      </c>
      <c r="AD248" s="40" t="s">
        <v>44</v>
      </c>
      <c r="AE248" s="43">
        <f>SUMPRODUCT((Donnees[Échantillon]=Donnees[[#This Row],[Échantillon]])*(Donnees[Engagement]&lt;Donnees[[#This Row],[Engagement]]))+(SUMPRODUCT((Donnees[Échantillon]=Donnees[[#This Row],[Échantillon]])*(Donnees[Engagement]=Donnees[[#This Row],[Engagement]]))+1)/2</f>
        <v>67</v>
      </c>
      <c r="AF248" s="43">
        <f>SUMPRODUCT((Donnees[Échantillon]=Donnees[[#This Row],[Échantillon]])*(Donnees[Vues]&lt;Donnees[[#This Row],[Vues]]))+(SUMPRODUCT((Donnees[Échantillon]=Donnees[[#This Row],[Échantillon]])*(Donnees[Vues]=Donnees[[#This Row],[Vues]]))+1)/2</f>
        <v>53.5</v>
      </c>
      <c r="AG248" s="43">
        <f>SUMPRODUCT((Donnees[Échantillon]=Donnees[[#This Row],[Échantillon]])*(Donnees[Durée (s)]&lt;Donnees[[#This Row],[Durée (s)]]))+(SUMPRODUCT((Donnees[Échantillon]=Donnees[[#This Row],[Échantillon]])*(Donnees[Durée (s)]=Donnees[[#This Row],[Durée (s)]]))+1)/2</f>
        <v>90</v>
      </c>
      <c r="AH248" s="43">
        <f>SUMPRODUCT((Donnees[Échantillon]=Donnees[[#This Row],[Échantillon]])*(Donnees[Nb hashtags]&lt;Donnees[[#This Row],[Nb hashtags]]))+(SUMPRODUCT((Donnees[Échantillon]=Donnees[[#This Row],[Échantillon]])*(Donnees[Nb hashtags]=Donnees[[#This Row],[Nb hashtags]]))+1)/2</f>
        <v>30</v>
      </c>
      <c r="AI248" s="43">
        <f>SUMPRODUCT((Donnees[Échantillon]=Donnees[[#This Row],[Échantillon]])*(Donnees[Longueur du texte]&lt;Donnees[[#This Row],[Longueur du texte]]))+(SUMPRODUCT((Donnees[Échantillon]=Donnees[[#This Row],[Échantillon]])*(Donnees[Longueur du texte]=Donnees[[#This Row],[Longueur du texte]]))+1)/2</f>
        <v>76</v>
      </c>
      <c r="AJ248" s="43">
        <f>IF(Donnees[[#This Row],[Abonnés]]="","",SUMPRODUCT((Donnees[Échantillon]=Donnees[[#This Row],[Échantillon]])*(Donnees[Abonnés]&lt;Donnees[[#This Row],[Abonnés]]))+(SUMPRODUCT((Donnees[Échantillon]=Donnees[[#This Row],[Échantillon]])*(Donnees[Abonnés]=Donnees[[#This Row],[Abonnés]]))+1)/2)</f>
        <v>68</v>
      </c>
      <c r="AK248" s="43">
        <f>IF(Donnees[[#This Row],[Vidéos publiées]]="","",SUMPRODUCT((Donnees[Échantillon]=Donnees[[#This Row],[Échantillon]])*(Donnees[Vidéos publiées]&lt;Donnees[[#This Row],[Vidéos publiées]]))+(SUMPRODUCT((Donnees[Échantillon]=Donnees[[#This Row],[Échantillon]])*(Donnees[Vidéos publiées]=Donnees[[#This Row],[Vidéos publiées]]))+1)/2)</f>
        <v>94</v>
      </c>
    </row>
    <row r="249" spans="1:37" x14ac:dyDescent="0.2">
      <c r="A249" s="40" t="s">
        <v>237</v>
      </c>
      <c r="B249" s="40" t="s">
        <v>273</v>
      </c>
      <c r="C249" s="40" t="s">
        <v>50</v>
      </c>
      <c r="D249" s="40">
        <v>92</v>
      </c>
      <c r="E249" s="40" t="s">
        <v>71</v>
      </c>
      <c r="F249" s="40" t="str">
        <f>IF(OR(Donnees[[#This Row],[Jour]]="samedi",Donnees[[#This Row],[Jour]]="dimanche"),"Oui","Non")</f>
        <v>Non</v>
      </c>
      <c r="G249" s="40">
        <v>6</v>
      </c>
      <c r="H249" s="40" t="str">
        <f>IF(Donnees[[#This Row],[Heure UTC]]&lt;6,"0-5 h",IF(Donnees[[#This Row],[Heure UTC]]&lt;12,"6-11 h",IF(Donnees[[#This Row],[Heure UTC]]&lt;18,"12-17 h","18-23 h")))</f>
        <v>6-11 h</v>
      </c>
      <c r="I249" s="40">
        <v>13</v>
      </c>
      <c r="J249" s="40" t="str">
        <f>IF(Donnees[[#This Row],[Durée (s)]]&lt;=10,"1. ≤ 10 s",IF(Donnees[[#This Row],[Durée (s)]]&lt;=15,"2. 11-15 s",IF(Donnees[[#This Row],[Durée (s)]]&lt;=30,"3. 16-30 s",IF(Donnees[[#This Row],[Durée (s)]]&lt;=60,"4. 31-60 s","5. &gt; 60 s"))))</f>
        <v>2. 11-15 s</v>
      </c>
      <c r="K249" s="40" t="str">
        <f>IF(Donnees[[#This Row],[Durée (s)]]&gt;15,"Oui","Non")</f>
        <v>Non</v>
      </c>
      <c r="L249" s="40">
        <v>11</v>
      </c>
      <c r="M249" s="40" t="s">
        <v>44</v>
      </c>
      <c r="N249" s="40">
        <v>15</v>
      </c>
      <c r="O249" s="40" t="s">
        <v>41</v>
      </c>
      <c r="P249" s="40" t="s">
        <v>41</v>
      </c>
      <c r="Q249" s="40" t="s">
        <v>41</v>
      </c>
      <c r="R249" s="40" t="s">
        <v>44</v>
      </c>
      <c r="S249" s="40" t="s">
        <v>44</v>
      </c>
      <c r="T249" s="41">
        <v>550300</v>
      </c>
      <c r="U249" s="40" t="str">
        <f>IF(Donnees[[#This Row],[Abonnés]]="","",IF(Donnees[[#This Row],[Abonnés]]&lt;1000000,"1. &lt; 1 M",IF(Donnees[[#This Row],[Abonnés]]&lt;3000000,"2. 1-3 M",IF(Donnees[[#This Row],[Abonnés]]&lt;8000000,"3. 3-8 M","4. ≥ 8 M"))))</f>
        <v>1. &lt; 1 M</v>
      </c>
      <c r="V249" s="41">
        <v>1</v>
      </c>
      <c r="W249" s="41">
        <v>55200000</v>
      </c>
      <c r="X249" s="41">
        <v>7100000</v>
      </c>
      <c r="Y249" s="41">
        <v>30500</v>
      </c>
      <c r="Z249" s="41">
        <v>89700</v>
      </c>
      <c r="AA249" s="42">
        <f>(Donnees[[#This Row],[Likes]]+Donnees[[#This Row],[Commentaires]]+Donnees[[#This Row],[Partages]])/Donnees[[#This Row],[Vues]]</f>
        <v>0.13080072463768116</v>
      </c>
      <c r="AB249" s="40">
        <f>IF(Donnees[[#This Row],[Engagement]]&gt;=VLOOKUP(Donnees[[#This Row],[Échantillon]],'Méthode &amp; limites'!$B$9:$D$11,2,FALSE),1,0)</f>
        <v>0</v>
      </c>
      <c r="AC249" s="43">
        <f>IF(Donnees[[#This Row],[Abonnés]]="","",Donnees[[#This Row],[Vues]]/Donnees[[#This Row],[Abonnés]])</f>
        <v>100.30892240596039</v>
      </c>
      <c r="AD249" s="40" t="s">
        <v>44</v>
      </c>
      <c r="AE249" s="43">
        <f>SUMPRODUCT((Donnees[Échantillon]=Donnees[[#This Row],[Échantillon]])*(Donnees[Engagement]&lt;Donnees[[#This Row],[Engagement]]))+(SUMPRODUCT((Donnees[Échantillon]=Donnees[[#This Row],[Échantillon]])*(Donnees[Engagement]=Donnees[[#This Row],[Engagement]]))+1)/2</f>
        <v>28</v>
      </c>
      <c r="AF249" s="43">
        <f>SUMPRODUCT((Donnees[Échantillon]=Donnees[[#This Row],[Échantillon]])*(Donnees[Vues]&lt;Donnees[[#This Row],[Vues]]))+(SUMPRODUCT((Donnees[Échantillon]=Donnees[[#This Row],[Échantillon]])*(Donnees[Vues]=Donnees[[#This Row],[Vues]]))+1)/2</f>
        <v>53.5</v>
      </c>
      <c r="AG249" s="43">
        <f>SUMPRODUCT((Donnees[Échantillon]=Donnees[[#This Row],[Échantillon]])*(Donnees[Durée (s)]&lt;Donnees[[#This Row],[Durée (s)]]))+(SUMPRODUCT((Donnees[Échantillon]=Donnees[[#This Row],[Échantillon]])*(Donnees[Durée (s)]=Donnees[[#This Row],[Durée (s)]]))+1)/2</f>
        <v>33.5</v>
      </c>
      <c r="AH249" s="43">
        <f>SUMPRODUCT((Donnees[Échantillon]=Donnees[[#This Row],[Échantillon]])*(Donnees[Nb hashtags]&lt;Donnees[[#This Row],[Nb hashtags]]))+(SUMPRODUCT((Donnees[Échantillon]=Donnees[[#This Row],[Échantillon]])*(Donnees[Nb hashtags]=Donnees[[#This Row],[Nb hashtags]]))+1)/2</f>
        <v>79</v>
      </c>
      <c r="AI249" s="43">
        <f>SUMPRODUCT((Donnees[Échantillon]=Donnees[[#This Row],[Échantillon]])*(Donnees[Longueur du texte]&lt;Donnees[[#This Row],[Longueur du texte]]))+(SUMPRODUCT((Donnees[Échantillon]=Donnees[[#This Row],[Échantillon]])*(Donnees[Longueur du texte]=Donnees[[#This Row],[Longueur du texte]]))+1)/2</f>
        <v>38.5</v>
      </c>
      <c r="AJ249" s="43">
        <f>IF(Donnees[[#This Row],[Abonnés]]="","",SUMPRODUCT((Donnees[Échantillon]=Donnees[[#This Row],[Échantillon]])*(Donnees[Abonnés]&lt;Donnees[[#This Row],[Abonnés]]))+(SUMPRODUCT((Donnees[Échantillon]=Donnees[[#This Row],[Échantillon]])*(Donnees[Abonnés]=Donnees[[#This Row],[Abonnés]]))+1)/2)</f>
        <v>21</v>
      </c>
      <c r="AK249" s="43">
        <f>IF(Donnees[[#This Row],[Vidéos publiées]]="","",SUMPRODUCT((Donnees[Échantillon]=Donnees[[#This Row],[Échantillon]])*(Donnees[Vidéos publiées]&lt;Donnees[[#This Row],[Vidéos publiées]]))+(SUMPRODUCT((Donnees[Échantillon]=Donnees[[#This Row],[Échantillon]])*(Donnees[Vidéos publiées]=Donnees[[#This Row],[Vidéos publiées]]))+1)/2)</f>
        <v>1</v>
      </c>
    </row>
    <row r="250" spans="1:37" x14ac:dyDescent="0.2">
      <c r="A250" s="40" t="s">
        <v>237</v>
      </c>
      <c r="B250" s="40" t="s">
        <v>274</v>
      </c>
      <c r="C250" s="40" t="s">
        <v>46</v>
      </c>
      <c r="D250" s="40">
        <v>119</v>
      </c>
      <c r="E250" s="40" t="s">
        <v>40</v>
      </c>
      <c r="F250" s="40" t="str">
        <f>IF(OR(Donnees[[#This Row],[Jour]]="samedi",Donnees[[#This Row],[Jour]]="dimanche"),"Oui","Non")</f>
        <v>Non</v>
      </c>
      <c r="G250" s="40">
        <v>3</v>
      </c>
      <c r="H250" s="40" t="str">
        <f>IF(Donnees[[#This Row],[Heure UTC]]&lt;6,"0-5 h",IF(Donnees[[#This Row],[Heure UTC]]&lt;12,"6-11 h",IF(Donnees[[#This Row],[Heure UTC]]&lt;18,"12-17 h","18-23 h")))</f>
        <v>0-5 h</v>
      </c>
      <c r="I250" s="40">
        <v>9</v>
      </c>
      <c r="J250" s="40" t="str">
        <f>IF(Donnees[[#This Row],[Durée (s)]]&lt;=10,"1. ≤ 10 s",IF(Donnees[[#This Row],[Durée (s)]]&lt;=15,"2. 11-15 s",IF(Donnees[[#This Row],[Durée (s)]]&lt;=30,"3. 16-30 s",IF(Donnees[[#This Row],[Durée (s)]]&lt;=60,"4. 31-60 s","5. &gt; 60 s"))))</f>
        <v>1. ≤ 10 s</v>
      </c>
      <c r="K250" s="40" t="str">
        <f>IF(Donnees[[#This Row],[Durée (s)]]&gt;15,"Oui","Non")</f>
        <v>Non</v>
      </c>
      <c r="L250" s="40">
        <v>16</v>
      </c>
      <c r="M250" s="40" t="s">
        <v>44</v>
      </c>
      <c r="N250" s="40">
        <v>0</v>
      </c>
      <c r="O250" s="40" t="s">
        <v>41</v>
      </c>
      <c r="P250" s="40" t="s">
        <v>41</v>
      </c>
      <c r="Q250" s="40" t="s">
        <v>41</v>
      </c>
      <c r="R250" s="40" t="s">
        <v>41</v>
      </c>
      <c r="S250" s="40" t="s">
        <v>44</v>
      </c>
      <c r="T250" s="41">
        <v>3000000</v>
      </c>
      <c r="U250" s="40" t="str">
        <f>IF(Donnees[[#This Row],[Abonnés]]="","",IF(Donnees[[#This Row],[Abonnés]]&lt;1000000,"1. &lt; 1 M",IF(Donnees[[#This Row],[Abonnés]]&lt;3000000,"2. 1-3 M",IF(Donnees[[#This Row],[Abonnés]]&lt;8000000,"3. 3-8 M","4. ≥ 8 M"))))</f>
        <v>3. 3-8 M</v>
      </c>
      <c r="V250" s="41">
        <v>722</v>
      </c>
      <c r="W250" s="41">
        <v>55100000</v>
      </c>
      <c r="X250" s="41">
        <v>6900000</v>
      </c>
      <c r="Y250" s="41">
        <v>74900</v>
      </c>
      <c r="Z250" s="41">
        <v>118100</v>
      </c>
      <c r="AA250" s="42">
        <f>(Donnees[[#This Row],[Likes]]+Donnees[[#This Row],[Commentaires]]+Donnees[[#This Row],[Partages]])/Donnees[[#This Row],[Vues]]</f>
        <v>0.12872958257713249</v>
      </c>
      <c r="AB250" s="40">
        <f>IF(Donnees[[#This Row],[Engagement]]&gt;=VLOOKUP(Donnees[[#This Row],[Échantillon]],'Méthode &amp; limites'!$B$9:$D$11,2,FALSE),1,0)</f>
        <v>0</v>
      </c>
      <c r="AC250" s="43">
        <f>IF(Donnees[[#This Row],[Abonnés]]="","",Donnees[[#This Row],[Vues]]/Donnees[[#This Row],[Abonnés]])</f>
        <v>18.366666666666667</v>
      </c>
      <c r="AD250" s="40" t="s">
        <v>44</v>
      </c>
      <c r="AE250" s="43">
        <f>SUMPRODUCT((Donnees[Échantillon]=Donnees[[#This Row],[Échantillon]])*(Donnees[Engagement]&lt;Donnees[[#This Row],[Engagement]]))+(SUMPRODUCT((Donnees[Échantillon]=Donnees[[#This Row],[Échantillon]])*(Donnees[Engagement]=Donnees[[#This Row],[Engagement]]))+1)/2</f>
        <v>25</v>
      </c>
      <c r="AF250" s="43">
        <f>SUMPRODUCT((Donnees[Échantillon]=Donnees[[#This Row],[Échantillon]])*(Donnees[Vues]&lt;Donnees[[#This Row],[Vues]]))+(SUMPRODUCT((Donnees[Échantillon]=Donnees[[#This Row],[Échantillon]])*(Donnees[Vues]=Donnees[[#This Row],[Vues]]))+1)/2</f>
        <v>52</v>
      </c>
      <c r="AG250" s="43">
        <f>SUMPRODUCT((Donnees[Échantillon]=Donnees[[#This Row],[Échantillon]])*(Donnees[Durée (s)]&lt;Donnees[[#This Row],[Durée (s)]]))+(SUMPRODUCT((Donnees[Échantillon]=Donnees[[#This Row],[Échantillon]])*(Donnees[Durée (s)]=Donnees[[#This Row],[Durée (s)]]))+1)/2</f>
        <v>14</v>
      </c>
      <c r="AH250" s="43">
        <f>SUMPRODUCT((Donnees[Échantillon]=Donnees[[#This Row],[Échantillon]])*(Donnees[Nb hashtags]&lt;Donnees[[#This Row],[Nb hashtags]]))+(SUMPRODUCT((Donnees[Échantillon]=Donnees[[#This Row],[Échantillon]])*(Donnees[Nb hashtags]=Donnees[[#This Row],[Nb hashtags]]))+1)/2</f>
        <v>92.5</v>
      </c>
      <c r="AI250" s="43">
        <f>SUMPRODUCT((Donnees[Échantillon]=Donnees[[#This Row],[Échantillon]])*(Donnees[Longueur du texte]&lt;Donnees[[#This Row],[Longueur du texte]]))+(SUMPRODUCT((Donnees[Échantillon]=Donnees[[#This Row],[Échantillon]])*(Donnees[Longueur du texte]=Donnees[[#This Row],[Longueur du texte]]))+1)/2</f>
        <v>6.5</v>
      </c>
      <c r="AJ250" s="43">
        <f>IF(Donnees[[#This Row],[Abonnés]]="","",SUMPRODUCT((Donnees[Échantillon]=Donnees[[#This Row],[Échantillon]])*(Donnees[Abonnés]&lt;Donnees[[#This Row],[Abonnés]]))+(SUMPRODUCT((Donnees[Échantillon]=Donnees[[#This Row],[Échantillon]])*(Donnees[Abonnés]=Donnees[[#This Row],[Abonnés]]))+1)/2)</f>
        <v>50</v>
      </c>
      <c r="AK250" s="43">
        <f>IF(Donnees[[#This Row],[Vidéos publiées]]="","",SUMPRODUCT((Donnees[Échantillon]=Donnees[[#This Row],[Échantillon]])*(Donnees[Vidéos publiées]&lt;Donnees[[#This Row],[Vidéos publiées]]))+(SUMPRODUCT((Donnees[Échantillon]=Donnees[[#This Row],[Échantillon]])*(Donnees[Vidéos publiées]=Donnees[[#This Row],[Vidéos publiées]]))+1)/2)</f>
        <v>86</v>
      </c>
    </row>
    <row r="251" spans="1:37" x14ac:dyDescent="0.2">
      <c r="A251" s="40" t="s">
        <v>237</v>
      </c>
      <c r="B251" s="40" t="s">
        <v>74</v>
      </c>
      <c r="C251" s="40" t="s">
        <v>50</v>
      </c>
      <c r="D251" s="40">
        <v>268</v>
      </c>
      <c r="E251" s="40" t="s">
        <v>56</v>
      </c>
      <c r="F251" s="40" t="str">
        <f>IF(OR(Donnees[[#This Row],[Jour]]="samedi",Donnees[[#This Row],[Jour]]="dimanche"),"Oui","Non")</f>
        <v>Oui</v>
      </c>
      <c r="G251" s="40">
        <v>15</v>
      </c>
      <c r="H251" s="40" t="str">
        <f>IF(Donnees[[#This Row],[Heure UTC]]&lt;6,"0-5 h",IF(Donnees[[#This Row],[Heure UTC]]&lt;12,"6-11 h",IF(Donnees[[#This Row],[Heure UTC]]&lt;18,"12-17 h","18-23 h")))</f>
        <v>12-17 h</v>
      </c>
      <c r="I251" s="40">
        <v>13</v>
      </c>
      <c r="J251" s="40" t="str">
        <f>IF(Donnees[[#This Row],[Durée (s)]]&lt;=10,"1. ≤ 10 s",IF(Donnees[[#This Row],[Durée (s)]]&lt;=15,"2. 11-15 s",IF(Donnees[[#This Row],[Durée (s)]]&lt;=30,"3. 16-30 s",IF(Donnees[[#This Row],[Durée (s)]]&lt;=60,"4. 31-60 s","5. &gt; 60 s"))))</f>
        <v>2. 11-15 s</v>
      </c>
      <c r="K251" s="40" t="str">
        <f>IF(Donnees[[#This Row],[Durée (s)]]&gt;15,"Oui","Non")</f>
        <v>Non</v>
      </c>
      <c r="L251" s="40">
        <v>9</v>
      </c>
      <c r="M251" s="40" t="s">
        <v>44</v>
      </c>
      <c r="N251" s="40">
        <v>12</v>
      </c>
      <c r="O251" s="40" t="s">
        <v>41</v>
      </c>
      <c r="P251" s="40" t="s">
        <v>44</v>
      </c>
      <c r="Q251" s="40" t="s">
        <v>41</v>
      </c>
      <c r="R251" s="40" t="s">
        <v>41</v>
      </c>
      <c r="S251" s="40" t="s">
        <v>44</v>
      </c>
      <c r="T251" s="41">
        <v>27400000</v>
      </c>
      <c r="U251" s="40" t="str">
        <f>IF(Donnees[[#This Row],[Abonnés]]="","",IF(Donnees[[#This Row],[Abonnés]]&lt;1000000,"1. &lt; 1 M",IF(Donnees[[#This Row],[Abonnés]]&lt;3000000,"2. 1-3 M",IF(Donnees[[#This Row],[Abonnés]]&lt;8000000,"3. 3-8 M","4. ≥ 8 M"))))</f>
        <v>4. ≥ 8 M</v>
      </c>
      <c r="V251" s="41">
        <v>588</v>
      </c>
      <c r="W251" s="41">
        <v>54200000</v>
      </c>
      <c r="X251" s="41">
        <v>10000000</v>
      </c>
      <c r="Y251" s="41">
        <v>94100</v>
      </c>
      <c r="Z251" s="41">
        <v>78600</v>
      </c>
      <c r="AA251" s="42">
        <f>(Donnees[[#This Row],[Likes]]+Donnees[[#This Row],[Commentaires]]+Donnees[[#This Row],[Partages]])/Donnees[[#This Row],[Vues]]</f>
        <v>0.18768819188191882</v>
      </c>
      <c r="AB251" s="40">
        <f>IF(Donnees[[#This Row],[Engagement]]&gt;=VLOOKUP(Donnees[[#This Row],[Échantillon]],'Méthode &amp; limites'!$B$9:$D$11,2,FALSE),1,0)</f>
        <v>0</v>
      </c>
      <c r="AC251" s="43">
        <f>IF(Donnees[[#This Row],[Abonnés]]="","",Donnees[[#This Row],[Vues]]/Donnees[[#This Row],[Abonnés]])</f>
        <v>1.9781021897810218</v>
      </c>
      <c r="AD251" s="40" t="s">
        <v>44</v>
      </c>
      <c r="AE251" s="43">
        <f>SUMPRODUCT((Donnees[Échantillon]=Donnees[[#This Row],[Échantillon]])*(Donnees[Engagement]&lt;Donnees[[#This Row],[Engagement]]))+(SUMPRODUCT((Donnees[Échantillon]=Donnees[[#This Row],[Échantillon]])*(Donnees[Engagement]=Donnees[[#This Row],[Engagement]]))+1)/2</f>
        <v>63</v>
      </c>
      <c r="AF251" s="43">
        <f>SUMPRODUCT((Donnees[Échantillon]=Donnees[[#This Row],[Échantillon]])*(Donnees[Vues]&lt;Donnees[[#This Row],[Vues]]))+(SUMPRODUCT((Donnees[Échantillon]=Donnees[[#This Row],[Échantillon]])*(Donnees[Vues]=Donnees[[#This Row],[Vues]]))+1)/2</f>
        <v>51</v>
      </c>
      <c r="AG251" s="43">
        <f>SUMPRODUCT((Donnees[Échantillon]=Donnees[[#This Row],[Échantillon]])*(Donnees[Durée (s)]&lt;Donnees[[#This Row],[Durée (s)]]))+(SUMPRODUCT((Donnees[Échantillon]=Donnees[[#This Row],[Échantillon]])*(Donnees[Durée (s)]=Donnees[[#This Row],[Durée (s)]]))+1)/2</f>
        <v>33.5</v>
      </c>
      <c r="AH251" s="43">
        <f>SUMPRODUCT((Donnees[Échantillon]=Donnees[[#This Row],[Échantillon]])*(Donnees[Nb hashtags]&lt;Donnees[[#This Row],[Nb hashtags]]))+(SUMPRODUCT((Donnees[Échantillon]=Donnees[[#This Row],[Échantillon]])*(Donnees[Nb hashtags]=Donnees[[#This Row],[Nb hashtags]]))+1)/2</f>
        <v>60</v>
      </c>
      <c r="AI251" s="43">
        <f>SUMPRODUCT((Donnees[Échantillon]=Donnees[[#This Row],[Échantillon]])*(Donnees[Longueur du texte]&lt;Donnees[[#This Row],[Longueur du texte]]))+(SUMPRODUCT((Donnees[Échantillon]=Donnees[[#This Row],[Échantillon]])*(Donnees[Longueur du texte]=Donnees[[#This Row],[Longueur du texte]]))+1)/2</f>
        <v>32.5</v>
      </c>
      <c r="AJ251" s="43">
        <f>IF(Donnees[[#This Row],[Abonnés]]="","",SUMPRODUCT((Donnees[Échantillon]=Donnees[[#This Row],[Échantillon]])*(Donnees[Abonnés]&lt;Donnees[[#This Row],[Abonnés]]))+(SUMPRODUCT((Donnees[Échantillon]=Donnees[[#This Row],[Échantillon]])*(Donnees[Abonnés]=Donnees[[#This Row],[Abonnés]]))+1)/2)</f>
        <v>96.5</v>
      </c>
      <c r="AK251" s="43">
        <f>IF(Donnees[[#This Row],[Vidéos publiées]]="","",SUMPRODUCT((Donnees[Échantillon]=Donnees[[#This Row],[Échantillon]])*(Donnees[Vidéos publiées]&lt;Donnees[[#This Row],[Vidéos publiées]]))+(SUMPRODUCT((Donnees[Échantillon]=Donnees[[#This Row],[Échantillon]])*(Donnees[Vidéos publiées]=Donnees[[#This Row],[Vidéos publiées]]))+1)/2)</f>
        <v>78.5</v>
      </c>
    </row>
    <row r="252" spans="1:37" x14ac:dyDescent="0.2">
      <c r="A252" s="40" t="s">
        <v>237</v>
      </c>
      <c r="B252" s="40" t="s">
        <v>275</v>
      </c>
      <c r="C252" s="40" t="s">
        <v>50</v>
      </c>
      <c r="D252" s="40">
        <v>260</v>
      </c>
      <c r="E252" s="40" t="s">
        <v>71</v>
      </c>
      <c r="F252" s="40" t="str">
        <f>IF(OR(Donnees[[#This Row],[Jour]]="samedi",Donnees[[#This Row],[Jour]]="dimanche"),"Oui","Non")</f>
        <v>Non</v>
      </c>
      <c r="G252" s="40">
        <v>17</v>
      </c>
      <c r="H252" s="40" t="str">
        <f>IF(Donnees[[#This Row],[Heure UTC]]&lt;6,"0-5 h",IF(Donnees[[#This Row],[Heure UTC]]&lt;12,"6-11 h",IF(Donnees[[#This Row],[Heure UTC]]&lt;18,"12-17 h","18-23 h")))</f>
        <v>12-17 h</v>
      </c>
      <c r="I252" s="40">
        <v>30</v>
      </c>
      <c r="J252" s="40" t="str">
        <f>IF(Donnees[[#This Row],[Durée (s)]]&lt;=10,"1. ≤ 10 s",IF(Donnees[[#This Row],[Durée (s)]]&lt;=15,"2. 11-15 s",IF(Donnees[[#This Row],[Durée (s)]]&lt;=30,"3. 16-30 s",IF(Donnees[[#This Row],[Durée (s)]]&lt;=60,"4. 31-60 s","5. &gt; 60 s"))))</f>
        <v>3. 16-30 s</v>
      </c>
      <c r="K252" s="40" t="str">
        <f>IF(Donnees[[#This Row],[Durée (s)]]&gt;15,"Oui","Non")</f>
        <v>Oui</v>
      </c>
      <c r="L252" s="40">
        <v>6</v>
      </c>
      <c r="M252" s="40" t="s">
        <v>44</v>
      </c>
      <c r="N252" s="40">
        <v>54</v>
      </c>
      <c r="O252" s="40" t="s">
        <v>41</v>
      </c>
      <c r="P252" s="40" t="s">
        <v>41</v>
      </c>
      <c r="Q252" s="40" t="s">
        <v>41</v>
      </c>
      <c r="R252" s="40" t="s">
        <v>41</v>
      </c>
      <c r="S252" s="40" t="s">
        <v>44</v>
      </c>
      <c r="T252" s="41">
        <v>5700000</v>
      </c>
      <c r="U252" s="40" t="str">
        <f>IF(Donnees[[#This Row],[Abonnés]]="","",IF(Donnees[[#This Row],[Abonnés]]&lt;1000000,"1. &lt; 1 M",IF(Donnees[[#This Row],[Abonnés]]&lt;3000000,"2. 1-3 M",IF(Donnees[[#This Row],[Abonnés]]&lt;8000000,"3. 3-8 M","4. ≥ 8 M"))))</f>
        <v>3. 3-8 M</v>
      </c>
      <c r="V252" s="41">
        <v>333</v>
      </c>
      <c r="W252" s="41">
        <v>53100000</v>
      </c>
      <c r="X252" s="41">
        <v>7300000</v>
      </c>
      <c r="Y252" s="41">
        <v>12600</v>
      </c>
      <c r="Z252" s="41">
        <v>21200</v>
      </c>
      <c r="AA252" s="42">
        <f>(Donnees[[#This Row],[Likes]]+Donnees[[#This Row],[Commentaires]]+Donnees[[#This Row],[Partages]])/Donnees[[#This Row],[Vues]]</f>
        <v>0.13811299435028249</v>
      </c>
      <c r="AB252" s="40">
        <f>IF(Donnees[[#This Row],[Engagement]]&gt;=VLOOKUP(Donnees[[#This Row],[Échantillon]],'Méthode &amp; limites'!$B$9:$D$11,2,FALSE),1,0)</f>
        <v>0</v>
      </c>
      <c r="AC252" s="43">
        <f>IF(Donnees[[#This Row],[Abonnés]]="","",Donnees[[#This Row],[Vues]]/Donnees[[#This Row],[Abonnés]])</f>
        <v>9.3157894736842106</v>
      </c>
      <c r="AD252" s="40" t="s">
        <v>44</v>
      </c>
      <c r="AE252" s="43">
        <f>SUMPRODUCT((Donnees[Échantillon]=Donnees[[#This Row],[Échantillon]])*(Donnees[Engagement]&lt;Donnees[[#This Row],[Engagement]]))+(SUMPRODUCT((Donnees[Échantillon]=Donnees[[#This Row],[Échantillon]])*(Donnees[Engagement]=Donnees[[#This Row],[Engagement]]))+1)/2</f>
        <v>33</v>
      </c>
      <c r="AF252" s="43">
        <f>SUMPRODUCT((Donnees[Échantillon]=Donnees[[#This Row],[Échantillon]])*(Donnees[Vues]&lt;Donnees[[#This Row],[Vues]]))+(SUMPRODUCT((Donnees[Échantillon]=Donnees[[#This Row],[Échantillon]])*(Donnees[Vues]=Donnees[[#This Row],[Vues]]))+1)/2</f>
        <v>50</v>
      </c>
      <c r="AG252" s="43">
        <f>SUMPRODUCT((Donnees[Échantillon]=Donnees[[#This Row],[Échantillon]])*(Donnees[Durée (s)]&lt;Donnees[[#This Row],[Durée (s)]]))+(SUMPRODUCT((Donnees[Échantillon]=Donnees[[#This Row],[Échantillon]])*(Donnees[Durée (s)]=Donnees[[#This Row],[Durée (s)]]))+1)/2</f>
        <v>72</v>
      </c>
      <c r="AH252" s="43">
        <f>SUMPRODUCT((Donnees[Échantillon]=Donnees[[#This Row],[Échantillon]])*(Donnees[Nb hashtags]&lt;Donnees[[#This Row],[Nb hashtags]]))+(SUMPRODUCT((Donnees[Échantillon]=Donnees[[#This Row],[Échantillon]])*(Donnees[Nb hashtags]=Donnees[[#This Row],[Nb hashtags]]))+1)/2</f>
        <v>30</v>
      </c>
      <c r="AI252" s="43">
        <f>SUMPRODUCT((Donnees[Échantillon]=Donnees[[#This Row],[Échantillon]])*(Donnees[Longueur du texte]&lt;Donnees[[#This Row],[Longueur du texte]]))+(SUMPRODUCT((Donnees[Échantillon]=Donnees[[#This Row],[Échantillon]])*(Donnees[Longueur du texte]=Donnees[[#This Row],[Longueur du texte]]))+1)/2</f>
        <v>87</v>
      </c>
      <c r="AJ252" s="43">
        <f>IF(Donnees[[#This Row],[Abonnés]]="","",SUMPRODUCT((Donnees[Échantillon]=Donnees[[#This Row],[Échantillon]])*(Donnees[Abonnés]&lt;Donnees[[#This Row],[Abonnés]]))+(SUMPRODUCT((Donnees[Échantillon]=Donnees[[#This Row],[Échantillon]])*(Donnees[Abonnés]=Donnees[[#This Row],[Abonnés]]))+1)/2)</f>
        <v>67</v>
      </c>
      <c r="AK252" s="43">
        <f>IF(Donnees[[#This Row],[Vidéos publiées]]="","",SUMPRODUCT((Donnees[Échantillon]=Donnees[[#This Row],[Échantillon]])*(Donnees[Vidéos publiées]&lt;Donnees[[#This Row],[Vidéos publiées]]))+(SUMPRODUCT((Donnees[Échantillon]=Donnees[[#This Row],[Échantillon]])*(Donnees[Vidéos publiées]=Donnees[[#This Row],[Vidéos publiées]]))+1)/2)</f>
        <v>58</v>
      </c>
    </row>
    <row r="253" spans="1:37" x14ac:dyDescent="0.2">
      <c r="A253" s="40" t="s">
        <v>237</v>
      </c>
      <c r="B253" s="40" t="s">
        <v>276</v>
      </c>
      <c r="C253" s="40" t="s">
        <v>50</v>
      </c>
      <c r="D253" s="40">
        <v>481</v>
      </c>
      <c r="E253" s="40" t="s">
        <v>47</v>
      </c>
      <c r="F253" s="40" t="str">
        <f>IF(OR(Donnees[[#This Row],[Jour]]="samedi",Donnees[[#This Row],[Jour]]="dimanche"),"Oui","Non")</f>
        <v>Non</v>
      </c>
      <c r="G253" s="40">
        <v>20</v>
      </c>
      <c r="H253" s="40" t="str">
        <f>IF(Donnees[[#This Row],[Heure UTC]]&lt;6,"0-5 h",IF(Donnees[[#This Row],[Heure UTC]]&lt;12,"6-11 h",IF(Donnees[[#This Row],[Heure UTC]]&lt;18,"12-17 h","18-23 h")))</f>
        <v>18-23 h</v>
      </c>
      <c r="I253" s="40">
        <v>11</v>
      </c>
      <c r="J253" s="40" t="str">
        <f>IF(Donnees[[#This Row],[Durée (s)]]&lt;=10,"1. ≤ 10 s",IF(Donnees[[#This Row],[Durée (s)]]&lt;=15,"2. 11-15 s",IF(Donnees[[#This Row],[Durée (s)]]&lt;=30,"3. 16-30 s",IF(Donnees[[#This Row],[Durée (s)]]&lt;=60,"4. 31-60 s","5. &gt; 60 s"))))</f>
        <v>2. 11-15 s</v>
      </c>
      <c r="K253" s="40" t="str">
        <f>IF(Donnees[[#This Row],[Durée (s)]]&gt;15,"Oui","Non")</f>
        <v>Non</v>
      </c>
      <c r="L253" s="40">
        <v>6</v>
      </c>
      <c r="M253" s="40" t="s">
        <v>44</v>
      </c>
      <c r="N253" s="40">
        <v>8</v>
      </c>
      <c r="O253" s="40" t="s">
        <v>41</v>
      </c>
      <c r="P253" s="40" t="s">
        <v>44</v>
      </c>
      <c r="Q253" s="40" t="s">
        <v>41</v>
      </c>
      <c r="R253" s="40" t="s">
        <v>41</v>
      </c>
      <c r="S253" s="40" t="s">
        <v>44</v>
      </c>
      <c r="T253" s="41">
        <v>381700</v>
      </c>
      <c r="U253" s="40" t="str">
        <f>IF(Donnees[[#This Row],[Abonnés]]="","",IF(Donnees[[#This Row],[Abonnés]]&lt;1000000,"1. &lt; 1 M",IF(Donnees[[#This Row],[Abonnés]]&lt;3000000,"2. 1-3 M",IF(Donnees[[#This Row],[Abonnés]]&lt;8000000,"3. 3-8 M","4. ≥ 8 M"))))</f>
        <v>1. &lt; 1 M</v>
      </c>
      <c r="V253" s="41">
        <v>38</v>
      </c>
      <c r="W253" s="41">
        <v>52600000</v>
      </c>
      <c r="X253" s="41">
        <v>11400000</v>
      </c>
      <c r="Y253" s="41">
        <v>87300</v>
      </c>
      <c r="Z253" s="41">
        <v>237300</v>
      </c>
      <c r="AA253" s="42">
        <f>(Donnees[[#This Row],[Likes]]+Donnees[[#This Row],[Commentaires]]+Donnees[[#This Row],[Partages]])/Donnees[[#This Row],[Vues]]</f>
        <v>0.22290114068441064</v>
      </c>
      <c r="AB253" s="40">
        <f>IF(Donnees[[#This Row],[Engagement]]&gt;=VLOOKUP(Donnees[[#This Row],[Échantillon]],'Méthode &amp; limites'!$B$9:$D$11,2,FALSE),1,0)</f>
        <v>1</v>
      </c>
      <c r="AC253" s="43">
        <f>IF(Donnees[[#This Row],[Abonnés]]="","",Donnees[[#This Row],[Vues]]/Donnees[[#This Row],[Abonnés]])</f>
        <v>137.80455855383809</v>
      </c>
      <c r="AD253" s="40" t="s">
        <v>44</v>
      </c>
      <c r="AE253" s="43">
        <f>SUMPRODUCT((Donnees[Échantillon]=Donnees[[#This Row],[Échantillon]])*(Donnees[Engagement]&lt;Donnees[[#This Row],[Engagement]]))+(SUMPRODUCT((Donnees[Échantillon]=Donnees[[#This Row],[Échantillon]])*(Donnees[Engagement]=Donnees[[#This Row],[Engagement]]))+1)/2</f>
        <v>89</v>
      </c>
      <c r="AF253" s="43">
        <f>SUMPRODUCT((Donnees[Échantillon]=Donnees[[#This Row],[Échantillon]])*(Donnees[Vues]&lt;Donnees[[#This Row],[Vues]]))+(SUMPRODUCT((Donnees[Échantillon]=Donnees[[#This Row],[Échantillon]])*(Donnees[Vues]=Donnees[[#This Row],[Vues]]))+1)/2</f>
        <v>49</v>
      </c>
      <c r="AG253" s="43">
        <f>SUMPRODUCT((Donnees[Échantillon]=Donnees[[#This Row],[Échantillon]])*(Donnees[Durée (s)]&lt;Donnees[[#This Row],[Durée (s)]]))+(SUMPRODUCT((Donnees[Échantillon]=Donnees[[#This Row],[Échantillon]])*(Donnees[Durée (s)]=Donnees[[#This Row],[Durée (s)]]))+1)/2</f>
        <v>28</v>
      </c>
      <c r="AH253" s="43">
        <f>SUMPRODUCT((Donnees[Échantillon]=Donnees[[#This Row],[Échantillon]])*(Donnees[Nb hashtags]&lt;Donnees[[#This Row],[Nb hashtags]]))+(SUMPRODUCT((Donnees[Échantillon]=Donnees[[#This Row],[Échantillon]])*(Donnees[Nb hashtags]=Donnees[[#This Row],[Nb hashtags]]))+1)/2</f>
        <v>30</v>
      </c>
      <c r="AI253" s="43">
        <f>SUMPRODUCT((Donnees[Échantillon]=Donnees[[#This Row],[Échantillon]])*(Donnees[Longueur du texte]&lt;Donnees[[#This Row],[Longueur du texte]]))+(SUMPRODUCT((Donnees[Échantillon]=Donnees[[#This Row],[Échantillon]])*(Donnees[Longueur du texte]=Donnees[[#This Row],[Longueur du texte]]))+1)/2</f>
        <v>24.5</v>
      </c>
      <c r="AJ253" s="43">
        <f>IF(Donnees[[#This Row],[Abonnés]]="","",SUMPRODUCT((Donnees[Échantillon]=Donnees[[#This Row],[Échantillon]])*(Donnees[Abonnés]&lt;Donnees[[#This Row],[Abonnés]]))+(SUMPRODUCT((Donnees[Échantillon]=Donnees[[#This Row],[Échantillon]])*(Donnees[Abonnés]=Donnees[[#This Row],[Abonnés]]))+1)/2)</f>
        <v>12</v>
      </c>
      <c r="AK253" s="43">
        <f>IF(Donnees[[#This Row],[Vidéos publiées]]="","",SUMPRODUCT((Donnees[Échantillon]=Donnees[[#This Row],[Échantillon]])*(Donnees[Vidéos publiées]&lt;Donnees[[#This Row],[Vidéos publiées]]))+(SUMPRODUCT((Donnees[Échantillon]=Donnees[[#This Row],[Échantillon]])*(Donnees[Vidéos publiées]=Donnees[[#This Row],[Vidéos publiées]]))+1)/2)</f>
        <v>14</v>
      </c>
    </row>
    <row r="254" spans="1:37" x14ac:dyDescent="0.2">
      <c r="A254" s="40" t="s">
        <v>237</v>
      </c>
      <c r="B254" s="40" t="s">
        <v>277</v>
      </c>
      <c r="C254" s="40" t="s">
        <v>46</v>
      </c>
      <c r="D254" s="40">
        <v>149</v>
      </c>
      <c r="E254" s="40" t="s">
        <v>56</v>
      </c>
      <c r="F254" s="40" t="str">
        <f>IF(OR(Donnees[[#This Row],[Jour]]="samedi",Donnees[[#This Row],[Jour]]="dimanche"),"Oui","Non")</f>
        <v>Oui</v>
      </c>
      <c r="G254" s="40">
        <v>18</v>
      </c>
      <c r="H254" s="40" t="str">
        <f>IF(Donnees[[#This Row],[Heure UTC]]&lt;6,"0-5 h",IF(Donnees[[#This Row],[Heure UTC]]&lt;12,"6-11 h",IF(Donnees[[#This Row],[Heure UTC]]&lt;18,"12-17 h","18-23 h")))</f>
        <v>18-23 h</v>
      </c>
      <c r="I254" s="40">
        <v>47</v>
      </c>
      <c r="J254" s="40" t="str">
        <f>IF(Donnees[[#This Row],[Durée (s)]]&lt;=10,"1. ≤ 10 s",IF(Donnees[[#This Row],[Durée (s)]]&lt;=15,"2. 11-15 s",IF(Donnees[[#This Row],[Durée (s)]]&lt;=30,"3. 16-30 s",IF(Donnees[[#This Row],[Durée (s)]]&lt;=60,"4. 31-60 s","5. &gt; 60 s"))))</f>
        <v>4. 31-60 s</v>
      </c>
      <c r="K254" s="40" t="str">
        <f>IF(Donnees[[#This Row],[Durée (s)]]&gt;15,"Oui","Non")</f>
        <v>Oui</v>
      </c>
      <c r="L254" s="40">
        <v>2</v>
      </c>
      <c r="M254" s="40" t="s">
        <v>44</v>
      </c>
      <c r="N254" s="40">
        <v>28</v>
      </c>
      <c r="O254" s="40" t="s">
        <v>41</v>
      </c>
      <c r="P254" s="40" t="s">
        <v>41</v>
      </c>
      <c r="Q254" s="40" t="s">
        <v>41</v>
      </c>
      <c r="R254" s="40" t="s">
        <v>41</v>
      </c>
      <c r="S254" s="40" t="s">
        <v>44</v>
      </c>
      <c r="T254" s="41">
        <v>5200000</v>
      </c>
      <c r="U254" s="40" t="str">
        <f>IF(Donnees[[#This Row],[Abonnés]]="","",IF(Donnees[[#This Row],[Abonnés]]&lt;1000000,"1. &lt; 1 M",IF(Donnees[[#This Row],[Abonnés]]&lt;3000000,"2. 1-3 M",IF(Donnees[[#This Row],[Abonnés]]&lt;8000000,"3. 3-8 M","4. ≥ 8 M"))))</f>
        <v>3. 3-8 M</v>
      </c>
      <c r="V254" s="41">
        <v>302</v>
      </c>
      <c r="W254" s="41">
        <v>52100000</v>
      </c>
      <c r="X254" s="41">
        <v>10400000</v>
      </c>
      <c r="Y254" s="41">
        <v>30000</v>
      </c>
      <c r="Z254" s="41">
        <v>32000</v>
      </c>
      <c r="AA254" s="42">
        <f>(Donnees[[#This Row],[Likes]]+Donnees[[#This Row],[Commentaires]]+Donnees[[#This Row],[Partages]])/Donnees[[#This Row],[Vues]]</f>
        <v>0.20080614203454894</v>
      </c>
      <c r="AB254" s="40">
        <f>IF(Donnees[[#This Row],[Engagement]]&gt;=VLOOKUP(Donnees[[#This Row],[Échantillon]],'Méthode &amp; limites'!$B$9:$D$11,2,FALSE),1,0)</f>
        <v>0</v>
      </c>
      <c r="AC254" s="43">
        <f>IF(Donnees[[#This Row],[Abonnés]]="","",Donnees[[#This Row],[Vues]]/Donnees[[#This Row],[Abonnés]])</f>
        <v>10.01923076923077</v>
      </c>
      <c r="AD254" s="40" t="s">
        <v>44</v>
      </c>
      <c r="AE254" s="43">
        <f>SUMPRODUCT((Donnees[Échantillon]=Donnees[[#This Row],[Échantillon]])*(Donnees[Engagement]&lt;Donnees[[#This Row],[Engagement]]))+(SUMPRODUCT((Donnees[Échantillon]=Donnees[[#This Row],[Échantillon]])*(Donnees[Engagement]=Donnees[[#This Row],[Engagement]]))+1)/2</f>
        <v>74</v>
      </c>
      <c r="AF254" s="43">
        <f>SUMPRODUCT((Donnees[Échantillon]=Donnees[[#This Row],[Échantillon]])*(Donnees[Vues]&lt;Donnees[[#This Row],[Vues]]))+(SUMPRODUCT((Donnees[Échantillon]=Donnees[[#This Row],[Échantillon]])*(Donnees[Vues]=Donnees[[#This Row],[Vues]]))+1)/2</f>
        <v>48</v>
      </c>
      <c r="AG254" s="43">
        <f>SUMPRODUCT((Donnees[Échantillon]=Donnees[[#This Row],[Échantillon]])*(Donnees[Durée (s)]&lt;Donnees[[#This Row],[Durée (s)]]))+(SUMPRODUCT((Donnees[Échantillon]=Donnees[[#This Row],[Échantillon]])*(Donnees[Durée (s)]=Donnees[[#This Row],[Durée (s)]]))+1)/2</f>
        <v>87</v>
      </c>
      <c r="AH254" s="43">
        <f>SUMPRODUCT((Donnees[Échantillon]=Donnees[[#This Row],[Échantillon]])*(Donnees[Nb hashtags]&lt;Donnees[[#This Row],[Nb hashtags]]))+(SUMPRODUCT((Donnees[Échantillon]=Donnees[[#This Row],[Échantillon]])*(Donnees[Nb hashtags]=Donnees[[#This Row],[Nb hashtags]]))+1)/2</f>
        <v>4.5</v>
      </c>
      <c r="AI254" s="43">
        <f>SUMPRODUCT((Donnees[Échantillon]=Donnees[[#This Row],[Échantillon]])*(Donnees[Longueur du texte]&lt;Donnees[[#This Row],[Longueur du texte]]))+(SUMPRODUCT((Donnees[Échantillon]=Donnees[[#This Row],[Échantillon]])*(Donnees[Longueur du texte]=Donnees[[#This Row],[Longueur du texte]]))+1)/2</f>
        <v>60.5</v>
      </c>
      <c r="AJ254" s="43">
        <f>IF(Donnees[[#This Row],[Abonnés]]="","",SUMPRODUCT((Donnees[Échantillon]=Donnees[[#This Row],[Échantillon]])*(Donnees[Abonnés]&lt;Donnees[[#This Row],[Abonnés]]))+(SUMPRODUCT((Donnees[Échantillon]=Donnees[[#This Row],[Échantillon]])*(Donnees[Abonnés]=Donnees[[#This Row],[Abonnés]]))+1)/2)</f>
        <v>65.5</v>
      </c>
      <c r="AK254" s="43">
        <f>IF(Donnees[[#This Row],[Vidéos publiées]]="","",SUMPRODUCT((Donnees[Échantillon]=Donnees[[#This Row],[Échantillon]])*(Donnees[Vidéos publiées]&lt;Donnees[[#This Row],[Vidéos publiées]]))+(SUMPRODUCT((Donnees[Échantillon]=Donnees[[#This Row],[Échantillon]])*(Donnees[Vidéos publiées]=Donnees[[#This Row],[Vidéos publiées]]))+1)/2)</f>
        <v>53.5</v>
      </c>
    </row>
    <row r="255" spans="1:37" x14ac:dyDescent="0.2">
      <c r="A255" s="40" t="s">
        <v>237</v>
      </c>
      <c r="B255" s="40" t="s">
        <v>278</v>
      </c>
      <c r="C255" s="40" t="s">
        <v>62</v>
      </c>
      <c r="D255" s="40">
        <v>502</v>
      </c>
      <c r="E255" s="40" t="s">
        <v>47</v>
      </c>
      <c r="F255" s="40" t="str">
        <f>IF(OR(Donnees[[#This Row],[Jour]]="samedi",Donnees[[#This Row],[Jour]]="dimanche"),"Oui","Non")</f>
        <v>Non</v>
      </c>
      <c r="G255" s="40">
        <v>0</v>
      </c>
      <c r="H255" s="40" t="str">
        <f>IF(Donnees[[#This Row],[Heure UTC]]&lt;6,"0-5 h",IF(Donnees[[#This Row],[Heure UTC]]&lt;12,"6-11 h",IF(Donnees[[#This Row],[Heure UTC]]&lt;18,"12-17 h","18-23 h")))</f>
        <v>0-5 h</v>
      </c>
      <c r="I255" s="40">
        <v>46</v>
      </c>
      <c r="J255" s="40" t="str">
        <f>IF(Donnees[[#This Row],[Durée (s)]]&lt;=10,"1. ≤ 10 s",IF(Donnees[[#This Row],[Durée (s)]]&lt;=15,"2. 11-15 s",IF(Donnees[[#This Row],[Durée (s)]]&lt;=30,"3. 16-30 s",IF(Donnees[[#This Row],[Durée (s)]]&lt;=60,"4. 31-60 s","5. &gt; 60 s"))))</f>
        <v>4. 31-60 s</v>
      </c>
      <c r="K255" s="40" t="str">
        <f>IF(Donnees[[#This Row],[Durée (s)]]&gt;15,"Oui","Non")</f>
        <v>Oui</v>
      </c>
      <c r="L255" s="40">
        <v>5</v>
      </c>
      <c r="M255" s="40" t="s">
        <v>44</v>
      </c>
      <c r="N255" s="40">
        <v>3</v>
      </c>
      <c r="O255" s="40" t="s">
        <v>41</v>
      </c>
      <c r="P255" s="40" t="s">
        <v>41</v>
      </c>
      <c r="Q255" s="40" t="s">
        <v>41</v>
      </c>
      <c r="R255" s="40" t="s">
        <v>44</v>
      </c>
      <c r="S255" s="40" t="s">
        <v>44</v>
      </c>
      <c r="T255" s="41">
        <v>8700000</v>
      </c>
      <c r="U255" s="40" t="str">
        <f>IF(Donnees[[#This Row],[Abonnés]]="","",IF(Donnees[[#This Row],[Abonnés]]&lt;1000000,"1. &lt; 1 M",IF(Donnees[[#This Row],[Abonnés]]&lt;3000000,"2. 1-3 M",IF(Donnees[[#This Row],[Abonnés]]&lt;8000000,"3. 3-8 M","4. ≥ 8 M"))))</f>
        <v>4. ≥ 8 M</v>
      </c>
      <c r="V255" s="41">
        <v>1342</v>
      </c>
      <c r="W255" s="41">
        <v>51900000</v>
      </c>
      <c r="X255" s="41">
        <v>9100000</v>
      </c>
      <c r="Y255" s="41">
        <v>71500</v>
      </c>
      <c r="Z255" s="41">
        <v>349700</v>
      </c>
      <c r="AA255" s="42">
        <f>(Donnees[[#This Row],[Likes]]+Donnees[[#This Row],[Commentaires]]+Donnees[[#This Row],[Partages]])/Donnees[[#This Row],[Vues]]</f>
        <v>0.18345279383429672</v>
      </c>
      <c r="AB255" s="40">
        <f>IF(Donnees[[#This Row],[Engagement]]&gt;=VLOOKUP(Donnees[[#This Row],[Échantillon]],'Méthode &amp; limites'!$B$9:$D$11,2,FALSE),1,0)</f>
        <v>0</v>
      </c>
      <c r="AC255" s="43">
        <f>IF(Donnees[[#This Row],[Abonnés]]="","",Donnees[[#This Row],[Vues]]/Donnees[[#This Row],[Abonnés]])</f>
        <v>5.9655172413793105</v>
      </c>
      <c r="AD255" s="40" t="s">
        <v>44</v>
      </c>
      <c r="AE255" s="43">
        <f>SUMPRODUCT((Donnees[Échantillon]=Donnees[[#This Row],[Échantillon]])*(Donnees[Engagement]&lt;Donnees[[#This Row],[Engagement]]))+(SUMPRODUCT((Donnees[Échantillon]=Donnees[[#This Row],[Échantillon]])*(Donnees[Engagement]=Donnees[[#This Row],[Engagement]]))+1)/2</f>
        <v>57</v>
      </c>
      <c r="AF255" s="43">
        <f>SUMPRODUCT((Donnees[Échantillon]=Donnees[[#This Row],[Échantillon]])*(Donnees[Vues]&lt;Donnees[[#This Row],[Vues]]))+(SUMPRODUCT((Donnees[Échantillon]=Donnees[[#This Row],[Échantillon]])*(Donnees[Vues]=Donnees[[#This Row],[Vues]]))+1)/2</f>
        <v>47</v>
      </c>
      <c r="AG255" s="43">
        <f>SUMPRODUCT((Donnees[Échantillon]=Donnees[[#This Row],[Échantillon]])*(Donnees[Durée (s)]&lt;Donnees[[#This Row],[Durée (s)]]))+(SUMPRODUCT((Donnees[Échantillon]=Donnees[[#This Row],[Échantillon]])*(Donnees[Durée (s)]=Donnees[[#This Row],[Durée (s)]]))+1)/2</f>
        <v>85</v>
      </c>
      <c r="AH255" s="43">
        <f>SUMPRODUCT((Donnees[Échantillon]=Donnees[[#This Row],[Échantillon]])*(Donnees[Nb hashtags]&lt;Donnees[[#This Row],[Nb hashtags]]))+(SUMPRODUCT((Donnees[Échantillon]=Donnees[[#This Row],[Échantillon]])*(Donnees[Nb hashtags]=Donnees[[#This Row],[Nb hashtags]]))+1)/2</f>
        <v>22</v>
      </c>
      <c r="AI255" s="43">
        <f>SUMPRODUCT((Donnees[Échantillon]=Donnees[[#This Row],[Échantillon]])*(Donnees[Longueur du texte]&lt;Donnees[[#This Row],[Longueur du texte]]))+(SUMPRODUCT((Donnees[Échantillon]=Donnees[[#This Row],[Échantillon]])*(Donnees[Longueur du texte]=Donnees[[#This Row],[Longueur du texte]]))+1)/2</f>
        <v>17</v>
      </c>
      <c r="AJ255" s="43">
        <f>IF(Donnees[[#This Row],[Abonnés]]="","",SUMPRODUCT((Donnees[Échantillon]=Donnees[[#This Row],[Échantillon]])*(Donnees[Abonnés]&lt;Donnees[[#This Row],[Abonnés]]))+(SUMPRODUCT((Donnees[Échantillon]=Donnees[[#This Row],[Échantillon]])*(Donnees[Abonnés]=Donnees[[#This Row],[Abonnés]]))+1)/2)</f>
        <v>82.5</v>
      </c>
      <c r="AK255" s="43">
        <f>IF(Donnees[[#This Row],[Vidéos publiées]]="","",SUMPRODUCT((Donnees[Échantillon]=Donnees[[#This Row],[Échantillon]])*(Donnees[Vidéos publiées]&lt;Donnees[[#This Row],[Vidéos publiées]]))+(SUMPRODUCT((Donnees[Échantillon]=Donnees[[#This Row],[Échantillon]])*(Donnees[Vidéos publiées]=Donnees[[#This Row],[Vidéos publiées]]))+1)/2)</f>
        <v>97.5</v>
      </c>
    </row>
    <row r="256" spans="1:37" x14ac:dyDescent="0.2">
      <c r="A256" s="40" t="s">
        <v>237</v>
      </c>
      <c r="B256" s="40" t="s">
        <v>279</v>
      </c>
      <c r="C256" s="40" t="s">
        <v>46</v>
      </c>
      <c r="D256" s="40">
        <v>142</v>
      </c>
      <c r="E256" s="40" t="s">
        <v>56</v>
      </c>
      <c r="F256" s="40" t="str">
        <f>IF(OR(Donnees[[#This Row],[Jour]]="samedi",Donnees[[#This Row],[Jour]]="dimanche"),"Oui","Non")</f>
        <v>Oui</v>
      </c>
      <c r="G256" s="40">
        <v>14</v>
      </c>
      <c r="H256" s="40" t="str">
        <f>IF(Donnees[[#This Row],[Heure UTC]]&lt;6,"0-5 h",IF(Donnees[[#This Row],[Heure UTC]]&lt;12,"6-11 h",IF(Donnees[[#This Row],[Heure UTC]]&lt;18,"12-17 h","18-23 h")))</f>
        <v>12-17 h</v>
      </c>
      <c r="I256" s="40">
        <v>22</v>
      </c>
      <c r="J256" s="40" t="str">
        <f>IF(Donnees[[#This Row],[Durée (s)]]&lt;=10,"1. ≤ 10 s",IF(Donnees[[#This Row],[Durée (s)]]&lt;=15,"2. 11-15 s",IF(Donnees[[#This Row],[Durée (s)]]&lt;=30,"3. 16-30 s",IF(Donnees[[#This Row],[Durée (s)]]&lt;=60,"4. 31-60 s","5. &gt; 60 s"))))</f>
        <v>3. 16-30 s</v>
      </c>
      <c r="K256" s="40" t="str">
        <f>IF(Donnees[[#This Row],[Durée (s)]]&gt;15,"Oui","Non")</f>
        <v>Oui</v>
      </c>
      <c r="L256" s="40">
        <v>9</v>
      </c>
      <c r="M256" s="40" t="s">
        <v>44</v>
      </c>
      <c r="N256" s="40">
        <v>18</v>
      </c>
      <c r="O256" s="40" t="s">
        <v>41</v>
      </c>
      <c r="P256" s="40" t="s">
        <v>41</v>
      </c>
      <c r="Q256" s="40" t="s">
        <v>41</v>
      </c>
      <c r="R256" s="40" t="s">
        <v>44</v>
      </c>
      <c r="S256" s="40" t="s">
        <v>44</v>
      </c>
      <c r="T256" s="41">
        <v>961200</v>
      </c>
      <c r="U256" s="40" t="str">
        <f>IF(Donnees[[#This Row],[Abonnés]]="","",IF(Donnees[[#This Row],[Abonnés]]&lt;1000000,"1. &lt; 1 M",IF(Donnees[[#This Row],[Abonnés]]&lt;3000000,"2. 1-3 M",IF(Donnees[[#This Row],[Abonnés]]&lt;8000000,"3. 3-8 M","4. ≥ 8 M"))))</f>
        <v>1. &lt; 1 M</v>
      </c>
      <c r="V256" s="41">
        <v>160</v>
      </c>
      <c r="W256" s="41">
        <v>51500000</v>
      </c>
      <c r="X256" s="41">
        <v>7100000</v>
      </c>
      <c r="Y256" s="41">
        <v>32100</v>
      </c>
      <c r="Z256" s="41">
        <v>156400</v>
      </c>
      <c r="AA256" s="42">
        <f>(Donnees[[#This Row],[Likes]]+Donnees[[#This Row],[Commentaires]]+Donnees[[#This Row],[Partages]])/Donnees[[#This Row],[Vues]]</f>
        <v>0.14152427184466018</v>
      </c>
      <c r="AB256" s="40">
        <f>IF(Donnees[[#This Row],[Engagement]]&gt;=VLOOKUP(Donnees[[#This Row],[Échantillon]],'Méthode &amp; limites'!$B$9:$D$11,2,FALSE),1,0)</f>
        <v>0</v>
      </c>
      <c r="AC256" s="43">
        <f>IF(Donnees[[#This Row],[Abonnés]]="","",Donnees[[#This Row],[Vues]]/Donnees[[#This Row],[Abonnés]])</f>
        <v>53.578859758635041</v>
      </c>
      <c r="AD256" s="40" t="s">
        <v>44</v>
      </c>
      <c r="AE256" s="43">
        <f>SUMPRODUCT((Donnees[Échantillon]=Donnees[[#This Row],[Échantillon]])*(Donnees[Engagement]&lt;Donnees[[#This Row],[Engagement]]))+(SUMPRODUCT((Donnees[Échantillon]=Donnees[[#This Row],[Échantillon]])*(Donnees[Engagement]=Donnees[[#This Row],[Engagement]]))+1)/2</f>
        <v>35</v>
      </c>
      <c r="AF256" s="43">
        <f>SUMPRODUCT((Donnees[Échantillon]=Donnees[[#This Row],[Échantillon]])*(Donnees[Vues]&lt;Donnees[[#This Row],[Vues]]))+(SUMPRODUCT((Donnees[Échantillon]=Donnees[[#This Row],[Échantillon]])*(Donnees[Vues]=Donnees[[#This Row],[Vues]]))+1)/2</f>
        <v>46</v>
      </c>
      <c r="AG256" s="43">
        <f>SUMPRODUCT((Donnees[Échantillon]=Donnees[[#This Row],[Échantillon]])*(Donnees[Durée (s)]&lt;Donnees[[#This Row],[Durée (s)]]))+(SUMPRODUCT((Donnees[Échantillon]=Donnees[[#This Row],[Échantillon]])*(Donnees[Durée (s)]=Donnees[[#This Row],[Durée (s)]]))+1)/2</f>
        <v>62.5</v>
      </c>
      <c r="AH256" s="43">
        <f>SUMPRODUCT((Donnees[Échantillon]=Donnees[[#This Row],[Échantillon]])*(Donnees[Nb hashtags]&lt;Donnees[[#This Row],[Nb hashtags]]))+(SUMPRODUCT((Donnees[Échantillon]=Donnees[[#This Row],[Échantillon]])*(Donnees[Nb hashtags]=Donnees[[#This Row],[Nb hashtags]]))+1)/2</f>
        <v>60</v>
      </c>
      <c r="AI256" s="43">
        <f>SUMPRODUCT((Donnees[Échantillon]=Donnees[[#This Row],[Échantillon]])*(Donnees[Longueur du texte]&lt;Donnees[[#This Row],[Longueur du texte]]))+(SUMPRODUCT((Donnees[Échantillon]=Donnees[[#This Row],[Échantillon]])*(Donnees[Longueur du texte]=Donnees[[#This Row],[Longueur du texte]]))+1)/2</f>
        <v>44</v>
      </c>
      <c r="AJ256" s="43">
        <f>IF(Donnees[[#This Row],[Abonnés]]="","",SUMPRODUCT((Donnees[Échantillon]=Donnees[[#This Row],[Échantillon]])*(Donnees[Abonnés]&lt;Donnees[[#This Row],[Abonnés]]))+(SUMPRODUCT((Donnees[Échantillon]=Donnees[[#This Row],[Échantillon]])*(Donnees[Abonnés]=Donnees[[#This Row],[Abonnés]]))+1)/2)</f>
        <v>28</v>
      </c>
      <c r="AK256" s="43">
        <f>IF(Donnees[[#This Row],[Vidéos publiées]]="","",SUMPRODUCT((Donnees[Échantillon]=Donnees[[#This Row],[Échantillon]])*(Donnees[Vidéos publiées]&lt;Donnees[[#This Row],[Vidéos publiées]]))+(SUMPRODUCT((Donnees[Échantillon]=Donnees[[#This Row],[Échantillon]])*(Donnees[Vidéos publiées]=Donnees[[#This Row],[Vidéos publiées]]))+1)/2)</f>
        <v>41</v>
      </c>
    </row>
    <row r="257" spans="1:37" x14ac:dyDescent="0.2">
      <c r="A257" s="40" t="s">
        <v>237</v>
      </c>
      <c r="B257" s="40" t="s">
        <v>280</v>
      </c>
      <c r="C257" s="40" t="s">
        <v>62</v>
      </c>
      <c r="D257" s="40">
        <v>75</v>
      </c>
      <c r="E257" s="40" t="s">
        <v>47</v>
      </c>
      <c r="F257" s="40" t="str">
        <f>IF(OR(Donnees[[#This Row],[Jour]]="samedi",Donnees[[#This Row],[Jour]]="dimanche"),"Oui","Non")</f>
        <v>Non</v>
      </c>
      <c r="G257" s="40">
        <v>22</v>
      </c>
      <c r="H257" s="40" t="str">
        <f>IF(Donnees[[#This Row],[Heure UTC]]&lt;6,"0-5 h",IF(Donnees[[#This Row],[Heure UTC]]&lt;12,"6-11 h",IF(Donnees[[#This Row],[Heure UTC]]&lt;18,"12-17 h","18-23 h")))</f>
        <v>18-23 h</v>
      </c>
      <c r="I257" s="40">
        <v>44</v>
      </c>
      <c r="J257" s="40" t="str">
        <f>IF(Donnees[[#This Row],[Durée (s)]]&lt;=10,"1. ≤ 10 s",IF(Donnees[[#This Row],[Durée (s)]]&lt;=15,"2. 11-15 s",IF(Donnees[[#This Row],[Durée (s)]]&lt;=30,"3. 16-30 s",IF(Donnees[[#This Row],[Durée (s)]]&lt;=60,"4. 31-60 s","5. &gt; 60 s"))))</f>
        <v>4. 31-60 s</v>
      </c>
      <c r="K257" s="40" t="str">
        <f>IF(Donnees[[#This Row],[Durée (s)]]&gt;15,"Oui","Non")</f>
        <v>Oui</v>
      </c>
      <c r="L257" s="40">
        <v>5</v>
      </c>
      <c r="M257" s="40" t="s">
        <v>44</v>
      </c>
      <c r="N257" s="40">
        <v>47</v>
      </c>
      <c r="O257" s="40" t="s">
        <v>41</v>
      </c>
      <c r="P257" s="40" t="s">
        <v>41</v>
      </c>
      <c r="Q257" s="40" t="s">
        <v>41</v>
      </c>
      <c r="R257" s="40" t="s">
        <v>41</v>
      </c>
      <c r="S257" s="40" t="s">
        <v>44</v>
      </c>
      <c r="T257" s="41">
        <v>346800</v>
      </c>
      <c r="U257" s="40" t="str">
        <f>IF(Donnees[[#This Row],[Abonnés]]="","",IF(Donnees[[#This Row],[Abonnés]]&lt;1000000,"1. &lt; 1 M",IF(Donnees[[#This Row],[Abonnés]]&lt;3000000,"2. 1-3 M",IF(Donnees[[#This Row],[Abonnés]]&lt;8000000,"3. 3-8 M","4. ≥ 8 M"))))</f>
        <v>1. &lt; 1 M</v>
      </c>
      <c r="V257" s="41">
        <v>8</v>
      </c>
      <c r="W257" s="41">
        <v>50900000</v>
      </c>
      <c r="X257" s="41">
        <v>9300000</v>
      </c>
      <c r="Y257" s="41">
        <v>90000</v>
      </c>
      <c r="Z257" s="41">
        <v>89600</v>
      </c>
      <c r="AA257" s="42">
        <f>(Donnees[[#This Row],[Likes]]+Donnees[[#This Row],[Commentaires]]+Donnees[[#This Row],[Partages]])/Donnees[[#This Row],[Vues]]</f>
        <v>0.18623968565815324</v>
      </c>
      <c r="AB257" s="40">
        <f>IF(Donnees[[#This Row],[Engagement]]&gt;=VLOOKUP(Donnees[[#This Row],[Échantillon]],'Méthode &amp; limites'!$B$9:$D$11,2,FALSE),1,0)</f>
        <v>0</v>
      </c>
      <c r="AC257" s="43">
        <f>IF(Donnees[[#This Row],[Abonnés]]="","",Donnees[[#This Row],[Vues]]/Donnees[[#This Row],[Abonnés]])</f>
        <v>146.77047289504037</v>
      </c>
      <c r="AD257" s="40" t="s">
        <v>44</v>
      </c>
      <c r="AE257" s="43">
        <f>SUMPRODUCT((Donnees[Échantillon]=Donnees[[#This Row],[Échantillon]])*(Donnees[Engagement]&lt;Donnees[[#This Row],[Engagement]]))+(SUMPRODUCT((Donnees[Échantillon]=Donnees[[#This Row],[Échantillon]])*(Donnees[Engagement]=Donnees[[#This Row],[Engagement]]))+1)/2</f>
        <v>61</v>
      </c>
      <c r="AF257" s="43">
        <f>SUMPRODUCT((Donnees[Échantillon]=Donnees[[#This Row],[Échantillon]])*(Donnees[Vues]&lt;Donnees[[#This Row],[Vues]]))+(SUMPRODUCT((Donnees[Échantillon]=Donnees[[#This Row],[Échantillon]])*(Donnees[Vues]=Donnees[[#This Row],[Vues]]))+1)/2</f>
        <v>44.5</v>
      </c>
      <c r="AG257" s="43">
        <f>SUMPRODUCT((Donnees[Échantillon]=Donnees[[#This Row],[Échantillon]])*(Donnees[Durée (s)]&lt;Donnees[[#This Row],[Durée (s)]]))+(SUMPRODUCT((Donnees[Échantillon]=Donnees[[#This Row],[Échantillon]])*(Donnees[Durée (s)]=Donnees[[#This Row],[Durée (s)]]))+1)/2</f>
        <v>84</v>
      </c>
      <c r="AH257" s="43">
        <f>SUMPRODUCT((Donnees[Échantillon]=Donnees[[#This Row],[Échantillon]])*(Donnees[Nb hashtags]&lt;Donnees[[#This Row],[Nb hashtags]]))+(SUMPRODUCT((Donnees[Échantillon]=Donnees[[#This Row],[Échantillon]])*(Donnees[Nb hashtags]=Donnees[[#This Row],[Nb hashtags]]))+1)/2</f>
        <v>22</v>
      </c>
      <c r="AI257" s="43">
        <f>SUMPRODUCT((Donnees[Échantillon]=Donnees[[#This Row],[Échantillon]])*(Donnees[Longueur du texte]&lt;Donnees[[#This Row],[Longueur du texte]]))+(SUMPRODUCT((Donnees[Échantillon]=Donnees[[#This Row],[Échantillon]])*(Donnees[Longueur du texte]=Donnees[[#This Row],[Longueur du texte]]))+1)/2</f>
        <v>81</v>
      </c>
      <c r="AJ257" s="43">
        <f>IF(Donnees[[#This Row],[Abonnés]]="","",SUMPRODUCT((Donnees[Échantillon]=Donnees[[#This Row],[Échantillon]])*(Donnees[Abonnés]&lt;Donnees[[#This Row],[Abonnés]]))+(SUMPRODUCT((Donnees[Échantillon]=Donnees[[#This Row],[Échantillon]])*(Donnees[Abonnés]=Donnees[[#This Row],[Abonnés]]))+1)/2)</f>
        <v>9</v>
      </c>
      <c r="AK257" s="43">
        <f>IF(Donnees[[#This Row],[Vidéos publiées]]="","",SUMPRODUCT((Donnees[Échantillon]=Donnees[[#This Row],[Échantillon]])*(Donnees[Vidéos publiées]&lt;Donnees[[#This Row],[Vidéos publiées]]))+(SUMPRODUCT((Donnees[Échantillon]=Donnees[[#This Row],[Échantillon]])*(Donnees[Vidéos publiées]=Donnees[[#This Row],[Vidéos publiées]]))+1)/2)</f>
        <v>6.5</v>
      </c>
    </row>
    <row r="258" spans="1:37" x14ac:dyDescent="0.2">
      <c r="A258" s="40" t="s">
        <v>237</v>
      </c>
      <c r="B258" s="40" t="s">
        <v>281</v>
      </c>
      <c r="C258" s="40" t="s">
        <v>67</v>
      </c>
      <c r="D258" s="40">
        <v>240</v>
      </c>
      <c r="E258" s="40" t="s">
        <v>56</v>
      </c>
      <c r="F258" s="40" t="str">
        <f>IF(OR(Donnees[[#This Row],[Jour]]="samedi",Donnees[[#This Row],[Jour]]="dimanche"),"Oui","Non")</f>
        <v>Oui</v>
      </c>
      <c r="G258" s="40">
        <v>10</v>
      </c>
      <c r="H258" s="40" t="str">
        <f>IF(Donnees[[#This Row],[Heure UTC]]&lt;6,"0-5 h",IF(Donnees[[#This Row],[Heure UTC]]&lt;12,"6-11 h",IF(Donnees[[#This Row],[Heure UTC]]&lt;18,"12-17 h","18-23 h")))</f>
        <v>6-11 h</v>
      </c>
      <c r="I258" s="40">
        <v>30</v>
      </c>
      <c r="J258" s="40" t="str">
        <f>IF(Donnees[[#This Row],[Durée (s)]]&lt;=10,"1. ≤ 10 s",IF(Donnees[[#This Row],[Durée (s)]]&lt;=15,"2. 11-15 s",IF(Donnees[[#This Row],[Durée (s)]]&lt;=30,"3. 16-30 s",IF(Donnees[[#This Row],[Durée (s)]]&lt;=60,"4. 31-60 s","5. &gt; 60 s"))))</f>
        <v>3. 16-30 s</v>
      </c>
      <c r="K258" s="40" t="str">
        <f>IF(Donnees[[#This Row],[Durée (s)]]&gt;15,"Oui","Non")</f>
        <v>Oui</v>
      </c>
      <c r="L258" s="40">
        <v>3</v>
      </c>
      <c r="M258" s="40" t="s">
        <v>44</v>
      </c>
      <c r="N258" s="40">
        <v>23</v>
      </c>
      <c r="O258" s="40" t="s">
        <v>41</v>
      </c>
      <c r="P258" s="40" t="s">
        <v>41</v>
      </c>
      <c r="Q258" s="40" t="s">
        <v>41</v>
      </c>
      <c r="R258" s="40" t="s">
        <v>44</v>
      </c>
      <c r="S258" s="40" t="s">
        <v>44</v>
      </c>
      <c r="T258" s="41">
        <v>1400000</v>
      </c>
      <c r="U258" s="40" t="str">
        <f>IF(Donnees[[#This Row],[Abonnés]]="","",IF(Donnees[[#This Row],[Abonnés]]&lt;1000000,"1. &lt; 1 M",IF(Donnees[[#This Row],[Abonnés]]&lt;3000000,"2. 1-3 M",IF(Donnees[[#This Row],[Abonnés]]&lt;8000000,"3. 3-8 M","4. ≥ 8 M"))))</f>
        <v>2. 1-3 M</v>
      </c>
      <c r="V258" s="41">
        <v>47</v>
      </c>
      <c r="W258" s="41">
        <v>50900000</v>
      </c>
      <c r="X258" s="41">
        <v>8100000</v>
      </c>
      <c r="Y258" s="41">
        <v>64900</v>
      </c>
      <c r="Z258" s="41">
        <v>276100</v>
      </c>
      <c r="AA258" s="42">
        <f>(Donnees[[#This Row],[Likes]]+Donnees[[#This Row],[Commentaires]]+Donnees[[#This Row],[Partages]])/Donnees[[#This Row],[Vues]]</f>
        <v>0.16583497053045188</v>
      </c>
      <c r="AB258" s="40">
        <f>IF(Donnees[[#This Row],[Engagement]]&gt;=VLOOKUP(Donnees[[#This Row],[Échantillon]],'Méthode &amp; limites'!$B$9:$D$11,2,FALSE),1,0)</f>
        <v>0</v>
      </c>
      <c r="AC258" s="43">
        <f>IF(Donnees[[#This Row],[Abonnés]]="","",Donnees[[#This Row],[Vues]]/Donnees[[#This Row],[Abonnés]])</f>
        <v>36.357142857142854</v>
      </c>
      <c r="AD258" s="40" t="s">
        <v>44</v>
      </c>
      <c r="AE258" s="43">
        <f>SUMPRODUCT((Donnees[Échantillon]=Donnees[[#This Row],[Échantillon]])*(Donnees[Engagement]&lt;Donnees[[#This Row],[Engagement]]))+(SUMPRODUCT((Donnees[Échantillon]=Donnees[[#This Row],[Échantillon]])*(Donnees[Engagement]=Donnees[[#This Row],[Engagement]]))+1)/2</f>
        <v>53</v>
      </c>
      <c r="AF258" s="43">
        <f>SUMPRODUCT((Donnees[Échantillon]=Donnees[[#This Row],[Échantillon]])*(Donnees[Vues]&lt;Donnees[[#This Row],[Vues]]))+(SUMPRODUCT((Donnees[Échantillon]=Donnees[[#This Row],[Échantillon]])*(Donnees[Vues]=Donnees[[#This Row],[Vues]]))+1)/2</f>
        <v>44.5</v>
      </c>
      <c r="AG258" s="43">
        <f>SUMPRODUCT((Donnees[Échantillon]=Donnees[[#This Row],[Échantillon]])*(Donnees[Durée (s)]&lt;Donnees[[#This Row],[Durée (s)]]))+(SUMPRODUCT((Donnees[Échantillon]=Donnees[[#This Row],[Échantillon]])*(Donnees[Durée (s)]=Donnees[[#This Row],[Durée (s)]]))+1)/2</f>
        <v>72</v>
      </c>
      <c r="AH258" s="43">
        <f>SUMPRODUCT((Donnees[Échantillon]=Donnees[[#This Row],[Échantillon]])*(Donnees[Nb hashtags]&lt;Donnees[[#This Row],[Nb hashtags]]))+(SUMPRODUCT((Donnees[Échantillon]=Donnees[[#This Row],[Échantillon]])*(Donnees[Nb hashtags]=Donnees[[#This Row],[Nb hashtags]]))+1)/2</f>
        <v>10.5</v>
      </c>
      <c r="AI258" s="43">
        <f>SUMPRODUCT((Donnees[Échantillon]=Donnees[[#This Row],[Échantillon]])*(Donnees[Longueur du texte]&lt;Donnees[[#This Row],[Longueur du texte]]))+(SUMPRODUCT((Donnees[Échantillon]=Donnees[[#This Row],[Échantillon]])*(Donnees[Longueur du texte]=Donnees[[#This Row],[Longueur du texte]]))+1)/2</f>
        <v>49.5</v>
      </c>
      <c r="AJ258" s="43">
        <f>IF(Donnees[[#This Row],[Abonnés]]="","",SUMPRODUCT((Donnees[Échantillon]=Donnees[[#This Row],[Échantillon]])*(Donnees[Abonnés]&lt;Donnees[[#This Row],[Abonnés]]))+(SUMPRODUCT((Donnees[Échantillon]=Donnees[[#This Row],[Échantillon]])*(Donnees[Abonnés]=Donnees[[#This Row],[Abonnés]]))+1)/2)</f>
        <v>35.5</v>
      </c>
      <c r="AK258" s="43">
        <f>IF(Donnees[[#This Row],[Vidéos publiées]]="","",SUMPRODUCT((Donnees[Échantillon]=Donnees[[#This Row],[Échantillon]])*(Donnees[Vidéos publiées]&lt;Donnees[[#This Row],[Vidéos publiées]]))+(SUMPRODUCT((Donnees[Échantillon]=Donnees[[#This Row],[Échantillon]])*(Donnees[Vidéos publiées]=Donnees[[#This Row],[Vidéos publiées]]))+1)/2)</f>
        <v>17</v>
      </c>
    </row>
    <row r="259" spans="1:37" x14ac:dyDescent="0.2">
      <c r="A259" s="40" t="s">
        <v>237</v>
      </c>
      <c r="B259" s="40" t="s">
        <v>278</v>
      </c>
      <c r="C259" s="40" t="s">
        <v>62</v>
      </c>
      <c r="D259" s="40">
        <v>391</v>
      </c>
      <c r="E259" s="40" t="s">
        <v>59</v>
      </c>
      <c r="F259" s="40" t="str">
        <f>IF(OR(Donnees[[#This Row],[Jour]]="samedi",Donnees[[#This Row],[Jour]]="dimanche"),"Oui","Non")</f>
        <v>Non</v>
      </c>
      <c r="G259" s="40">
        <v>16</v>
      </c>
      <c r="H259" s="40" t="str">
        <f>IF(Donnees[[#This Row],[Heure UTC]]&lt;6,"0-5 h",IF(Donnees[[#This Row],[Heure UTC]]&lt;12,"6-11 h",IF(Donnees[[#This Row],[Heure UTC]]&lt;18,"12-17 h","18-23 h")))</f>
        <v>12-17 h</v>
      </c>
      <c r="I259" s="40">
        <v>7</v>
      </c>
      <c r="J259" s="40" t="str">
        <f>IF(Donnees[[#This Row],[Durée (s)]]&lt;=10,"1. ≤ 10 s",IF(Donnees[[#This Row],[Durée (s)]]&lt;=15,"2. 11-15 s",IF(Donnees[[#This Row],[Durée (s)]]&lt;=30,"3. 16-30 s",IF(Donnees[[#This Row],[Durée (s)]]&lt;=60,"4. 31-60 s","5. &gt; 60 s"))))</f>
        <v>1. ≤ 10 s</v>
      </c>
      <c r="K259" s="40" t="str">
        <f>IF(Donnees[[#This Row],[Durée (s)]]&gt;15,"Oui","Non")</f>
        <v>Non</v>
      </c>
      <c r="L259" s="40">
        <v>8</v>
      </c>
      <c r="M259" s="40" t="s">
        <v>44</v>
      </c>
      <c r="N259" s="40">
        <v>15</v>
      </c>
      <c r="O259" s="40" t="s">
        <v>41</v>
      </c>
      <c r="P259" s="40" t="s">
        <v>44</v>
      </c>
      <c r="Q259" s="40" t="s">
        <v>41</v>
      </c>
      <c r="R259" s="40" t="s">
        <v>44</v>
      </c>
      <c r="S259" s="40" t="s">
        <v>44</v>
      </c>
      <c r="T259" s="41">
        <v>8700000</v>
      </c>
      <c r="U259" s="40" t="str">
        <f>IF(Donnees[[#This Row],[Abonnés]]="","",IF(Donnees[[#This Row],[Abonnés]]&lt;1000000,"1. &lt; 1 M",IF(Donnees[[#This Row],[Abonnés]]&lt;3000000,"2. 1-3 M",IF(Donnees[[#This Row],[Abonnés]]&lt;8000000,"3. 3-8 M","4. ≥ 8 M"))))</f>
        <v>4. ≥ 8 M</v>
      </c>
      <c r="V259" s="41">
        <v>1342</v>
      </c>
      <c r="W259" s="41">
        <v>50700000</v>
      </c>
      <c r="X259" s="41">
        <v>7600000</v>
      </c>
      <c r="Y259" s="41">
        <v>77100</v>
      </c>
      <c r="Z259" s="41">
        <v>478500</v>
      </c>
      <c r="AA259" s="42">
        <f>(Donnees[[#This Row],[Likes]]+Donnees[[#This Row],[Commentaires]]+Donnees[[#This Row],[Partages]])/Donnees[[#This Row],[Vues]]</f>
        <v>0.16085996055226826</v>
      </c>
      <c r="AB259" s="40">
        <f>IF(Donnees[[#This Row],[Engagement]]&gt;=VLOOKUP(Donnees[[#This Row],[Échantillon]],'Méthode &amp; limites'!$B$9:$D$11,2,FALSE),1,0)</f>
        <v>0</v>
      </c>
      <c r="AC259" s="43">
        <f>IF(Donnees[[#This Row],[Abonnés]]="","",Donnees[[#This Row],[Vues]]/Donnees[[#This Row],[Abonnés]])</f>
        <v>5.8275862068965516</v>
      </c>
      <c r="AD259" s="40" t="s">
        <v>44</v>
      </c>
      <c r="AE259" s="43">
        <f>SUMPRODUCT((Donnees[Échantillon]=Donnees[[#This Row],[Échantillon]])*(Donnees[Engagement]&lt;Donnees[[#This Row],[Engagement]]))+(SUMPRODUCT((Donnees[Échantillon]=Donnees[[#This Row],[Échantillon]])*(Donnees[Engagement]=Donnees[[#This Row],[Engagement]]))+1)/2</f>
        <v>49</v>
      </c>
      <c r="AF259" s="43">
        <f>SUMPRODUCT((Donnees[Échantillon]=Donnees[[#This Row],[Échantillon]])*(Donnees[Vues]&lt;Donnees[[#This Row],[Vues]]))+(SUMPRODUCT((Donnees[Échantillon]=Donnees[[#This Row],[Échantillon]])*(Donnees[Vues]=Donnees[[#This Row],[Vues]]))+1)/2</f>
        <v>43</v>
      </c>
      <c r="AG259" s="43">
        <f>SUMPRODUCT((Donnees[Échantillon]=Donnees[[#This Row],[Échantillon]])*(Donnees[Durée (s)]&lt;Donnees[[#This Row],[Durée (s)]]))+(SUMPRODUCT((Donnees[Échantillon]=Donnees[[#This Row],[Échantillon]])*(Donnees[Durée (s)]=Donnees[[#This Row],[Durée (s)]]))+1)/2</f>
        <v>5.5</v>
      </c>
      <c r="AH259" s="43">
        <f>SUMPRODUCT((Donnees[Échantillon]=Donnees[[#This Row],[Échantillon]])*(Donnees[Nb hashtags]&lt;Donnees[[#This Row],[Nb hashtags]]))+(SUMPRODUCT((Donnees[Échantillon]=Donnees[[#This Row],[Échantillon]])*(Donnees[Nb hashtags]=Donnees[[#This Row],[Nb hashtags]]))+1)/2</f>
        <v>47.5</v>
      </c>
      <c r="AI259" s="43">
        <f>SUMPRODUCT((Donnees[Échantillon]=Donnees[[#This Row],[Échantillon]])*(Donnees[Longueur du texte]&lt;Donnees[[#This Row],[Longueur du texte]]))+(SUMPRODUCT((Donnees[Échantillon]=Donnees[[#This Row],[Échantillon]])*(Donnees[Longueur du texte]=Donnees[[#This Row],[Longueur du texte]]))+1)/2</f>
        <v>38.5</v>
      </c>
      <c r="AJ259" s="43">
        <f>IF(Donnees[[#This Row],[Abonnés]]="","",SUMPRODUCT((Donnees[Échantillon]=Donnees[[#This Row],[Échantillon]])*(Donnees[Abonnés]&lt;Donnees[[#This Row],[Abonnés]]))+(SUMPRODUCT((Donnees[Échantillon]=Donnees[[#This Row],[Échantillon]])*(Donnees[Abonnés]=Donnees[[#This Row],[Abonnés]]))+1)/2)</f>
        <v>82.5</v>
      </c>
      <c r="AK259" s="43">
        <f>IF(Donnees[[#This Row],[Vidéos publiées]]="","",SUMPRODUCT((Donnees[Échantillon]=Donnees[[#This Row],[Échantillon]])*(Donnees[Vidéos publiées]&lt;Donnees[[#This Row],[Vidéos publiées]]))+(SUMPRODUCT((Donnees[Échantillon]=Donnees[[#This Row],[Échantillon]])*(Donnees[Vidéos publiées]=Donnees[[#This Row],[Vidéos publiées]]))+1)/2)</f>
        <v>97.5</v>
      </c>
    </row>
    <row r="260" spans="1:37" x14ac:dyDescent="0.2">
      <c r="A260" s="40" t="s">
        <v>237</v>
      </c>
      <c r="B260" s="40" t="s">
        <v>282</v>
      </c>
      <c r="C260" s="40" t="s">
        <v>62</v>
      </c>
      <c r="D260" s="40">
        <v>85</v>
      </c>
      <c r="E260" s="40" t="s">
        <v>71</v>
      </c>
      <c r="F260" s="40" t="str">
        <f>IF(OR(Donnees[[#This Row],[Jour]]="samedi",Donnees[[#This Row],[Jour]]="dimanche"),"Oui","Non")</f>
        <v>Non</v>
      </c>
      <c r="G260" s="40">
        <v>3</v>
      </c>
      <c r="H260" s="40" t="str">
        <f>IF(Donnees[[#This Row],[Heure UTC]]&lt;6,"0-5 h",IF(Donnees[[#This Row],[Heure UTC]]&lt;12,"6-11 h",IF(Donnees[[#This Row],[Heure UTC]]&lt;18,"12-17 h","18-23 h")))</f>
        <v>0-5 h</v>
      </c>
      <c r="I260" s="40">
        <v>9</v>
      </c>
      <c r="J260" s="40" t="str">
        <f>IF(Donnees[[#This Row],[Durée (s)]]&lt;=10,"1. ≤ 10 s",IF(Donnees[[#This Row],[Durée (s)]]&lt;=15,"2. 11-15 s",IF(Donnees[[#This Row],[Durée (s)]]&lt;=30,"3. 16-30 s",IF(Donnees[[#This Row],[Durée (s)]]&lt;=60,"4. 31-60 s","5. &gt; 60 s"))))</f>
        <v>1. ≤ 10 s</v>
      </c>
      <c r="K260" s="40" t="str">
        <f>IF(Donnees[[#This Row],[Durée (s)]]&gt;15,"Oui","Non")</f>
        <v>Non</v>
      </c>
      <c r="L260" s="40">
        <v>17</v>
      </c>
      <c r="M260" s="40" t="s">
        <v>44</v>
      </c>
      <c r="N260" s="40">
        <v>1</v>
      </c>
      <c r="O260" s="40" t="s">
        <v>41</v>
      </c>
      <c r="P260" s="40" t="s">
        <v>44</v>
      </c>
      <c r="Q260" s="40" t="s">
        <v>41</v>
      </c>
      <c r="R260" s="40" t="s">
        <v>44</v>
      </c>
      <c r="S260" s="40" t="s">
        <v>44</v>
      </c>
      <c r="T260" s="41">
        <v>6900000</v>
      </c>
      <c r="U260" s="40" t="str">
        <f>IF(Donnees[[#This Row],[Abonnés]]="","",IF(Donnees[[#This Row],[Abonnés]]&lt;1000000,"1. &lt; 1 M",IF(Donnees[[#This Row],[Abonnés]]&lt;3000000,"2. 1-3 M",IF(Donnees[[#This Row],[Abonnés]]&lt;8000000,"3. 3-8 M","4. ≥ 8 M"))))</f>
        <v>3. 3-8 M</v>
      </c>
      <c r="V260" s="41">
        <v>968</v>
      </c>
      <c r="W260" s="41">
        <v>50500000</v>
      </c>
      <c r="X260" s="41">
        <v>7200000</v>
      </c>
      <c r="Y260" s="41">
        <v>37300</v>
      </c>
      <c r="Z260" s="41">
        <v>227600</v>
      </c>
      <c r="AA260" s="42">
        <f>(Donnees[[#This Row],[Likes]]+Donnees[[#This Row],[Commentaires]]+Donnees[[#This Row],[Partages]])/Donnees[[#This Row],[Vues]]</f>
        <v>0.14781980198019801</v>
      </c>
      <c r="AB260" s="40">
        <f>IF(Donnees[[#This Row],[Engagement]]&gt;=VLOOKUP(Donnees[[#This Row],[Échantillon]],'Méthode &amp; limites'!$B$9:$D$11,2,FALSE),1,0)</f>
        <v>0</v>
      </c>
      <c r="AC260" s="43">
        <f>IF(Donnees[[#This Row],[Abonnés]]="","",Donnees[[#This Row],[Vues]]/Donnees[[#This Row],[Abonnés]])</f>
        <v>7.3188405797101446</v>
      </c>
      <c r="AD260" s="40" t="s">
        <v>44</v>
      </c>
      <c r="AE260" s="43">
        <f>SUMPRODUCT((Donnees[Échantillon]=Donnees[[#This Row],[Échantillon]])*(Donnees[Engagement]&lt;Donnees[[#This Row],[Engagement]]))+(SUMPRODUCT((Donnees[Échantillon]=Donnees[[#This Row],[Échantillon]])*(Donnees[Engagement]=Donnees[[#This Row],[Engagement]]))+1)/2</f>
        <v>42</v>
      </c>
      <c r="AF260" s="43">
        <f>SUMPRODUCT((Donnees[Échantillon]=Donnees[[#This Row],[Échantillon]])*(Donnees[Vues]&lt;Donnees[[#This Row],[Vues]]))+(SUMPRODUCT((Donnees[Échantillon]=Donnees[[#This Row],[Échantillon]])*(Donnees[Vues]=Donnees[[#This Row],[Vues]]))+1)/2</f>
        <v>42</v>
      </c>
      <c r="AG260" s="43">
        <f>SUMPRODUCT((Donnees[Échantillon]=Donnees[[#This Row],[Échantillon]])*(Donnees[Durée (s)]&lt;Donnees[[#This Row],[Durée (s)]]))+(SUMPRODUCT((Donnees[Échantillon]=Donnees[[#This Row],[Échantillon]])*(Donnees[Durée (s)]=Donnees[[#This Row],[Durée (s)]]))+1)/2</f>
        <v>14</v>
      </c>
      <c r="AH260" s="43">
        <f>SUMPRODUCT((Donnees[Échantillon]=Donnees[[#This Row],[Échantillon]])*(Donnees[Nb hashtags]&lt;Donnees[[#This Row],[Nb hashtags]]))+(SUMPRODUCT((Donnees[Échantillon]=Donnees[[#This Row],[Échantillon]])*(Donnees[Nb hashtags]=Donnees[[#This Row],[Nb hashtags]]))+1)/2</f>
        <v>95.5</v>
      </c>
      <c r="AI260" s="43">
        <f>SUMPRODUCT((Donnees[Échantillon]=Donnees[[#This Row],[Échantillon]])*(Donnees[Longueur du texte]&lt;Donnees[[#This Row],[Longueur du texte]]))+(SUMPRODUCT((Donnees[Échantillon]=Donnees[[#This Row],[Échantillon]])*(Donnees[Longueur du texte]=Donnees[[#This Row],[Longueur du texte]]))+1)/2</f>
        <v>13</v>
      </c>
      <c r="AJ260" s="43">
        <f>IF(Donnees[[#This Row],[Abonnés]]="","",SUMPRODUCT((Donnees[Échantillon]=Donnees[[#This Row],[Échantillon]])*(Donnees[Abonnés]&lt;Donnees[[#This Row],[Abonnés]]))+(SUMPRODUCT((Donnees[Échantillon]=Donnees[[#This Row],[Échantillon]])*(Donnees[Abonnés]=Donnees[[#This Row],[Abonnés]]))+1)/2)</f>
        <v>70</v>
      </c>
      <c r="AK260" s="43">
        <f>IF(Donnees[[#This Row],[Vidéos publiées]]="","",SUMPRODUCT((Donnees[Échantillon]=Donnees[[#This Row],[Échantillon]])*(Donnees[Vidéos publiées]&lt;Donnees[[#This Row],[Vidéos publiées]]))+(SUMPRODUCT((Donnees[Échantillon]=Donnees[[#This Row],[Échantillon]])*(Donnees[Vidéos publiées]=Donnees[[#This Row],[Vidéos publiées]]))+1)/2)</f>
        <v>90</v>
      </c>
    </row>
    <row r="261" spans="1:37" x14ac:dyDescent="0.2">
      <c r="A261" s="40" t="s">
        <v>237</v>
      </c>
      <c r="B261" s="40" t="s">
        <v>244</v>
      </c>
      <c r="C261" s="40" t="s">
        <v>50</v>
      </c>
      <c r="D261" s="40">
        <v>489</v>
      </c>
      <c r="E261" s="40" t="s">
        <v>59</v>
      </c>
      <c r="F261" s="40" t="str">
        <f>IF(OR(Donnees[[#This Row],[Jour]]="samedi",Donnees[[#This Row],[Jour]]="dimanche"),"Oui","Non")</f>
        <v>Non</v>
      </c>
      <c r="G261" s="40">
        <v>19</v>
      </c>
      <c r="H261" s="40" t="str">
        <f>IF(Donnees[[#This Row],[Heure UTC]]&lt;6,"0-5 h",IF(Donnees[[#This Row],[Heure UTC]]&lt;12,"6-11 h",IF(Donnees[[#This Row],[Heure UTC]]&lt;18,"12-17 h","18-23 h")))</f>
        <v>18-23 h</v>
      </c>
      <c r="I261" s="40">
        <v>16</v>
      </c>
      <c r="J261" s="40" t="str">
        <f>IF(Donnees[[#This Row],[Durée (s)]]&lt;=10,"1. ≤ 10 s",IF(Donnees[[#This Row],[Durée (s)]]&lt;=15,"2. 11-15 s",IF(Donnees[[#This Row],[Durée (s)]]&lt;=30,"3. 16-30 s",IF(Donnees[[#This Row],[Durée (s)]]&lt;=60,"4. 31-60 s","5. &gt; 60 s"))))</f>
        <v>3. 16-30 s</v>
      </c>
      <c r="K261" s="40" t="str">
        <f>IF(Donnees[[#This Row],[Durée (s)]]&gt;15,"Oui","Non")</f>
        <v>Oui</v>
      </c>
      <c r="L261" s="40">
        <v>9</v>
      </c>
      <c r="M261" s="40" t="s">
        <v>44</v>
      </c>
      <c r="N261" s="40">
        <v>79</v>
      </c>
      <c r="O261" s="40" t="s">
        <v>41</v>
      </c>
      <c r="P261" s="40" t="s">
        <v>41</v>
      </c>
      <c r="Q261" s="40" t="s">
        <v>41</v>
      </c>
      <c r="R261" s="40" t="s">
        <v>44</v>
      </c>
      <c r="S261" s="40" t="s">
        <v>41</v>
      </c>
      <c r="T261" s="41">
        <v>7900000</v>
      </c>
      <c r="U261" s="40" t="str">
        <f>IF(Donnees[[#This Row],[Abonnés]]="","",IF(Donnees[[#This Row],[Abonnés]]&lt;1000000,"1. &lt; 1 M",IF(Donnees[[#This Row],[Abonnés]]&lt;3000000,"2. 1-3 M",IF(Donnees[[#This Row],[Abonnés]]&lt;8000000,"3. 3-8 M","4. ≥ 8 M"))))</f>
        <v>3. 3-8 M</v>
      </c>
      <c r="V261" s="41">
        <v>126</v>
      </c>
      <c r="W261" s="41">
        <v>50100000</v>
      </c>
      <c r="X261" s="41">
        <v>7700000</v>
      </c>
      <c r="Y261" s="41">
        <v>85600</v>
      </c>
      <c r="Z261" s="41">
        <v>198400</v>
      </c>
      <c r="AA261" s="42">
        <f>(Donnees[[#This Row],[Likes]]+Donnees[[#This Row],[Commentaires]]+Donnees[[#This Row],[Partages]])/Donnees[[#This Row],[Vues]]</f>
        <v>0.15936127744510978</v>
      </c>
      <c r="AB261" s="40">
        <f>IF(Donnees[[#This Row],[Engagement]]&gt;=VLOOKUP(Donnees[[#This Row],[Échantillon]],'Méthode &amp; limites'!$B$9:$D$11,2,FALSE),1,0)</f>
        <v>0</v>
      </c>
      <c r="AC261" s="43">
        <f>IF(Donnees[[#This Row],[Abonnés]]="","",Donnees[[#This Row],[Vues]]/Donnees[[#This Row],[Abonnés]])</f>
        <v>6.3417721518987342</v>
      </c>
      <c r="AD261" s="40" t="s">
        <v>44</v>
      </c>
      <c r="AE261" s="43">
        <f>SUMPRODUCT((Donnees[Échantillon]=Donnees[[#This Row],[Échantillon]])*(Donnees[Engagement]&lt;Donnees[[#This Row],[Engagement]]))+(SUMPRODUCT((Donnees[Échantillon]=Donnees[[#This Row],[Échantillon]])*(Donnees[Engagement]=Donnees[[#This Row],[Engagement]]))+1)/2</f>
        <v>48</v>
      </c>
      <c r="AF261" s="43">
        <f>SUMPRODUCT((Donnees[Échantillon]=Donnees[[#This Row],[Échantillon]])*(Donnees[Vues]&lt;Donnees[[#This Row],[Vues]]))+(SUMPRODUCT((Donnees[Échantillon]=Donnees[[#This Row],[Échantillon]])*(Donnees[Vues]=Donnees[[#This Row],[Vues]]))+1)/2</f>
        <v>41</v>
      </c>
      <c r="AG261" s="43">
        <f>SUMPRODUCT((Donnees[Échantillon]=Donnees[[#This Row],[Échantillon]])*(Donnees[Durée (s)]&lt;Donnees[[#This Row],[Durée (s)]]))+(SUMPRODUCT((Donnees[Échantillon]=Donnees[[#This Row],[Échantillon]])*(Donnees[Durée (s)]=Donnees[[#This Row],[Durée (s)]]))+1)/2</f>
        <v>48</v>
      </c>
      <c r="AH261" s="43">
        <f>SUMPRODUCT((Donnees[Échantillon]=Donnees[[#This Row],[Échantillon]])*(Donnees[Nb hashtags]&lt;Donnees[[#This Row],[Nb hashtags]]))+(SUMPRODUCT((Donnees[Échantillon]=Donnees[[#This Row],[Échantillon]])*(Donnees[Nb hashtags]=Donnees[[#This Row],[Nb hashtags]]))+1)/2</f>
        <v>60</v>
      </c>
      <c r="AI261" s="43">
        <f>SUMPRODUCT((Donnees[Échantillon]=Donnees[[#This Row],[Échantillon]])*(Donnees[Longueur du texte]&lt;Donnees[[#This Row],[Longueur du texte]]))+(SUMPRODUCT((Donnees[Échantillon]=Donnees[[#This Row],[Échantillon]])*(Donnees[Longueur du texte]=Donnees[[#This Row],[Longueur du texte]]))+1)/2</f>
        <v>96.5</v>
      </c>
      <c r="AJ261" s="43">
        <f>IF(Donnees[[#This Row],[Abonnés]]="","",SUMPRODUCT((Donnees[Échantillon]=Donnees[[#This Row],[Échantillon]])*(Donnees[Abonnés]&lt;Donnees[[#This Row],[Abonnés]]))+(SUMPRODUCT((Donnees[Échantillon]=Donnees[[#This Row],[Échantillon]])*(Donnees[Abonnés]=Donnees[[#This Row],[Abonnés]]))+1)/2)</f>
        <v>76</v>
      </c>
      <c r="AK261" s="43">
        <f>IF(Donnees[[#This Row],[Vidéos publiées]]="","",SUMPRODUCT((Donnees[Échantillon]=Donnees[[#This Row],[Échantillon]])*(Donnees[Vidéos publiées]&lt;Donnees[[#This Row],[Vidéos publiées]]))+(SUMPRODUCT((Donnees[Échantillon]=Donnees[[#This Row],[Échantillon]])*(Donnees[Vidéos publiées]=Donnees[[#This Row],[Vidéos publiées]]))+1)/2)</f>
        <v>36.5</v>
      </c>
    </row>
    <row r="262" spans="1:37" x14ac:dyDescent="0.2">
      <c r="A262" s="40" t="s">
        <v>237</v>
      </c>
      <c r="B262" s="40" t="s">
        <v>283</v>
      </c>
      <c r="C262" s="40" t="s">
        <v>46</v>
      </c>
      <c r="D262" s="40">
        <v>366</v>
      </c>
      <c r="E262" s="40" t="s">
        <v>56</v>
      </c>
      <c r="F262" s="40" t="str">
        <f>IF(OR(Donnees[[#This Row],[Jour]]="samedi",Donnees[[#This Row],[Jour]]="dimanche"),"Oui","Non")</f>
        <v>Oui</v>
      </c>
      <c r="G262" s="40">
        <v>21</v>
      </c>
      <c r="H262" s="40" t="str">
        <f>IF(Donnees[[#This Row],[Heure UTC]]&lt;6,"0-5 h",IF(Donnees[[#This Row],[Heure UTC]]&lt;12,"6-11 h",IF(Donnees[[#This Row],[Heure UTC]]&lt;18,"12-17 h","18-23 h")))</f>
        <v>18-23 h</v>
      </c>
      <c r="I262" s="40">
        <v>42</v>
      </c>
      <c r="J262" s="40" t="str">
        <f>IF(Donnees[[#This Row],[Durée (s)]]&lt;=10,"1. ≤ 10 s",IF(Donnees[[#This Row],[Durée (s)]]&lt;=15,"2. 11-15 s",IF(Donnees[[#This Row],[Durée (s)]]&lt;=30,"3. 16-30 s",IF(Donnees[[#This Row],[Durée (s)]]&lt;=60,"4. 31-60 s","5. &gt; 60 s"))))</f>
        <v>4. 31-60 s</v>
      </c>
      <c r="K262" s="40" t="str">
        <f>IF(Donnees[[#This Row],[Durée (s)]]&gt;15,"Oui","Non")</f>
        <v>Oui</v>
      </c>
      <c r="L262" s="40">
        <v>7</v>
      </c>
      <c r="M262" s="40" t="s">
        <v>41</v>
      </c>
      <c r="N262" s="40">
        <v>44</v>
      </c>
      <c r="O262" s="40" t="s">
        <v>41</v>
      </c>
      <c r="P262" s="40" t="s">
        <v>41</v>
      </c>
      <c r="Q262" s="40" t="s">
        <v>41</v>
      </c>
      <c r="R262" s="40" t="s">
        <v>44</v>
      </c>
      <c r="S262" s="40" t="s">
        <v>44</v>
      </c>
      <c r="T262" s="41">
        <v>3600000</v>
      </c>
      <c r="U262" s="40" t="str">
        <f>IF(Donnees[[#This Row],[Abonnés]]="","",IF(Donnees[[#This Row],[Abonnés]]&lt;1000000,"1. &lt; 1 M",IF(Donnees[[#This Row],[Abonnés]]&lt;3000000,"2. 1-3 M",IF(Donnees[[#This Row],[Abonnés]]&lt;8000000,"3. 3-8 M","4. ≥ 8 M"))))</f>
        <v>3. 3-8 M</v>
      </c>
      <c r="V262" s="41">
        <v>1020</v>
      </c>
      <c r="W262" s="41">
        <v>49800000</v>
      </c>
      <c r="X262" s="41">
        <v>7000000</v>
      </c>
      <c r="Y262" s="41">
        <v>11100</v>
      </c>
      <c r="Z262" s="41">
        <v>40800</v>
      </c>
      <c r="AA262" s="42">
        <f>(Donnees[[#This Row],[Likes]]+Donnees[[#This Row],[Commentaires]]+Donnees[[#This Row],[Partages]])/Donnees[[#This Row],[Vues]]</f>
        <v>0.14160441767068274</v>
      </c>
      <c r="AB262" s="40">
        <f>IF(Donnees[[#This Row],[Engagement]]&gt;=VLOOKUP(Donnees[[#This Row],[Échantillon]],'Méthode &amp; limites'!$B$9:$D$11,2,FALSE),1,0)</f>
        <v>0</v>
      </c>
      <c r="AC262" s="43">
        <f>IF(Donnees[[#This Row],[Abonnés]]="","",Donnees[[#This Row],[Vues]]/Donnees[[#This Row],[Abonnés]])</f>
        <v>13.833333333333334</v>
      </c>
      <c r="AD262" s="40" t="s">
        <v>44</v>
      </c>
      <c r="AE262" s="43">
        <f>SUMPRODUCT((Donnees[Échantillon]=Donnees[[#This Row],[Échantillon]])*(Donnees[Engagement]&lt;Donnees[[#This Row],[Engagement]]))+(SUMPRODUCT((Donnees[Échantillon]=Donnees[[#This Row],[Échantillon]])*(Donnees[Engagement]=Donnees[[#This Row],[Engagement]]))+1)/2</f>
        <v>36</v>
      </c>
      <c r="AF262" s="43">
        <f>SUMPRODUCT((Donnees[Échantillon]=Donnees[[#This Row],[Échantillon]])*(Donnees[Vues]&lt;Donnees[[#This Row],[Vues]]))+(SUMPRODUCT((Donnees[Échantillon]=Donnees[[#This Row],[Échantillon]])*(Donnees[Vues]=Donnees[[#This Row],[Vues]]))+1)/2</f>
        <v>40</v>
      </c>
      <c r="AG262" s="43">
        <f>SUMPRODUCT((Donnees[Échantillon]=Donnees[[#This Row],[Échantillon]])*(Donnees[Durée (s)]&lt;Donnees[[#This Row],[Durée (s)]]))+(SUMPRODUCT((Donnees[Échantillon]=Donnees[[#This Row],[Échantillon]])*(Donnees[Durée (s)]=Donnees[[#This Row],[Durée (s)]]))+1)/2</f>
        <v>82</v>
      </c>
      <c r="AH262" s="43">
        <f>SUMPRODUCT((Donnees[Échantillon]=Donnees[[#This Row],[Échantillon]])*(Donnees[Nb hashtags]&lt;Donnees[[#This Row],[Nb hashtags]]))+(SUMPRODUCT((Donnees[Échantillon]=Donnees[[#This Row],[Échantillon]])*(Donnees[Nb hashtags]=Donnees[[#This Row],[Nb hashtags]]))+1)/2</f>
        <v>37.5</v>
      </c>
      <c r="AI262" s="43">
        <f>SUMPRODUCT((Donnees[Échantillon]=Donnees[[#This Row],[Échantillon]])*(Donnees[Longueur du texte]&lt;Donnees[[#This Row],[Longueur du texte]]))+(SUMPRODUCT((Donnees[Échantillon]=Donnees[[#This Row],[Échantillon]])*(Donnees[Longueur du texte]=Donnees[[#This Row],[Longueur du texte]]))+1)/2</f>
        <v>78.5</v>
      </c>
      <c r="AJ262" s="43">
        <f>IF(Donnees[[#This Row],[Abonnés]]="","",SUMPRODUCT((Donnees[Échantillon]=Donnees[[#This Row],[Échantillon]])*(Donnees[Abonnés]&lt;Donnees[[#This Row],[Abonnés]]))+(SUMPRODUCT((Donnees[Échantillon]=Donnees[[#This Row],[Échantillon]])*(Donnees[Abonnés]=Donnees[[#This Row],[Abonnés]]))+1)/2)</f>
        <v>53</v>
      </c>
      <c r="AK262" s="43">
        <f>IF(Donnees[[#This Row],[Vidéos publiées]]="","",SUMPRODUCT((Donnees[Échantillon]=Donnees[[#This Row],[Échantillon]])*(Donnees[Vidéos publiées]&lt;Donnees[[#This Row],[Vidéos publiées]]))+(SUMPRODUCT((Donnees[Échantillon]=Donnees[[#This Row],[Échantillon]])*(Donnees[Vidéos publiées]=Donnees[[#This Row],[Vidéos publiées]]))+1)/2)</f>
        <v>91</v>
      </c>
    </row>
    <row r="263" spans="1:37" x14ac:dyDescent="0.2">
      <c r="A263" s="40" t="s">
        <v>237</v>
      </c>
      <c r="B263" s="40" t="s">
        <v>244</v>
      </c>
      <c r="C263" s="40" t="s">
        <v>50</v>
      </c>
      <c r="D263" s="40">
        <v>222</v>
      </c>
      <c r="E263" s="40" t="s">
        <v>47</v>
      </c>
      <c r="F263" s="40" t="str">
        <f>IF(OR(Donnees[[#This Row],[Jour]]="samedi",Donnees[[#This Row],[Jour]]="dimanche"),"Oui","Non")</f>
        <v>Non</v>
      </c>
      <c r="G263" s="40">
        <v>2</v>
      </c>
      <c r="H263" s="40" t="str">
        <f>IF(Donnees[[#This Row],[Heure UTC]]&lt;6,"0-5 h",IF(Donnees[[#This Row],[Heure UTC]]&lt;12,"6-11 h",IF(Donnees[[#This Row],[Heure UTC]]&lt;18,"12-17 h","18-23 h")))</f>
        <v>0-5 h</v>
      </c>
      <c r="I263" s="40">
        <v>14</v>
      </c>
      <c r="J263" s="40" t="str">
        <f>IF(Donnees[[#This Row],[Durée (s)]]&lt;=10,"1. ≤ 10 s",IF(Donnees[[#This Row],[Durée (s)]]&lt;=15,"2. 11-15 s",IF(Donnees[[#This Row],[Durée (s)]]&lt;=30,"3. 16-30 s",IF(Donnees[[#This Row],[Durée (s)]]&lt;=60,"4. 31-60 s","5. &gt; 60 s"))))</f>
        <v>2. 11-15 s</v>
      </c>
      <c r="K263" s="40" t="str">
        <f>IF(Donnees[[#This Row],[Durée (s)]]&gt;15,"Oui","Non")</f>
        <v>Non</v>
      </c>
      <c r="L263" s="40">
        <v>13</v>
      </c>
      <c r="M263" s="40" t="s">
        <v>44</v>
      </c>
      <c r="N263" s="40">
        <v>43</v>
      </c>
      <c r="O263" s="40" t="s">
        <v>41</v>
      </c>
      <c r="P263" s="40" t="s">
        <v>41</v>
      </c>
      <c r="Q263" s="40" t="s">
        <v>41</v>
      </c>
      <c r="R263" s="40" t="s">
        <v>44</v>
      </c>
      <c r="S263" s="40" t="s">
        <v>44</v>
      </c>
      <c r="T263" s="41">
        <v>7900000</v>
      </c>
      <c r="U263" s="40" t="str">
        <f>IF(Donnees[[#This Row],[Abonnés]]="","",IF(Donnees[[#This Row],[Abonnés]]&lt;1000000,"1. &lt; 1 M",IF(Donnees[[#This Row],[Abonnés]]&lt;3000000,"2. 1-3 M",IF(Donnees[[#This Row],[Abonnés]]&lt;8000000,"3. 3-8 M","4. ≥ 8 M"))))</f>
        <v>3. 3-8 M</v>
      </c>
      <c r="V263" s="41">
        <v>126</v>
      </c>
      <c r="W263" s="41">
        <v>49700000</v>
      </c>
      <c r="X263" s="41">
        <v>8700000</v>
      </c>
      <c r="Y263" s="41">
        <v>143200</v>
      </c>
      <c r="Z263" s="41">
        <v>330900</v>
      </c>
      <c r="AA263" s="42">
        <f>(Donnees[[#This Row],[Likes]]+Donnees[[#This Row],[Commentaires]]+Donnees[[#This Row],[Partages]])/Donnees[[#This Row],[Vues]]</f>
        <v>0.18458953722334004</v>
      </c>
      <c r="AB263" s="40">
        <f>IF(Donnees[[#This Row],[Engagement]]&gt;=VLOOKUP(Donnees[[#This Row],[Échantillon]],'Méthode &amp; limites'!$B$9:$D$11,2,FALSE),1,0)</f>
        <v>0</v>
      </c>
      <c r="AC263" s="43">
        <f>IF(Donnees[[#This Row],[Abonnés]]="","",Donnees[[#This Row],[Vues]]/Donnees[[#This Row],[Abonnés]])</f>
        <v>6.2911392405063289</v>
      </c>
      <c r="AD263" s="40" t="s">
        <v>44</v>
      </c>
      <c r="AE263" s="43">
        <f>SUMPRODUCT((Donnees[Échantillon]=Donnees[[#This Row],[Échantillon]])*(Donnees[Engagement]&lt;Donnees[[#This Row],[Engagement]]))+(SUMPRODUCT((Donnees[Échantillon]=Donnees[[#This Row],[Échantillon]])*(Donnees[Engagement]=Donnees[[#This Row],[Engagement]]))+1)/2</f>
        <v>59</v>
      </c>
      <c r="AF263" s="43">
        <f>SUMPRODUCT((Donnees[Échantillon]=Donnees[[#This Row],[Échantillon]])*(Donnees[Vues]&lt;Donnees[[#This Row],[Vues]]))+(SUMPRODUCT((Donnees[Échantillon]=Donnees[[#This Row],[Échantillon]])*(Donnees[Vues]=Donnees[[#This Row],[Vues]]))+1)/2</f>
        <v>39</v>
      </c>
      <c r="AG263" s="43">
        <f>SUMPRODUCT((Donnees[Échantillon]=Donnees[[#This Row],[Échantillon]])*(Donnees[Durée (s)]&lt;Donnees[[#This Row],[Durée (s)]]))+(SUMPRODUCT((Donnees[Échantillon]=Donnees[[#This Row],[Échantillon]])*(Donnees[Durée (s)]=Donnees[[#This Row],[Durée (s)]]))+1)/2</f>
        <v>38</v>
      </c>
      <c r="AH263" s="43">
        <f>SUMPRODUCT((Donnees[Échantillon]=Donnees[[#This Row],[Échantillon]])*(Donnees[Nb hashtags]&lt;Donnees[[#This Row],[Nb hashtags]]))+(SUMPRODUCT((Donnees[Échantillon]=Donnees[[#This Row],[Échantillon]])*(Donnees[Nb hashtags]=Donnees[[#This Row],[Nb hashtags]]))+1)/2</f>
        <v>87.5</v>
      </c>
      <c r="AI263" s="43">
        <f>SUMPRODUCT((Donnees[Échantillon]=Donnees[[#This Row],[Échantillon]])*(Donnees[Longueur du texte]&lt;Donnees[[#This Row],[Longueur du texte]]))+(SUMPRODUCT((Donnees[Échantillon]=Donnees[[#This Row],[Échantillon]])*(Donnees[Longueur du texte]=Donnees[[#This Row],[Longueur du texte]]))+1)/2</f>
        <v>77</v>
      </c>
      <c r="AJ263" s="43">
        <f>IF(Donnees[[#This Row],[Abonnés]]="","",SUMPRODUCT((Donnees[Échantillon]=Donnees[[#This Row],[Échantillon]])*(Donnees[Abonnés]&lt;Donnees[[#This Row],[Abonnés]]))+(SUMPRODUCT((Donnees[Échantillon]=Donnees[[#This Row],[Échantillon]])*(Donnees[Abonnés]=Donnees[[#This Row],[Abonnés]]))+1)/2)</f>
        <v>76</v>
      </c>
      <c r="AK263" s="43">
        <f>IF(Donnees[[#This Row],[Vidéos publiées]]="","",SUMPRODUCT((Donnees[Échantillon]=Donnees[[#This Row],[Échantillon]])*(Donnees[Vidéos publiées]&lt;Donnees[[#This Row],[Vidéos publiées]]))+(SUMPRODUCT((Donnees[Échantillon]=Donnees[[#This Row],[Échantillon]])*(Donnees[Vidéos publiées]=Donnees[[#This Row],[Vidéos publiées]]))+1)/2)</f>
        <v>36.5</v>
      </c>
    </row>
    <row r="264" spans="1:37" x14ac:dyDescent="0.2">
      <c r="A264" s="40" t="s">
        <v>237</v>
      </c>
      <c r="B264" s="40" t="s">
        <v>284</v>
      </c>
      <c r="C264" s="40" t="s">
        <v>50</v>
      </c>
      <c r="D264" s="40">
        <v>567</v>
      </c>
      <c r="E264" s="40" t="s">
        <v>40</v>
      </c>
      <c r="F264" s="40" t="str">
        <f>IF(OR(Donnees[[#This Row],[Jour]]="samedi",Donnees[[#This Row],[Jour]]="dimanche"),"Oui","Non")</f>
        <v>Non</v>
      </c>
      <c r="G264" s="40">
        <v>18</v>
      </c>
      <c r="H264" s="40" t="str">
        <f>IF(Donnees[[#This Row],[Heure UTC]]&lt;6,"0-5 h",IF(Donnees[[#This Row],[Heure UTC]]&lt;12,"6-11 h",IF(Donnees[[#This Row],[Heure UTC]]&lt;18,"12-17 h","18-23 h")))</f>
        <v>18-23 h</v>
      </c>
      <c r="I264" s="40">
        <v>9</v>
      </c>
      <c r="J264" s="40" t="str">
        <f>IF(Donnees[[#This Row],[Durée (s)]]&lt;=10,"1. ≤ 10 s",IF(Donnees[[#This Row],[Durée (s)]]&lt;=15,"2. 11-15 s",IF(Donnees[[#This Row],[Durée (s)]]&lt;=30,"3. 16-30 s",IF(Donnees[[#This Row],[Durée (s)]]&lt;=60,"4. 31-60 s","5. &gt; 60 s"))))</f>
        <v>1. ≤ 10 s</v>
      </c>
      <c r="K264" s="40" t="str">
        <f>IF(Donnees[[#This Row],[Durée (s)]]&gt;15,"Oui","Non")</f>
        <v>Non</v>
      </c>
      <c r="L264" s="40">
        <v>5</v>
      </c>
      <c r="M264" s="40" t="s">
        <v>44</v>
      </c>
      <c r="N264" s="40">
        <v>77</v>
      </c>
      <c r="O264" s="40" t="s">
        <v>41</v>
      </c>
      <c r="P264" s="40" t="s">
        <v>41</v>
      </c>
      <c r="Q264" s="40" t="s">
        <v>41</v>
      </c>
      <c r="R264" s="40" t="s">
        <v>41</v>
      </c>
      <c r="S264" s="40" t="s">
        <v>44</v>
      </c>
      <c r="T264" s="41">
        <v>7900000</v>
      </c>
      <c r="U264" s="40" t="str">
        <f>IF(Donnees[[#This Row],[Abonnés]]="","",IF(Donnees[[#This Row],[Abonnés]]&lt;1000000,"1. &lt; 1 M",IF(Donnees[[#This Row],[Abonnés]]&lt;3000000,"2. 1-3 M",IF(Donnees[[#This Row],[Abonnés]]&lt;8000000,"3. 3-8 M","4. ≥ 8 M"))))</f>
        <v>3. 3-8 M</v>
      </c>
      <c r="V264" s="41">
        <v>1278</v>
      </c>
      <c r="W264" s="41">
        <v>49600000</v>
      </c>
      <c r="X264" s="41">
        <v>9900000</v>
      </c>
      <c r="Y264" s="41">
        <v>41200</v>
      </c>
      <c r="Z264" s="41">
        <v>536500</v>
      </c>
      <c r="AA264" s="42">
        <f>(Donnees[[#This Row],[Likes]]+Donnees[[#This Row],[Commentaires]]+Donnees[[#This Row],[Partages]])/Donnees[[#This Row],[Vues]]</f>
        <v>0.21124395161290321</v>
      </c>
      <c r="AB264" s="40">
        <f>IF(Donnees[[#This Row],[Engagement]]&gt;=VLOOKUP(Donnees[[#This Row],[Échantillon]],'Méthode &amp; limites'!$B$9:$D$11,2,FALSE),1,0)</f>
        <v>1</v>
      </c>
      <c r="AC264" s="43">
        <f>IF(Donnees[[#This Row],[Abonnés]]="","",Donnees[[#This Row],[Vues]]/Donnees[[#This Row],[Abonnés]])</f>
        <v>6.2784810126582276</v>
      </c>
      <c r="AD264" s="40" t="s">
        <v>44</v>
      </c>
      <c r="AE264" s="43">
        <f>SUMPRODUCT((Donnees[Échantillon]=Donnees[[#This Row],[Échantillon]])*(Donnees[Engagement]&lt;Donnees[[#This Row],[Engagement]]))+(SUMPRODUCT((Donnees[Échantillon]=Donnees[[#This Row],[Échantillon]])*(Donnees[Engagement]=Donnees[[#This Row],[Engagement]]))+1)/2</f>
        <v>81</v>
      </c>
      <c r="AF264" s="43">
        <f>SUMPRODUCT((Donnees[Échantillon]=Donnees[[#This Row],[Échantillon]])*(Donnees[Vues]&lt;Donnees[[#This Row],[Vues]]))+(SUMPRODUCT((Donnees[Échantillon]=Donnees[[#This Row],[Échantillon]])*(Donnees[Vues]=Donnees[[#This Row],[Vues]]))+1)/2</f>
        <v>38</v>
      </c>
      <c r="AG264" s="43">
        <f>SUMPRODUCT((Donnees[Échantillon]=Donnees[[#This Row],[Échantillon]])*(Donnees[Durée (s)]&lt;Donnees[[#This Row],[Durée (s)]]))+(SUMPRODUCT((Donnees[Échantillon]=Donnees[[#This Row],[Échantillon]])*(Donnees[Durée (s)]=Donnees[[#This Row],[Durée (s)]]))+1)/2</f>
        <v>14</v>
      </c>
      <c r="AH264" s="43">
        <f>SUMPRODUCT((Donnees[Échantillon]=Donnees[[#This Row],[Échantillon]])*(Donnees[Nb hashtags]&lt;Donnees[[#This Row],[Nb hashtags]]))+(SUMPRODUCT((Donnees[Échantillon]=Donnees[[#This Row],[Échantillon]])*(Donnees[Nb hashtags]=Donnees[[#This Row],[Nb hashtags]]))+1)/2</f>
        <v>22</v>
      </c>
      <c r="AI264" s="43">
        <f>SUMPRODUCT((Donnees[Échantillon]=Donnees[[#This Row],[Échantillon]])*(Donnees[Longueur du texte]&lt;Donnees[[#This Row],[Longueur du texte]]))+(SUMPRODUCT((Donnees[Échantillon]=Donnees[[#This Row],[Échantillon]])*(Donnees[Longueur du texte]=Donnees[[#This Row],[Longueur du texte]]))+1)/2</f>
        <v>95</v>
      </c>
      <c r="AJ264" s="43">
        <f>IF(Donnees[[#This Row],[Abonnés]]="","",SUMPRODUCT((Donnees[Échantillon]=Donnees[[#This Row],[Échantillon]])*(Donnees[Abonnés]&lt;Donnees[[#This Row],[Abonnés]]))+(SUMPRODUCT((Donnees[Échantillon]=Donnees[[#This Row],[Échantillon]])*(Donnees[Abonnés]=Donnees[[#This Row],[Abonnés]]))+1)/2)</f>
        <v>76</v>
      </c>
      <c r="AK264" s="43">
        <f>IF(Donnees[[#This Row],[Vidéos publiées]]="","",SUMPRODUCT((Donnees[Échantillon]=Donnees[[#This Row],[Échantillon]])*(Donnees[Vidéos publiées]&lt;Donnees[[#This Row],[Vidéos publiées]]))+(SUMPRODUCT((Donnees[Échantillon]=Donnees[[#This Row],[Échantillon]])*(Donnees[Vidéos publiées]=Donnees[[#This Row],[Vidéos publiées]]))+1)/2)</f>
        <v>96</v>
      </c>
    </row>
    <row r="265" spans="1:37" x14ac:dyDescent="0.2">
      <c r="A265" s="40" t="s">
        <v>237</v>
      </c>
      <c r="B265" s="40" t="s">
        <v>285</v>
      </c>
      <c r="C265" s="40" t="s">
        <v>50</v>
      </c>
      <c r="D265" s="40">
        <v>223</v>
      </c>
      <c r="E265" s="40" t="s">
        <v>59</v>
      </c>
      <c r="F265" s="40" t="str">
        <f>IF(OR(Donnees[[#This Row],[Jour]]="samedi",Donnees[[#This Row],[Jour]]="dimanche"),"Oui","Non")</f>
        <v>Non</v>
      </c>
      <c r="G265" s="40">
        <v>22</v>
      </c>
      <c r="H265" s="40" t="str">
        <f>IF(Donnees[[#This Row],[Heure UTC]]&lt;6,"0-5 h",IF(Donnees[[#This Row],[Heure UTC]]&lt;12,"6-11 h",IF(Donnees[[#This Row],[Heure UTC]]&lt;18,"12-17 h","18-23 h")))</f>
        <v>18-23 h</v>
      </c>
      <c r="I265" s="40">
        <v>35</v>
      </c>
      <c r="J265" s="40" t="str">
        <f>IF(Donnees[[#This Row],[Durée (s)]]&lt;=10,"1. ≤ 10 s",IF(Donnees[[#This Row],[Durée (s)]]&lt;=15,"2. 11-15 s",IF(Donnees[[#This Row],[Durée (s)]]&lt;=30,"3. 16-30 s",IF(Donnees[[#This Row],[Durée (s)]]&lt;=60,"4. 31-60 s","5. &gt; 60 s"))))</f>
        <v>4. 31-60 s</v>
      </c>
      <c r="K265" s="40" t="str">
        <f>IF(Donnees[[#This Row],[Durée (s)]]&gt;15,"Oui","Non")</f>
        <v>Oui</v>
      </c>
      <c r="L265" s="40">
        <v>13</v>
      </c>
      <c r="M265" s="40" t="s">
        <v>44</v>
      </c>
      <c r="N265" s="40">
        <v>10</v>
      </c>
      <c r="O265" s="40" t="s">
        <v>41</v>
      </c>
      <c r="P265" s="40" t="s">
        <v>44</v>
      </c>
      <c r="Q265" s="40" t="s">
        <v>41</v>
      </c>
      <c r="R265" s="40" t="s">
        <v>41</v>
      </c>
      <c r="S265" s="40" t="s">
        <v>44</v>
      </c>
      <c r="T265" s="41">
        <v>6500000</v>
      </c>
      <c r="U265" s="40" t="str">
        <f>IF(Donnees[[#This Row],[Abonnés]]="","",IF(Donnees[[#This Row],[Abonnés]]&lt;1000000,"1. &lt; 1 M",IF(Donnees[[#This Row],[Abonnés]]&lt;3000000,"2. 1-3 M",IF(Donnees[[#This Row],[Abonnés]]&lt;8000000,"3. 3-8 M","4. ≥ 8 M"))))</f>
        <v>3. 3-8 M</v>
      </c>
      <c r="V265" s="41">
        <v>672</v>
      </c>
      <c r="W265" s="41">
        <v>49400000</v>
      </c>
      <c r="X265" s="41">
        <v>8900000</v>
      </c>
      <c r="Y265" s="41">
        <v>93800</v>
      </c>
      <c r="Z265" s="41">
        <v>253400</v>
      </c>
      <c r="AA265" s="42">
        <f>(Donnees[[#This Row],[Likes]]+Donnees[[#This Row],[Commentaires]]+Donnees[[#This Row],[Partages]])/Donnees[[#This Row],[Vues]]</f>
        <v>0.1871902834008097</v>
      </c>
      <c r="AB265" s="40">
        <f>IF(Donnees[[#This Row],[Engagement]]&gt;=VLOOKUP(Donnees[[#This Row],[Échantillon]],'Méthode &amp; limites'!$B$9:$D$11,2,FALSE),1,0)</f>
        <v>0</v>
      </c>
      <c r="AC265" s="43">
        <f>IF(Donnees[[#This Row],[Abonnés]]="","",Donnees[[#This Row],[Vues]]/Donnees[[#This Row],[Abonnés]])</f>
        <v>7.6</v>
      </c>
      <c r="AD265" s="40" t="s">
        <v>44</v>
      </c>
      <c r="AE265" s="43">
        <f>SUMPRODUCT((Donnees[Échantillon]=Donnees[[#This Row],[Échantillon]])*(Donnees[Engagement]&lt;Donnees[[#This Row],[Engagement]]))+(SUMPRODUCT((Donnees[Échantillon]=Donnees[[#This Row],[Échantillon]])*(Donnees[Engagement]=Donnees[[#This Row],[Engagement]]))+1)/2</f>
        <v>62</v>
      </c>
      <c r="AF265" s="43">
        <f>SUMPRODUCT((Donnees[Échantillon]=Donnees[[#This Row],[Échantillon]])*(Donnees[Vues]&lt;Donnees[[#This Row],[Vues]]))+(SUMPRODUCT((Donnees[Échantillon]=Donnees[[#This Row],[Échantillon]])*(Donnees[Vues]=Donnees[[#This Row],[Vues]]))+1)/2</f>
        <v>37</v>
      </c>
      <c r="AG265" s="43">
        <f>SUMPRODUCT((Donnees[Échantillon]=Donnees[[#This Row],[Échantillon]])*(Donnees[Durée (s)]&lt;Donnees[[#This Row],[Durée (s)]]))+(SUMPRODUCT((Donnees[Échantillon]=Donnees[[#This Row],[Échantillon]])*(Donnees[Durée (s)]=Donnees[[#This Row],[Durée (s)]]))+1)/2</f>
        <v>75.5</v>
      </c>
      <c r="AH265" s="43">
        <f>SUMPRODUCT((Donnees[Échantillon]=Donnees[[#This Row],[Échantillon]])*(Donnees[Nb hashtags]&lt;Donnees[[#This Row],[Nb hashtags]]))+(SUMPRODUCT((Donnees[Échantillon]=Donnees[[#This Row],[Échantillon]])*(Donnees[Nb hashtags]=Donnees[[#This Row],[Nb hashtags]]))+1)/2</f>
        <v>87.5</v>
      </c>
      <c r="AI265" s="43">
        <f>SUMPRODUCT((Donnees[Échantillon]=Donnees[[#This Row],[Échantillon]])*(Donnees[Longueur du texte]&lt;Donnees[[#This Row],[Longueur du texte]]))+(SUMPRODUCT((Donnees[Échantillon]=Donnees[[#This Row],[Échantillon]])*(Donnees[Longueur du texte]=Donnees[[#This Row],[Longueur du texte]]))+1)/2</f>
        <v>27.5</v>
      </c>
      <c r="AJ265" s="43">
        <f>IF(Donnees[[#This Row],[Abonnés]]="","",SUMPRODUCT((Donnees[Échantillon]=Donnees[[#This Row],[Échantillon]])*(Donnees[Abonnés]&lt;Donnees[[#This Row],[Abonnés]]))+(SUMPRODUCT((Donnees[Échantillon]=Donnees[[#This Row],[Échantillon]])*(Donnees[Abonnés]=Donnees[[#This Row],[Abonnés]]))+1)/2)</f>
        <v>69</v>
      </c>
      <c r="AK265" s="43">
        <f>IF(Donnees[[#This Row],[Vidéos publiées]]="","",SUMPRODUCT((Donnees[Échantillon]=Donnees[[#This Row],[Échantillon]])*(Donnees[Vidéos publiées]&lt;Donnees[[#This Row],[Vidéos publiées]]))+(SUMPRODUCT((Donnees[Échantillon]=Donnees[[#This Row],[Échantillon]])*(Donnees[Vidéos publiées]=Donnees[[#This Row],[Vidéos publiées]]))+1)/2)</f>
        <v>84</v>
      </c>
    </row>
    <row r="266" spans="1:37" x14ac:dyDescent="0.2">
      <c r="A266" s="40" t="s">
        <v>237</v>
      </c>
      <c r="B266" s="40" t="s">
        <v>286</v>
      </c>
      <c r="C266" s="40" t="s">
        <v>62</v>
      </c>
      <c r="D266" s="40">
        <v>429</v>
      </c>
      <c r="E266" s="40" t="s">
        <v>56</v>
      </c>
      <c r="F266" s="40" t="str">
        <f>IF(OR(Donnees[[#This Row],[Jour]]="samedi",Donnees[[#This Row],[Jour]]="dimanche"),"Oui","Non")</f>
        <v>Oui</v>
      </c>
      <c r="G266" s="40">
        <v>21</v>
      </c>
      <c r="H266" s="40" t="str">
        <f>IF(Donnees[[#This Row],[Heure UTC]]&lt;6,"0-5 h",IF(Donnees[[#This Row],[Heure UTC]]&lt;12,"6-11 h",IF(Donnees[[#This Row],[Heure UTC]]&lt;18,"12-17 h","18-23 h")))</f>
        <v>18-23 h</v>
      </c>
      <c r="I266" s="40">
        <v>30</v>
      </c>
      <c r="J266" s="40" t="str">
        <f>IF(Donnees[[#This Row],[Durée (s)]]&lt;=10,"1. ≤ 10 s",IF(Donnees[[#This Row],[Durée (s)]]&lt;=15,"2. 11-15 s",IF(Donnees[[#This Row],[Durée (s)]]&lt;=30,"3. 16-30 s",IF(Donnees[[#This Row],[Durée (s)]]&lt;=60,"4. 31-60 s","5. &gt; 60 s"))))</f>
        <v>3. 16-30 s</v>
      </c>
      <c r="K266" s="40" t="str">
        <f>IF(Donnees[[#This Row],[Durée (s)]]&gt;15,"Oui","Non")</f>
        <v>Oui</v>
      </c>
      <c r="L266" s="40">
        <v>10</v>
      </c>
      <c r="M266" s="40" t="s">
        <v>44</v>
      </c>
      <c r="N266" s="40">
        <v>0</v>
      </c>
      <c r="O266" s="40" t="s">
        <v>41</v>
      </c>
      <c r="P266" s="40" t="s">
        <v>41</v>
      </c>
      <c r="Q266" s="40" t="s">
        <v>41</v>
      </c>
      <c r="R266" s="40" t="s">
        <v>44</v>
      </c>
      <c r="S266" s="40" t="s">
        <v>44</v>
      </c>
      <c r="T266" s="41">
        <v>287800</v>
      </c>
      <c r="U266" s="40" t="str">
        <f>IF(Donnees[[#This Row],[Abonnés]]="","",IF(Donnees[[#This Row],[Abonnés]]&lt;1000000,"1. &lt; 1 M",IF(Donnees[[#This Row],[Abonnés]]&lt;3000000,"2. 1-3 M",IF(Donnees[[#This Row],[Abonnés]]&lt;8000000,"3. 3-8 M","4. ≥ 8 M"))))</f>
        <v>1. &lt; 1 M</v>
      </c>
      <c r="V266" s="41">
        <v>881</v>
      </c>
      <c r="W266" s="41">
        <v>49200000</v>
      </c>
      <c r="X266" s="41">
        <v>7100000</v>
      </c>
      <c r="Y266" s="41">
        <v>27500</v>
      </c>
      <c r="Z266" s="41">
        <v>19400</v>
      </c>
      <c r="AA266" s="42">
        <f>(Donnees[[#This Row],[Likes]]+Donnees[[#This Row],[Commentaires]]+Donnees[[#This Row],[Partages]])/Donnees[[#This Row],[Vues]]</f>
        <v>0.14526219512195121</v>
      </c>
      <c r="AB266" s="40">
        <f>IF(Donnees[[#This Row],[Engagement]]&gt;=VLOOKUP(Donnees[[#This Row],[Échantillon]],'Méthode &amp; limites'!$B$9:$D$11,2,FALSE),1,0)</f>
        <v>0</v>
      </c>
      <c r="AC266" s="43">
        <f>IF(Donnees[[#This Row],[Abonnés]]="","",Donnees[[#This Row],[Vues]]/Donnees[[#This Row],[Abonnés]])</f>
        <v>170.95205003474635</v>
      </c>
      <c r="AD266" s="40" t="s">
        <v>44</v>
      </c>
      <c r="AE266" s="43">
        <f>SUMPRODUCT((Donnees[Échantillon]=Donnees[[#This Row],[Échantillon]])*(Donnees[Engagement]&lt;Donnees[[#This Row],[Engagement]]))+(SUMPRODUCT((Donnees[Échantillon]=Donnees[[#This Row],[Échantillon]])*(Donnees[Engagement]=Donnees[[#This Row],[Engagement]]))+1)/2</f>
        <v>40</v>
      </c>
      <c r="AF266" s="43">
        <f>SUMPRODUCT((Donnees[Échantillon]=Donnees[[#This Row],[Échantillon]])*(Donnees[Vues]&lt;Donnees[[#This Row],[Vues]]))+(SUMPRODUCT((Donnees[Échantillon]=Donnees[[#This Row],[Échantillon]])*(Donnees[Vues]=Donnees[[#This Row],[Vues]]))+1)/2</f>
        <v>36</v>
      </c>
      <c r="AG266" s="43">
        <f>SUMPRODUCT((Donnees[Échantillon]=Donnees[[#This Row],[Échantillon]])*(Donnees[Durée (s)]&lt;Donnees[[#This Row],[Durée (s)]]))+(SUMPRODUCT((Donnees[Échantillon]=Donnees[[#This Row],[Échantillon]])*(Donnees[Durée (s)]=Donnees[[#This Row],[Durée (s)]]))+1)/2</f>
        <v>72</v>
      </c>
      <c r="AH266" s="43">
        <f>SUMPRODUCT((Donnees[Échantillon]=Donnees[[#This Row],[Échantillon]])*(Donnees[Nb hashtags]&lt;Donnees[[#This Row],[Nb hashtags]]))+(SUMPRODUCT((Donnees[Échantillon]=Donnees[[#This Row],[Échantillon]])*(Donnees[Nb hashtags]=Donnees[[#This Row],[Nb hashtags]]))+1)/2</f>
        <v>71.5</v>
      </c>
      <c r="AI266" s="43">
        <f>SUMPRODUCT((Donnees[Échantillon]=Donnees[[#This Row],[Échantillon]])*(Donnees[Longueur du texte]&lt;Donnees[[#This Row],[Longueur du texte]]))+(SUMPRODUCT((Donnees[Échantillon]=Donnees[[#This Row],[Échantillon]])*(Donnees[Longueur du texte]=Donnees[[#This Row],[Longueur du texte]]))+1)/2</f>
        <v>6.5</v>
      </c>
      <c r="AJ266" s="43">
        <f>IF(Donnees[[#This Row],[Abonnés]]="","",SUMPRODUCT((Donnees[Échantillon]=Donnees[[#This Row],[Échantillon]])*(Donnees[Abonnés]&lt;Donnees[[#This Row],[Abonnés]]))+(SUMPRODUCT((Donnees[Échantillon]=Donnees[[#This Row],[Échantillon]])*(Donnees[Abonnés]=Donnees[[#This Row],[Abonnés]]))+1)/2)</f>
        <v>7</v>
      </c>
      <c r="AK266" s="43">
        <f>IF(Donnees[[#This Row],[Vidéos publiées]]="","",SUMPRODUCT((Donnees[Échantillon]=Donnees[[#This Row],[Échantillon]])*(Donnees[Vidéos publiées]&lt;Donnees[[#This Row],[Vidéos publiées]]))+(SUMPRODUCT((Donnees[Échantillon]=Donnees[[#This Row],[Échantillon]])*(Donnees[Vidéos publiées]=Donnees[[#This Row],[Vidéos publiées]]))+1)/2)</f>
        <v>89</v>
      </c>
    </row>
    <row r="267" spans="1:37" x14ac:dyDescent="0.2">
      <c r="A267" s="40" t="s">
        <v>237</v>
      </c>
      <c r="B267" s="40" t="s">
        <v>287</v>
      </c>
      <c r="C267" s="40" t="s">
        <v>50</v>
      </c>
      <c r="D267" s="40">
        <v>565</v>
      </c>
      <c r="E267" s="40" t="s">
        <v>47</v>
      </c>
      <c r="F267" s="40" t="str">
        <f>IF(OR(Donnees[[#This Row],[Jour]]="samedi",Donnees[[#This Row],[Jour]]="dimanche"),"Oui","Non")</f>
        <v>Non</v>
      </c>
      <c r="G267" s="40">
        <v>23</v>
      </c>
      <c r="H267" s="40" t="str">
        <f>IF(Donnees[[#This Row],[Heure UTC]]&lt;6,"0-5 h",IF(Donnees[[#This Row],[Heure UTC]]&lt;12,"6-11 h",IF(Donnees[[#This Row],[Heure UTC]]&lt;18,"12-17 h","18-23 h")))</f>
        <v>18-23 h</v>
      </c>
      <c r="I267" s="40">
        <v>9</v>
      </c>
      <c r="J267" s="40" t="str">
        <f>IF(Donnees[[#This Row],[Durée (s)]]&lt;=10,"1. ≤ 10 s",IF(Donnees[[#This Row],[Durée (s)]]&lt;=15,"2. 11-15 s",IF(Donnees[[#This Row],[Durée (s)]]&lt;=30,"3. 16-30 s",IF(Donnees[[#This Row],[Durée (s)]]&lt;=60,"4. 31-60 s","5. &gt; 60 s"))))</f>
        <v>1. ≤ 10 s</v>
      </c>
      <c r="K267" s="40" t="str">
        <f>IF(Donnees[[#This Row],[Durée (s)]]&gt;15,"Oui","Non")</f>
        <v>Non</v>
      </c>
      <c r="L267" s="40">
        <v>2</v>
      </c>
      <c r="M267" s="40" t="s">
        <v>44</v>
      </c>
      <c r="N267" s="40">
        <v>0</v>
      </c>
      <c r="O267" s="40" t="s">
        <v>41</v>
      </c>
      <c r="P267" s="40" t="s">
        <v>41</v>
      </c>
      <c r="Q267" s="40" t="s">
        <v>41</v>
      </c>
      <c r="R267" s="40" t="s">
        <v>44</v>
      </c>
      <c r="S267" s="40" t="s">
        <v>44</v>
      </c>
      <c r="T267" s="41">
        <v>824700</v>
      </c>
      <c r="U267" s="40" t="str">
        <f>IF(Donnees[[#This Row],[Abonnés]]="","",IF(Donnees[[#This Row],[Abonnés]]&lt;1000000,"1. &lt; 1 M",IF(Donnees[[#This Row],[Abonnés]]&lt;3000000,"2. 1-3 M",IF(Donnees[[#This Row],[Abonnés]]&lt;8000000,"3. 3-8 M","4. ≥ 8 M"))))</f>
        <v>1. &lt; 1 M</v>
      </c>
      <c r="V267" s="41">
        <v>93</v>
      </c>
      <c r="W267" s="41">
        <v>49100000</v>
      </c>
      <c r="X267" s="41">
        <v>7500000</v>
      </c>
      <c r="Y267" s="41">
        <v>41200</v>
      </c>
      <c r="Z267" s="41">
        <v>442500</v>
      </c>
      <c r="AA267" s="42">
        <f>(Donnees[[#This Row],[Likes]]+Donnees[[#This Row],[Commentaires]]+Donnees[[#This Row],[Partages]])/Donnees[[#This Row],[Vues]]</f>
        <v>0.16260081466395113</v>
      </c>
      <c r="AB267" s="40">
        <f>IF(Donnees[[#This Row],[Engagement]]&gt;=VLOOKUP(Donnees[[#This Row],[Échantillon]],'Méthode &amp; limites'!$B$9:$D$11,2,FALSE),1,0)</f>
        <v>0</v>
      </c>
      <c r="AC267" s="43">
        <f>IF(Donnees[[#This Row],[Abonnés]]="","",Donnees[[#This Row],[Vues]]/Donnees[[#This Row],[Abonnés]])</f>
        <v>59.536801261064632</v>
      </c>
      <c r="AD267" s="40" t="s">
        <v>44</v>
      </c>
      <c r="AE267" s="43">
        <f>SUMPRODUCT((Donnees[Échantillon]=Donnees[[#This Row],[Échantillon]])*(Donnees[Engagement]&lt;Donnees[[#This Row],[Engagement]]))+(SUMPRODUCT((Donnees[Échantillon]=Donnees[[#This Row],[Échantillon]])*(Donnees[Engagement]=Donnees[[#This Row],[Engagement]]))+1)/2</f>
        <v>50</v>
      </c>
      <c r="AF267" s="43">
        <f>SUMPRODUCT((Donnees[Échantillon]=Donnees[[#This Row],[Échantillon]])*(Donnees[Vues]&lt;Donnees[[#This Row],[Vues]]))+(SUMPRODUCT((Donnees[Échantillon]=Donnees[[#This Row],[Échantillon]])*(Donnees[Vues]=Donnees[[#This Row],[Vues]]))+1)/2</f>
        <v>35</v>
      </c>
      <c r="AG267" s="43">
        <f>SUMPRODUCT((Donnees[Échantillon]=Donnees[[#This Row],[Échantillon]])*(Donnees[Durée (s)]&lt;Donnees[[#This Row],[Durée (s)]]))+(SUMPRODUCT((Donnees[Échantillon]=Donnees[[#This Row],[Échantillon]])*(Donnees[Durée (s)]=Donnees[[#This Row],[Durée (s)]]))+1)/2</f>
        <v>14</v>
      </c>
      <c r="AH267" s="43">
        <f>SUMPRODUCT((Donnees[Échantillon]=Donnees[[#This Row],[Échantillon]])*(Donnees[Nb hashtags]&lt;Donnees[[#This Row],[Nb hashtags]]))+(SUMPRODUCT((Donnees[Échantillon]=Donnees[[#This Row],[Échantillon]])*(Donnees[Nb hashtags]=Donnees[[#This Row],[Nb hashtags]]))+1)/2</f>
        <v>4.5</v>
      </c>
      <c r="AI267" s="43">
        <f>SUMPRODUCT((Donnees[Échantillon]=Donnees[[#This Row],[Échantillon]])*(Donnees[Longueur du texte]&lt;Donnees[[#This Row],[Longueur du texte]]))+(SUMPRODUCT((Donnees[Échantillon]=Donnees[[#This Row],[Échantillon]])*(Donnees[Longueur du texte]=Donnees[[#This Row],[Longueur du texte]]))+1)/2</f>
        <v>6.5</v>
      </c>
      <c r="AJ267" s="43">
        <f>IF(Donnees[[#This Row],[Abonnés]]="","",SUMPRODUCT((Donnees[Échantillon]=Donnees[[#This Row],[Échantillon]])*(Donnees[Abonnés]&lt;Donnees[[#This Row],[Abonnés]]))+(SUMPRODUCT((Donnees[Échantillon]=Donnees[[#This Row],[Échantillon]])*(Donnees[Abonnés]=Donnees[[#This Row],[Abonnés]]))+1)/2)</f>
        <v>23</v>
      </c>
      <c r="AK267" s="43">
        <f>IF(Donnees[[#This Row],[Vidéos publiées]]="","",SUMPRODUCT((Donnees[Échantillon]=Donnees[[#This Row],[Échantillon]])*(Donnees[Vidéos publiées]&lt;Donnees[[#This Row],[Vidéos publiées]]))+(SUMPRODUCT((Donnees[Échantillon]=Donnees[[#This Row],[Échantillon]])*(Donnees[Vidéos publiées]=Donnees[[#This Row],[Vidéos publiées]]))+1)/2)</f>
        <v>29</v>
      </c>
    </row>
    <row r="268" spans="1:37" x14ac:dyDescent="0.2">
      <c r="A268" s="40" t="s">
        <v>237</v>
      </c>
      <c r="B268" s="40" t="s">
        <v>288</v>
      </c>
      <c r="C268" s="40" t="s">
        <v>67</v>
      </c>
      <c r="D268" s="40">
        <v>199</v>
      </c>
      <c r="E268" s="40" t="s">
        <v>75</v>
      </c>
      <c r="F268" s="40" t="str">
        <f>IF(OR(Donnees[[#This Row],[Jour]]="samedi",Donnees[[#This Row],[Jour]]="dimanche"),"Oui","Non")</f>
        <v>Oui</v>
      </c>
      <c r="G268" s="40">
        <v>19</v>
      </c>
      <c r="H268" s="40" t="str">
        <f>IF(Donnees[[#This Row],[Heure UTC]]&lt;6,"0-5 h",IF(Donnees[[#This Row],[Heure UTC]]&lt;12,"6-11 h",IF(Donnees[[#This Row],[Heure UTC]]&lt;18,"12-17 h","18-23 h")))</f>
        <v>18-23 h</v>
      </c>
      <c r="I268" s="40">
        <v>12</v>
      </c>
      <c r="J268" s="40" t="str">
        <f>IF(Donnees[[#This Row],[Durée (s)]]&lt;=10,"1. ≤ 10 s",IF(Donnees[[#This Row],[Durée (s)]]&lt;=15,"2. 11-15 s",IF(Donnees[[#This Row],[Durée (s)]]&lt;=30,"3. 16-30 s",IF(Donnees[[#This Row],[Durée (s)]]&lt;=60,"4. 31-60 s","5. &gt; 60 s"))))</f>
        <v>2. 11-15 s</v>
      </c>
      <c r="K268" s="40" t="str">
        <f>IF(Donnees[[#This Row],[Durée (s)]]&gt;15,"Oui","Non")</f>
        <v>Non</v>
      </c>
      <c r="L268" s="40">
        <v>20</v>
      </c>
      <c r="M268" s="40" t="s">
        <v>44</v>
      </c>
      <c r="N268" s="40">
        <v>7</v>
      </c>
      <c r="O268" s="40" t="s">
        <v>41</v>
      </c>
      <c r="P268" s="40" t="s">
        <v>41</v>
      </c>
      <c r="Q268" s="40" t="s">
        <v>44</v>
      </c>
      <c r="R268" s="40" t="s">
        <v>44</v>
      </c>
      <c r="S268" s="40" t="s">
        <v>44</v>
      </c>
      <c r="T268" s="41">
        <v>294800</v>
      </c>
      <c r="U268" s="40" t="str">
        <f>IF(Donnees[[#This Row],[Abonnés]]="","",IF(Donnees[[#This Row],[Abonnés]]&lt;1000000,"1. &lt; 1 M",IF(Donnees[[#This Row],[Abonnés]]&lt;3000000,"2. 1-3 M",IF(Donnees[[#This Row],[Abonnés]]&lt;8000000,"3. 3-8 M","4. ≥ 8 M"))))</f>
        <v>1. &lt; 1 M</v>
      </c>
      <c r="V268" s="41">
        <v>24</v>
      </c>
      <c r="W268" s="41">
        <v>48700000</v>
      </c>
      <c r="X268" s="41">
        <v>7000000</v>
      </c>
      <c r="Y268" s="41">
        <v>86800</v>
      </c>
      <c r="Z268" s="41">
        <v>256400</v>
      </c>
      <c r="AA268" s="42">
        <f>(Donnees[[#This Row],[Likes]]+Donnees[[#This Row],[Commentaires]]+Donnees[[#This Row],[Partages]])/Donnees[[#This Row],[Vues]]</f>
        <v>0.15078439425051335</v>
      </c>
      <c r="AB268" s="40">
        <f>IF(Donnees[[#This Row],[Engagement]]&gt;=VLOOKUP(Donnees[[#This Row],[Échantillon]],'Méthode &amp; limites'!$B$9:$D$11,2,FALSE),1,0)</f>
        <v>0</v>
      </c>
      <c r="AC268" s="43">
        <f>IF(Donnees[[#This Row],[Abonnés]]="","",Donnees[[#This Row],[Vues]]/Donnees[[#This Row],[Abonnés]])</f>
        <v>165.19674355495252</v>
      </c>
      <c r="AD268" s="40" t="s">
        <v>44</v>
      </c>
      <c r="AE268" s="43">
        <f>SUMPRODUCT((Donnees[Échantillon]=Donnees[[#This Row],[Échantillon]])*(Donnees[Engagement]&lt;Donnees[[#This Row],[Engagement]]))+(SUMPRODUCT((Donnees[Échantillon]=Donnees[[#This Row],[Échantillon]])*(Donnees[Engagement]=Donnees[[#This Row],[Engagement]]))+1)/2</f>
        <v>44</v>
      </c>
      <c r="AF268" s="43">
        <f>SUMPRODUCT((Donnees[Échantillon]=Donnees[[#This Row],[Échantillon]])*(Donnees[Vues]&lt;Donnees[[#This Row],[Vues]]))+(SUMPRODUCT((Donnees[Échantillon]=Donnees[[#This Row],[Échantillon]])*(Donnees[Vues]=Donnees[[#This Row],[Vues]]))+1)/2</f>
        <v>33.5</v>
      </c>
      <c r="AG268" s="43">
        <f>SUMPRODUCT((Donnees[Échantillon]=Donnees[[#This Row],[Échantillon]])*(Donnees[Durée (s)]&lt;Donnees[[#This Row],[Durée (s)]]))+(SUMPRODUCT((Donnees[Échantillon]=Donnees[[#This Row],[Échantillon]])*(Donnees[Durée (s)]=Donnees[[#This Row],[Durée (s)]]))+1)/2</f>
        <v>30.5</v>
      </c>
      <c r="AH268" s="43">
        <f>SUMPRODUCT((Donnees[Échantillon]=Donnees[[#This Row],[Échantillon]])*(Donnees[Nb hashtags]&lt;Donnees[[#This Row],[Nb hashtags]]))+(SUMPRODUCT((Donnees[Échantillon]=Donnees[[#This Row],[Échantillon]])*(Donnees[Nb hashtags]=Donnees[[#This Row],[Nb hashtags]]))+1)/2</f>
        <v>100</v>
      </c>
      <c r="AI268" s="43">
        <f>SUMPRODUCT((Donnees[Échantillon]=Donnees[[#This Row],[Échantillon]])*(Donnees[Longueur du texte]&lt;Donnees[[#This Row],[Longueur du texte]]))+(SUMPRODUCT((Donnees[Échantillon]=Donnees[[#This Row],[Échantillon]])*(Donnees[Longueur du texte]=Donnees[[#This Row],[Longueur du texte]]))+1)/2</f>
        <v>22.5</v>
      </c>
      <c r="AJ268" s="43">
        <f>IF(Donnees[[#This Row],[Abonnés]]="","",SUMPRODUCT((Donnees[Échantillon]=Donnees[[#This Row],[Échantillon]])*(Donnees[Abonnés]&lt;Donnees[[#This Row],[Abonnés]]))+(SUMPRODUCT((Donnees[Échantillon]=Donnees[[#This Row],[Échantillon]])*(Donnees[Abonnés]=Donnees[[#This Row],[Abonnés]]))+1)/2)</f>
        <v>8</v>
      </c>
      <c r="AK268" s="43">
        <f>IF(Donnees[[#This Row],[Vidéos publiées]]="","",SUMPRODUCT((Donnees[Échantillon]=Donnees[[#This Row],[Échantillon]])*(Donnees[Vidéos publiées]&lt;Donnees[[#This Row],[Vidéos publiées]]))+(SUMPRODUCT((Donnees[Échantillon]=Donnees[[#This Row],[Échantillon]])*(Donnees[Vidéos publiées]=Donnees[[#This Row],[Vidéos publiées]]))+1)/2)</f>
        <v>9.5</v>
      </c>
    </row>
    <row r="269" spans="1:37" x14ac:dyDescent="0.2">
      <c r="A269" s="40" t="s">
        <v>237</v>
      </c>
      <c r="B269" s="40" t="s">
        <v>289</v>
      </c>
      <c r="C269" s="40" t="s">
        <v>62</v>
      </c>
      <c r="D269" s="40">
        <v>244</v>
      </c>
      <c r="E269" s="40" t="s">
        <v>59</v>
      </c>
      <c r="F269" s="40" t="str">
        <f>IF(OR(Donnees[[#This Row],[Jour]]="samedi",Donnees[[#This Row],[Jour]]="dimanche"),"Oui","Non")</f>
        <v>Non</v>
      </c>
      <c r="G269" s="40">
        <v>11</v>
      </c>
      <c r="H269" s="40" t="str">
        <f>IF(Donnees[[#This Row],[Heure UTC]]&lt;6,"0-5 h",IF(Donnees[[#This Row],[Heure UTC]]&lt;12,"6-11 h",IF(Donnees[[#This Row],[Heure UTC]]&lt;18,"12-17 h","18-23 h")))</f>
        <v>6-11 h</v>
      </c>
      <c r="I269" s="40">
        <v>16</v>
      </c>
      <c r="J269" s="40" t="str">
        <f>IF(Donnees[[#This Row],[Durée (s)]]&lt;=10,"1. ≤ 10 s",IF(Donnees[[#This Row],[Durée (s)]]&lt;=15,"2. 11-15 s",IF(Donnees[[#This Row],[Durée (s)]]&lt;=30,"3. 16-30 s",IF(Donnees[[#This Row],[Durée (s)]]&lt;=60,"4. 31-60 s","5. &gt; 60 s"))))</f>
        <v>3. 16-30 s</v>
      </c>
      <c r="K269" s="40" t="str">
        <f>IF(Donnees[[#This Row],[Durée (s)]]&gt;15,"Oui","Non")</f>
        <v>Oui</v>
      </c>
      <c r="L269" s="40">
        <v>10</v>
      </c>
      <c r="M269" s="40" t="s">
        <v>44</v>
      </c>
      <c r="N269" s="40">
        <v>3</v>
      </c>
      <c r="O269" s="40" t="s">
        <v>41</v>
      </c>
      <c r="P269" s="40" t="s">
        <v>41</v>
      </c>
      <c r="Q269" s="40" t="s">
        <v>41</v>
      </c>
      <c r="R269" s="40" t="s">
        <v>44</v>
      </c>
      <c r="S269" s="40" t="s">
        <v>44</v>
      </c>
      <c r="T269" s="41">
        <v>4400000</v>
      </c>
      <c r="U269" s="40" t="str">
        <f>IF(Donnees[[#This Row],[Abonnés]]="","",IF(Donnees[[#This Row],[Abonnés]]&lt;1000000,"1. &lt; 1 M",IF(Donnees[[#This Row],[Abonnés]]&lt;3000000,"2. 1-3 M",IF(Donnees[[#This Row],[Abonnés]]&lt;8000000,"3. 3-8 M","4. ≥ 8 M"))))</f>
        <v>3. 3-8 M</v>
      </c>
      <c r="V269" s="41">
        <v>66</v>
      </c>
      <c r="W269" s="41">
        <v>48700000</v>
      </c>
      <c r="X269" s="41">
        <v>7000000</v>
      </c>
      <c r="Y269" s="41">
        <v>26700</v>
      </c>
      <c r="Z269" s="41">
        <v>39600</v>
      </c>
      <c r="AA269" s="42">
        <f>(Donnees[[#This Row],[Likes]]+Donnees[[#This Row],[Commentaires]]+Donnees[[#This Row],[Partages]])/Donnees[[#This Row],[Vues]]</f>
        <v>0.14509856262833676</v>
      </c>
      <c r="AB269" s="40">
        <f>IF(Donnees[[#This Row],[Engagement]]&gt;=VLOOKUP(Donnees[[#This Row],[Échantillon]],'Méthode &amp; limites'!$B$9:$D$11,2,FALSE),1,0)</f>
        <v>0</v>
      </c>
      <c r="AC269" s="43">
        <f>IF(Donnees[[#This Row],[Abonnés]]="","",Donnees[[#This Row],[Vues]]/Donnees[[#This Row],[Abonnés]])</f>
        <v>11.068181818181818</v>
      </c>
      <c r="AD269" s="40" t="s">
        <v>44</v>
      </c>
      <c r="AE269" s="43">
        <f>SUMPRODUCT((Donnees[Échantillon]=Donnees[[#This Row],[Échantillon]])*(Donnees[Engagement]&lt;Donnees[[#This Row],[Engagement]]))+(SUMPRODUCT((Donnees[Échantillon]=Donnees[[#This Row],[Échantillon]])*(Donnees[Engagement]=Donnees[[#This Row],[Engagement]]))+1)/2</f>
        <v>39</v>
      </c>
      <c r="AF269" s="43">
        <f>SUMPRODUCT((Donnees[Échantillon]=Donnees[[#This Row],[Échantillon]])*(Donnees[Vues]&lt;Donnees[[#This Row],[Vues]]))+(SUMPRODUCT((Donnees[Échantillon]=Donnees[[#This Row],[Échantillon]])*(Donnees[Vues]=Donnees[[#This Row],[Vues]]))+1)/2</f>
        <v>33.5</v>
      </c>
      <c r="AG269" s="43">
        <f>SUMPRODUCT((Donnees[Échantillon]=Donnees[[#This Row],[Échantillon]])*(Donnees[Durée (s)]&lt;Donnees[[#This Row],[Durée (s)]]))+(SUMPRODUCT((Donnees[Échantillon]=Donnees[[#This Row],[Échantillon]])*(Donnees[Durée (s)]=Donnees[[#This Row],[Durée (s)]]))+1)/2</f>
        <v>48</v>
      </c>
      <c r="AH269" s="43">
        <f>SUMPRODUCT((Donnees[Échantillon]=Donnees[[#This Row],[Échantillon]])*(Donnees[Nb hashtags]&lt;Donnees[[#This Row],[Nb hashtags]]))+(SUMPRODUCT((Donnees[Échantillon]=Donnees[[#This Row],[Échantillon]])*(Donnees[Nb hashtags]=Donnees[[#This Row],[Nb hashtags]]))+1)/2</f>
        <v>71.5</v>
      </c>
      <c r="AI269" s="43">
        <f>SUMPRODUCT((Donnees[Échantillon]=Donnees[[#This Row],[Échantillon]])*(Donnees[Longueur du texte]&lt;Donnees[[#This Row],[Longueur du texte]]))+(SUMPRODUCT((Donnees[Échantillon]=Donnees[[#This Row],[Échantillon]])*(Donnees[Longueur du texte]=Donnees[[#This Row],[Longueur du texte]]))+1)/2</f>
        <v>17</v>
      </c>
      <c r="AJ269" s="43">
        <f>IF(Donnees[[#This Row],[Abonnés]]="","",SUMPRODUCT((Donnees[Échantillon]=Donnees[[#This Row],[Échantillon]])*(Donnees[Abonnés]&lt;Donnees[[#This Row],[Abonnés]]))+(SUMPRODUCT((Donnees[Échantillon]=Donnees[[#This Row],[Échantillon]])*(Donnees[Abonnés]=Donnees[[#This Row],[Abonnés]]))+1)/2)</f>
        <v>58</v>
      </c>
      <c r="AK269" s="43">
        <f>IF(Donnees[[#This Row],[Vidéos publiées]]="","",SUMPRODUCT((Donnees[Échantillon]=Donnees[[#This Row],[Échantillon]])*(Donnees[Vidéos publiées]&lt;Donnees[[#This Row],[Vidéos publiées]]))+(SUMPRODUCT((Donnees[Échantillon]=Donnees[[#This Row],[Échantillon]])*(Donnees[Vidéos publiées]=Donnees[[#This Row],[Vidéos publiées]]))+1)/2)</f>
        <v>21</v>
      </c>
    </row>
    <row r="270" spans="1:37" x14ac:dyDescent="0.2">
      <c r="A270" s="40" t="s">
        <v>237</v>
      </c>
      <c r="B270" s="40" t="s">
        <v>290</v>
      </c>
      <c r="C270" s="40" t="s">
        <v>50</v>
      </c>
      <c r="D270" s="40">
        <v>290</v>
      </c>
      <c r="E270" s="40" t="s">
        <v>75</v>
      </c>
      <c r="F270" s="40" t="str">
        <f>IF(OR(Donnees[[#This Row],[Jour]]="samedi",Donnees[[#This Row],[Jour]]="dimanche"),"Oui","Non")</f>
        <v>Oui</v>
      </c>
      <c r="G270" s="40">
        <v>17</v>
      </c>
      <c r="H270" s="40" t="str">
        <f>IF(Donnees[[#This Row],[Heure UTC]]&lt;6,"0-5 h",IF(Donnees[[#This Row],[Heure UTC]]&lt;12,"6-11 h",IF(Donnees[[#This Row],[Heure UTC]]&lt;18,"12-17 h","18-23 h")))</f>
        <v>12-17 h</v>
      </c>
      <c r="I270" s="40">
        <v>15</v>
      </c>
      <c r="J270" s="40" t="str">
        <f>IF(Donnees[[#This Row],[Durée (s)]]&lt;=10,"1. ≤ 10 s",IF(Donnees[[#This Row],[Durée (s)]]&lt;=15,"2. 11-15 s",IF(Donnees[[#This Row],[Durée (s)]]&lt;=30,"3. 16-30 s",IF(Donnees[[#This Row],[Durée (s)]]&lt;=60,"4. 31-60 s","5. &gt; 60 s"))))</f>
        <v>2. 11-15 s</v>
      </c>
      <c r="K270" s="40" t="str">
        <f>IF(Donnees[[#This Row],[Durée (s)]]&gt;15,"Oui","Non")</f>
        <v>Non</v>
      </c>
      <c r="L270" s="40">
        <v>9</v>
      </c>
      <c r="M270" s="40" t="s">
        <v>44</v>
      </c>
      <c r="N270" s="40">
        <v>31</v>
      </c>
      <c r="O270" s="40" t="s">
        <v>41</v>
      </c>
      <c r="P270" s="40" t="s">
        <v>41</v>
      </c>
      <c r="Q270" s="40" t="s">
        <v>41</v>
      </c>
      <c r="R270" s="40" t="s">
        <v>41</v>
      </c>
      <c r="S270" s="40" t="s">
        <v>44</v>
      </c>
      <c r="T270" s="41">
        <v>1800000</v>
      </c>
      <c r="U270" s="40" t="str">
        <f>IF(Donnees[[#This Row],[Abonnés]]="","",IF(Donnees[[#This Row],[Abonnés]]&lt;1000000,"1. &lt; 1 M",IF(Donnees[[#This Row],[Abonnés]]&lt;3000000,"2. 1-3 M",IF(Donnees[[#This Row],[Abonnés]]&lt;8000000,"3. 3-8 M","4. ≥ 8 M"))))</f>
        <v>2. 1-3 M</v>
      </c>
      <c r="V270" s="41">
        <v>51</v>
      </c>
      <c r="W270" s="41">
        <v>48300000</v>
      </c>
      <c r="X270" s="41">
        <v>9900000</v>
      </c>
      <c r="Y270" s="41">
        <v>63100</v>
      </c>
      <c r="Z270" s="41">
        <v>312000</v>
      </c>
      <c r="AA270" s="42">
        <f>(Donnees[[#This Row],[Likes]]+Donnees[[#This Row],[Commentaires]]+Donnees[[#This Row],[Partages]])/Donnees[[#This Row],[Vues]]</f>
        <v>0.21273498964803311</v>
      </c>
      <c r="AB270" s="40">
        <f>IF(Donnees[[#This Row],[Engagement]]&gt;=VLOOKUP(Donnees[[#This Row],[Échantillon]],'Méthode &amp; limites'!$B$9:$D$11,2,FALSE),1,0)</f>
        <v>1</v>
      </c>
      <c r="AC270" s="43">
        <f>IF(Donnees[[#This Row],[Abonnés]]="","",Donnees[[#This Row],[Vues]]/Donnees[[#This Row],[Abonnés]])</f>
        <v>26.833333333333332</v>
      </c>
      <c r="AD270" s="40" t="s">
        <v>44</v>
      </c>
      <c r="AE270" s="43">
        <f>SUMPRODUCT((Donnees[Échantillon]=Donnees[[#This Row],[Échantillon]])*(Donnees[Engagement]&lt;Donnees[[#This Row],[Engagement]]))+(SUMPRODUCT((Donnees[Échantillon]=Donnees[[#This Row],[Échantillon]])*(Donnees[Engagement]=Donnees[[#This Row],[Engagement]]))+1)/2</f>
        <v>83</v>
      </c>
      <c r="AF270" s="43">
        <f>SUMPRODUCT((Donnees[Échantillon]=Donnees[[#This Row],[Échantillon]])*(Donnees[Vues]&lt;Donnees[[#This Row],[Vues]]))+(SUMPRODUCT((Donnees[Échantillon]=Donnees[[#This Row],[Échantillon]])*(Donnees[Vues]=Donnees[[#This Row],[Vues]]))+1)/2</f>
        <v>32</v>
      </c>
      <c r="AG270" s="43">
        <f>SUMPRODUCT((Donnees[Échantillon]=Donnees[[#This Row],[Échantillon]])*(Donnees[Durée (s)]&lt;Donnees[[#This Row],[Durée (s)]]))+(SUMPRODUCT((Donnees[Échantillon]=Donnees[[#This Row],[Échantillon]])*(Donnees[Durée (s)]=Donnees[[#This Row],[Durée (s)]]))+1)/2</f>
        <v>43</v>
      </c>
      <c r="AH270" s="43">
        <f>SUMPRODUCT((Donnees[Échantillon]=Donnees[[#This Row],[Échantillon]])*(Donnees[Nb hashtags]&lt;Donnees[[#This Row],[Nb hashtags]]))+(SUMPRODUCT((Donnees[Échantillon]=Donnees[[#This Row],[Échantillon]])*(Donnees[Nb hashtags]=Donnees[[#This Row],[Nb hashtags]]))+1)/2</f>
        <v>60</v>
      </c>
      <c r="AI270" s="43">
        <f>SUMPRODUCT((Donnees[Échantillon]=Donnees[[#This Row],[Échantillon]])*(Donnees[Longueur du texte]&lt;Donnees[[#This Row],[Longueur du texte]]))+(SUMPRODUCT((Donnees[Échantillon]=Donnees[[#This Row],[Échantillon]])*(Donnees[Longueur du texte]=Donnees[[#This Row],[Longueur du texte]]))+1)/2</f>
        <v>64.5</v>
      </c>
      <c r="AJ270" s="43">
        <f>IF(Donnees[[#This Row],[Abonnés]]="","",SUMPRODUCT((Donnees[Échantillon]=Donnees[[#This Row],[Échantillon]])*(Donnees[Abonnés]&lt;Donnees[[#This Row],[Abonnés]]))+(SUMPRODUCT((Donnees[Échantillon]=Donnees[[#This Row],[Échantillon]])*(Donnees[Abonnés]=Donnees[[#This Row],[Abonnés]]))+1)/2)</f>
        <v>39</v>
      </c>
      <c r="AK270" s="43">
        <f>IF(Donnees[[#This Row],[Vidéos publiées]]="","",SUMPRODUCT((Donnees[Échantillon]=Donnees[[#This Row],[Échantillon]])*(Donnees[Vidéos publiées]&lt;Donnees[[#This Row],[Vidéos publiées]]))+(SUMPRODUCT((Donnees[Échantillon]=Donnees[[#This Row],[Échantillon]])*(Donnees[Vidéos publiées]=Donnees[[#This Row],[Vidéos publiées]]))+1)/2)</f>
        <v>18.5</v>
      </c>
    </row>
    <row r="271" spans="1:37" x14ac:dyDescent="0.2">
      <c r="A271" s="40" t="s">
        <v>237</v>
      </c>
      <c r="B271" s="40" t="s">
        <v>291</v>
      </c>
      <c r="C271" s="40" t="s">
        <v>50</v>
      </c>
      <c r="D271" s="40">
        <v>30</v>
      </c>
      <c r="E271" s="40" t="s">
        <v>56</v>
      </c>
      <c r="F271" s="40" t="str">
        <f>IF(OR(Donnees[[#This Row],[Jour]]="samedi",Donnees[[#This Row],[Jour]]="dimanche"),"Oui","Non")</f>
        <v>Oui</v>
      </c>
      <c r="G271" s="40">
        <v>1</v>
      </c>
      <c r="H271" s="40" t="str">
        <f>IF(Donnees[[#This Row],[Heure UTC]]&lt;6,"0-5 h",IF(Donnees[[#This Row],[Heure UTC]]&lt;12,"6-11 h",IF(Donnees[[#This Row],[Heure UTC]]&lt;18,"12-17 h","18-23 h")))</f>
        <v>0-5 h</v>
      </c>
      <c r="I271" s="40">
        <v>10</v>
      </c>
      <c r="J271" s="40" t="str">
        <f>IF(Donnees[[#This Row],[Durée (s)]]&lt;=10,"1. ≤ 10 s",IF(Donnees[[#This Row],[Durée (s)]]&lt;=15,"2. 11-15 s",IF(Donnees[[#This Row],[Durée (s)]]&lt;=30,"3. 16-30 s",IF(Donnees[[#This Row],[Durée (s)]]&lt;=60,"4. 31-60 s","5. &gt; 60 s"))))</f>
        <v>1. ≤ 10 s</v>
      </c>
      <c r="K271" s="40" t="str">
        <f>IF(Donnees[[#This Row],[Durée (s)]]&gt;15,"Oui","Non")</f>
        <v>Non</v>
      </c>
      <c r="L271" s="40">
        <v>7</v>
      </c>
      <c r="M271" s="40" t="s">
        <v>41</v>
      </c>
      <c r="N271" s="40">
        <v>0</v>
      </c>
      <c r="O271" s="40" t="s">
        <v>41</v>
      </c>
      <c r="P271" s="40" t="s">
        <v>41</v>
      </c>
      <c r="Q271" s="40" t="s">
        <v>41</v>
      </c>
      <c r="R271" s="40" t="s">
        <v>44</v>
      </c>
      <c r="S271" s="40" t="s">
        <v>41</v>
      </c>
      <c r="T271" s="41">
        <v>256100</v>
      </c>
      <c r="U271" s="40" t="str">
        <f>IF(Donnees[[#This Row],[Abonnés]]="","",IF(Donnees[[#This Row],[Abonnés]]&lt;1000000,"1. &lt; 1 M",IF(Donnees[[#This Row],[Abonnés]]&lt;3000000,"2. 1-3 M",IF(Donnees[[#This Row],[Abonnés]]&lt;8000000,"3. 3-8 M","4. ≥ 8 M"))))</f>
        <v>1. &lt; 1 M</v>
      </c>
      <c r="V271" s="41">
        <v>5</v>
      </c>
      <c r="W271" s="41">
        <v>48100000</v>
      </c>
      <c r="X271" s="41">
        <v>9000000</v>
      </c>
      <c r="Y271" s="41">
        <v>110400</v>
      </c>
      <c r="Z271" s="41">
        <v>269700</v>
      </c>
      <c r="AA271" s="42">
        <f>(Donnees[[#This Row],[Likes]]+Donnees[[#This Row],[Commentaires]]+Donnees[[#This Row],[Partages]])/Donnees[[#This Row],[Vues]]</f>
        <v>0.19501247401247401</v>
      </c>
      <c r="AB271" s="40">
        <f>IF(Donnees[[#This Row],[Engagement]]&gt;=VLOOKUP(Donnees[[#This Row],[Échantillon]],'Méthode &amp; limites'!$B$9:$D$11,2,FALSE),1,0)</f>
        <v>0</v>
      </c>
      <c r="AC271" s="43">
        <f>IF(Donnees[[#This Row],[Abonnés]]="","",Donnees[[#This Row],[Vues]]/Donnees[[#This Row],[Abonnés]])</f>
        <v>187.81725888324874</v>
      </c>
      <c r="AD271" s="40" t="s">
        <v>44</v>
      </c>
      <c r="AE271" s="43">
        <f>SUMPRODUCT((Donnees[Échantillon]=Donnees[[#This Row],[Échantillon]])*(Donnees[Engagement]&lt;Donnees[[#This Row],[Engagement]]))+(SUMPRODUCT((Donnees[Échantillon]=Donnees[[#This Row],[Échantillon]])*(Donnees[Engagement]=Donnees[[#This Row],[Engagement]]))+1)/2</f>
        <v>70</v>
      </c>
      <c r="AF271" s="43">
        <f>SUMPRODUCT((Donnees[Échantillon]=Donnees[[#This Row],[Échantillon]])*(Donnees[Vues]&lt;Donnees[[#This Row],[Vues]]))+(SUMPRODUCT((Donnees[Échantillon]=Donnees[[#This Row],[Échantillon]])*(Donnees[Vues]=Donnees[[#This Row],[Vues]]))+1)/2</f>
        <v>31</v>
      </c>
      <c r="AG271" s="43">
        <f>SUMPRODUCT((Donnees[Échantillon]=Donnees[[#This Row],[Échantillon]])*(Donnees[Durée (s)]&lt;Donnees[[#This Row],[Durée (s)]]))+(SUMPRODUCT((Donnees[Échantillon]=Donnees[[#This Row],[Échantillon]])*(Donnees[Durée (s)]=Donnees[[#This Row],[Durée (s)]]))+1)/2</f>
        <v>22</v>
      </c>
      <c r="AH271" s="43">
        <f>SUMPRODUCT((Donnees[Échantillon]=Donnees[[#This Row],[Échantillon]])*(Donnees[Nb hashtags]&lt;Donnees[[#This Row],[Nb hashtags]]))+(SUMPRODUCT((Donnees[Échantillon]=Donnees[[#This Row],[Échantillon]])*(Donnees[Nb hashtags]=Donnees[[#This Row],[Nb hashtags]]))+1)/2</f>
        <v>37.5</v>
      </c>
      <c r="AI271" s="43">
        <f>SUMPRODUCT((Donnees[Échantillon]=Donnees[[#This Row],[Échantillon]])*(Donnees[Longueur du texte]&lt;Donnees[[#This Row],[Longueur du texte]]))+(SUMPRODUCT((Donnees[Échantillon]=Donnees[[#This Row],[Échantillon]])*(Donnees[Longueur du texte]=Donnees[[#This Row],[Longueur du texte]]))+1)/2</f>
        <v>6.5</v>
      </c>
      <c r="AJ271" s="43">
        <f>IF(Donnees[[#This Row],[Abonnés]]="","",SUMPRODUCT((Donnees[Échantillon]=Donnees[[#This Row],[Échantillon]])*(Donnees[Abonnés]&lt;Donnees[[#This Row],[Abonnés]]))+(SUMPRODUCT((Donnees[Échantillon]=Donnees[[#This Row],[Échantillon]])*(Donnees[Abonnés]=Donnees[[#This Row],[Abonnés]]))+1)/2)</f>
        <v>5</v>
      </c>
      <c r="AK271" s="43">
        <f>IF(Donnees[[#This Row],[Vidéos publiées]]="","",SUMPRODUCT((Donnees[Échantillon]=Donnees[[#This Row],[Échantillon]])*(Donnees[Vidéos publiées]&lt;Donnees[[#This Row],[Vidéos publiées]]))+(SUMPRODUCT((Donnees[Échantillon]=Donnees[[#This Row],[Échantillon]])*(Donnees[Vidéos publiées]=Donnees[[#This Row],[Vidéos publiées]]))+1)/2)</f>
        <v>4</v>
      </c>
    </row>
    <row r="272" spans="1:37" x14ac:dyDescent="0.2">
      <c r="A272" s="40" t="s">
        <v>237</v>
      </c>
      <c r="B272" s="40" t="s">
        <v>244</v>
      </c>
      <c r="C272" s="40" t="s">
        <v>50</v>
      </c>
      <c r="D272" s="40">
        <v>502</v>
      </c>
      <c r="E272" s="40" t="s">
        <v>47</v>
      </c>
      <c r="F272" s="40" t="str">
        <f>IF(OR(Donnees[[#This Row],[Jour]]="samedi",Donnees[[#This Row],[Jour]]="dimanche"),"Oui","Non")</f>
        <v>Non</v>
      </c>
      <c r="G272" s="40">
        <v>0</v>
      </c>
      <c r="H272" s="40" t="str">
        <f>IF(Donnees[[#This Row],[Heure UTC]]&lt;6,"0-5 h",IF(Donnees[[#This Row],[Heure UTC]]&lt;12,"6-11 h",IF(Donnees[[#This Row],[Heure UTC]]&lt;18,"12-17 h","18-23 h")))</f>
        <v>0-5 h</v>
      </c>
      <c r="I272" s="40">
        <v>15</v>
      </c>
      <c r="J272" s="40" t="str">
        <f>IF(Donnees[[#This Row],[Durée (s)]]&lt;=10,"1. ≤ 10 s",IF(Donnees[[#This Row],[Durée (s)]]&lt;=15,"2. 11-15 s",IF(Donnees[[#This Row],[Durée (s)]]&lt;=30,"3. 16-30 s",IF(Donnees[[#This Row],[Durée (s)]]&lt;=60,"4. 31-60 s","5. &gt; 60 s"))))</f>
        <v>2. 11-15 s</v>
      </c>
      <c r="K272" s="40" t="str">
        <f>IF(Donnees[[#This Row],[Durée (s)]]&gt;15,"Oui","Non")</f>
        <v>Non</v>
      </c>
      <c r="L272" s="40">
        <v>10</v>
      </c>
      <c r="M272" s="40" t="s">
        <v>44</v>
      </c>
      <c r="N272" s="40">
        <v>67</v>
      </c>
      <c r="O272" s="40" t="s">
        <v>41</v>
      </c>
      <c r="P272" s="40" t="s">
        <v>41</v>
      </c>
      <c r="Q272" s="40" t="s">
        <v>41</v>
      </c>
      <c r="R272" s="40" t="s">
        <v>44</v>
      </c>
      <c r="S272" s="40" t="s">
        <v>44</v>
      </c>
      <c r="T272" s="41">
        <v>7900000</v>
      </c>
      <c r="U272" s="40" t="str">
        <f>IF(Donnees[[#This Row],[Abonnés]]="","",IF(Donnees[[#This Row],[Abonnés]]&lt;1000000,"1. &lt; 1 M",IF(Donnees[[#This Row],[Abonnés]]&lt;3000000,"2. 1-3 M",IF(Donnees[[#This Row],[Abonnés]]&lt;8000000,"3. 3-8 M","4. ≥ 8 M"))))</f>
        <v>3. 3-8 M</v>
      </c>
      <c r="V272" s="41">
        <v>126</v>
      </c>
      <c r="W272" s="41">
        <v>46800000</v>
      </c>
      <c r="X272" s="41">
        <v>8100000</v>
      </c>
      <c r="Y272" s="41">
        <v>44300</v>
      </c>
      <c r="Z272" s="41">
        <v>268400</v>
      </c>
      <c r="AA272" s="42">
        <f>(Donnees[[#This Row],[Likes]]+Donnees[[#This Row],[Commentaires]]+Donnees[[#This Row],[Partages]])/Donnees[[#This Row],[Vues]]</f>
        <v>0.17975854700854701</v>
      </c>
      <c r="AB272" s="40">
        <f>IF(Donnees[[#This Row],[Engagement]]&gt;=VLOOKUP(Donnees[[#This Row],[Échantillon]],'Méthode &amp; limites'!$B$9:$D$11,2,FALSE),1,0)</f>
        <v>0</v>
      </c>
      <c r="AC272" s="43">
        <f>IF(Donnees[[#This Row],[Abonnés]]="","",Donnees[[#This Row],[Vues]]/Donnees[[#This Row],[Abonnés]])</f>
        <v>5.924050632911392</v>
      </c>
      <c r="AD272" s="40" t="s">
        <v>44</v>
      </c>
      <c r="AE272" s="43">
        <f>SUMPRODUCT((Donnees[Échantillon]=Donnees[[#This Row],[Échantillon]])*(Donnees[Engagement]&lt;Donnees[[#This Row],[Engagement]]))+(SUMPRODUCT((Donnees[Échantillon]=Donnees[[#This Row],[Échantillon]])*(Donnees[Engagement]=Donnees[[#This Row],[Engagement]]))+1)/2</f>
        <v>56</v>
      </c>
      <c r="AF272" s="43">
        <f>SUMPRODUCT((Donnees[Échantillon]=Donnees[[#This Row],[Échantillon]])*(Donnees[Vues]&lt;Donnees[[#This Row],[Vues]]))+(SUMPRODUCT((Donnees[Échantillon]=Donnees[[#This Row],[Échantillon]])*(Donnees[Vues]=Donnees[[#This Row],[Vues]]))+1)/2</f>
        <v>30</v>
      </c>
      <c r="AG272" s="43">
        <f>SUMPRODUCT((Donnees[Échantillon]=Donnees[[#This Row],[Échantillon]])*(Donnees[Durée (s)]&lt;Donnees[[#This Row],[Durée (s)]]))+(SUMPRODUCT((Donnees[Échantillon]=Donnees[[#This Row],[Échantillon]])*(Donnees[Durée (s)]=Donnees[[#This Row],[Durée (s)]]))+1)/2</f>
        <v>43</v>
      </c>
      <c r="AH272" s="43">
        <f>SUMPRODUCT((Donnees[Échantillon]=Donnees[[#This Row],[Échantillon]])*(Donnees[Nb hashtags]&lt;Donnees[[#This Row],[Nb hashtags]]))+(SUMPRODUCT((Donnees[Échantillon]=Donnees[[#This Row],[Échantillon]])*(Donnees[Nb hashtags]=Donnees[[#This Row],[Nb hashtags]]))+1)/2</f>
        <v>71.5</v>
      </c>
      <c r="AI272" s="43">
        <f>SUMPRODUCT((Donnees[Échantillon]=Donnees[[#This Row],[Échantillon]])*(Donnees[Longueur du texte]&lt;Donnees[[#This Row],[Longueur du texte]]))+(SUMPRODUCT((Donnees[Échantillon]=Donnees[[#This Row],[Échantillon]])*(Donnees[Longueur du texte]=Donnees[[#This Row],[Longueur du texte]]))+1)/2</f>
        <v>93.5</v>
      </c>
      <c r="AJ272" s="43">
        <f>IF(Donnees[[#This Row],[Abonnés]]="","",SUMPRODUCT((Donnees[Échantillon]=Donnees[[#This Row],[Échantillon]])*(Donnees[Abonnés]&lt;Donnees[[#This Row],[Abonnés]]))+(SUMPRODUCT((Donnees[Échantillon]=Donnees[[#This Row],[Échantillon]])*(Donnees[Abonnés]=Donnees[[#This Row],[Abonnés]]))+1)/2)</f>
        <v>76</v>
      </c>
      <c r="AK272" s="43">
        <f>IF(Donnees[[#This Row],[Vidéos publiées]]="","",SUMPRODUCT((Donnees[Échantillon]=Donnees[[#This Row],[Échantillon]])*(Donnees[Vidéos publiées]&lt;Donnees[[#This Row],[Vidéos publiées]]))+(SUMPRODUCT((Donnees[Échantillon]=Donnees[[#This Row],[Échantillon]])*(Donnees[Vidéos publiées]=Donnees[[#This Row],[Vidéos publiées]]))+1)/2)</f>
        <v>36.5</v>
      </c>
    </row>
    <row r="273" spans="1:37" x14ac:dyDescent="0.2">
      <c r="A273" s="40" t="s">
        <v>237</v>
      </c>
      <c r="B273" s="40" t="s">
        <v>292</v>
      </c>
      <c r="C273" s="40" t="s">
        <v>67</v>
      </c>
      <c r="D273" s="40">
        <v>102</v>
      </c>
      <c r="E273" s="40" t="s">
        <v>68</v>
      </c>
      <c r="F273" s="40" t="str">
        <f>IF(OR(Donnees[[#This Row],[Jour]]="samedi",Donnees[[#This Row],[Jour]]="dimanche"),"Oui","Non")</f>
        <v>Non</v>
      </c>
      <c r="G273" s="40">
        <v>14</v>
      </c>
      <c r="H273" s="40" t="str">
        <f>IF(Donnees[[#This Row],[Heure UTC]]&lt;6,"0-5 h",IF(Donnees[[#This Row],[Heure UTC]]&lt;12,"6-11 h",IF(Donnees[[#This Row],[Heure UTC]]&lt;18,"12-17 h","18-23 h")))</f>
        <v>12-17 h</v>
      </c>
      <c r="I273" s="40">
        <v>27</v>
      </c>
      <c r="J273" s="40" t="str">
        <f>IF(Donnees[[#This Row],[Durée (s)]]&lt;=10,"1. ≤ 10 s",IF(Donnees[[#This Row],[Durée (s)]]&lt;=15,"2. 11-15 s",IF(Donnees[[#This Row],[Durée (s)]]&lt;=30,"3. 16-30 s",IF(Donnees[[#This Row],[Durée (s)]]&lt;=60,"4. 31-60 s","5. &gt; 60 s"))))</f>
        <v>3. 16-30 s</v>
      </c>
      <c r="K273" s="40" t="str">
        <f>IF(Donnees[[#This Row],[Durée (s)]]&gt;15,"Oui","Non")</f>
        <v>Oui</v>
      </c>
      <c r="L273" s="40">
        <v>8</v>
      </c>
      <c r="M273" s="40" t="s">
        <v>44</v>
      </c>
      <c r="N273" s="40">
        <v>30</v>
      </c>
      <c r="O273" s="40" t="s">
        <v>41</v>
      </c>
      <c r="P273" s="40" t="s">
        <v>41</v>
      </c>
      <c r="Q273" s="40" t="s">
        <v>41</v>
      </c>
      <c r="R273" s="40" t="s">
        <v>41</v>
      </c>
      <c r="S273" s="40" t="s">
        <v>44</v>
      </c>
      <c r="T273" s="41">
        <v>614100</v>
      </c>
      <c r="U273" s="40" t="str">
        <f>IF(Donnees[[#This Row],[Abonnés]]="","",IF(Donnees[[#This Row],[Abonnés]]&lt;1000000,"1. &lt; 1 M",IF(Donnees[[#This Row],[Abonnés]]&lt;3000000,"2. 1-3 M",IF(Donnees[[#This Row],[Abonnés]]&lt;8000000,"3. 3-8 M","4. ≥ 8 M"))))</f>
        <v>1. &lt; 1 M</v>
      </c>
      <c r="V273" s="41">
        <v>24</v>
      </c>
      <c r="W273" s="41">
        <v>46300000</v>
      </c>
      <c r="X273" s="41">
        <v>9300000</v>
      </c>
      <c r="Y273" s="41">
        <v>146200</v>
      </c>
      <c r="Z273" s="41">
        <v>210900</v>
      </c>
      <c r="AA273" s="42">
        <f>(Donnees[[#This Row],[Likes]]+Donnees[[#This Row],[Commentaires]]+Donnees[[#This Row],[Partages]])/Donnees[[#This Row],[Vues]]</f>
        <v>0.20857667386609072</v>
      </c>
      <c r="AB273" s="40">
        <f>IF(Donnees[[#This Row],[Engagement]]&gt;=VLOOKUP(Donnees[[#This Row],[Échantillon]],'Méthode &amp; limites'!$B$9:$D$11,2,FALSE),1,0)</f>
        <v>1</v>
      </c>
      <c r="AC273" s="43">
        <f>IF(Donnees[[#This Row],[Abonnés]]="","",Donnees[[#This Row],[Vues]]/Donnees[[#This Row],[Abonnés]])</f>
        <v>75.394886826249802</v>
      </c>
      <c r="AD273" s="40" t="s">
        <v>44</v>
      </c>
      <c r="AE273" s="43">
        <f>SUMPRODUCT((Donnees[Échantillon]=Donnees[[#This Row],[Échantillon]])*(Donnees[Engagement]&lt;Donnees[[#This Row],[Engagement]]))+(SUMPRODUCT((Donnees[Échantillon]=Donnees[[#This Row],[Échantillon]])*(Donnees[Engagement]=Donnees[[#This Row],[Engagement]]))+1)/2</f>
        <v>79</v>
      </c>
      <c r="AF273" s="43">
        <f>SUMPRODUCT((Donnees[Échantillon]=Donnees[[#This Row],[Échantillon]])*(Donnees[Vues]&lt;Donnees[[#This Row],[Vues]]))+(SUMPRODUCT((Donnees[Échantillon]=Donnees[[#This Row],[Échantillon]])*(Donnees[Vues]=Donnees[[#This Row],[Vues]]))+1)/2</f>
        <v>29</v>
      </c>
      <c r="AG273" s="43">
        <f>SUMPRODUCT((Donnees[Échantillon]=Donnees[[#This Row],[Échantillon]])*(Donnees[Durée (s)]&lt;Donnees[[#This Row],[Durée (s)]]))+(SUMPRODUCT((Donnees[Échantillon]=Donnees[[#This Row],[Échantillon]])*(Donnees[Durée (s)]=Donnees[[#This Row],[Durée (s)]]))+1)/2</f>
        <v>69</v>
      </c>
      <c r="AH273" s="43">
        <f>SUMPRODUCT((Donnees[Échantillon]=Donnees[[#This Row],[Échantillon]])*(Donnees[Nb hashtags]&lt;Donnees[[#This Row],[Nb hashtags]]))+(SUMPRODUCT((Donnees[Échantillon]=Donnees[[#This Row],[Échantillon]])*(Donnees[Nb hashtags]=Donnees[[#This Row],[Nb hashtags]]))+1)/2</f>
        <v>47.5</v>
      </c>
      <c r="AI273" s="43">
        <f>SUMPRODUCT((Donnees[Échantillon]=Donnees[[#This Row],[Échantillon]])*(Donnees[Longueur du texte]&lt;Donnees[[#This Row],[Longueur du texte]]))+(SUMPRODUCT((Donnees[Échantillon]=Donnees[[#This Row],[Échantillon]])*(Donnees[Longueur du texte]=Donnees[[#This Row],[Longueur du texte]]))+1)/2</f>
        <v>62.5</v>
      </c>
      <c r="AJ273" s="43">
        <f>IF(Donnees[[#This Row],[Abonnés]]="","",SUMPRODUCT((Donnees[Échantillon]=Donnees[[#This Row],[Échantillon]])*(Donnees[Abonnés]&lt;Donnees[[#This Row],[Abonnés]]))+(SUMPRODUCT((Donnees[Échantillon]=Donnees[[#This Row],[Échantillon]])*(Donnees[Abonnés]=Donnees[[#This Row],[Abonnés]]))+1)/2)</f>
        <v>22</v>
      </c>
      <c r="AK273" s="43">
        <f>IF(Donnees[[#This Row],[Vidéos publiées]]="","",SUMPRODUCT((Donnees[Échantillon]=Donnees[[#This Row],[Échantillon]])*(Donnees[Vidéos publiées]&lt;Donnees[[#This Row],[Vidéos publiées]]))+(SUMPRODUCT((Donnees[Échantillon]=Donnees[[#This Row],[Échantillon]])*(Donnees[Vidéos publiées]=Donnees[[#This Row],[Vidéos publiées]]))+1)/2)</f>
        <v>9.5</v>
      </c>
    </row>
    <row r="274" spans="1:37" x14ac:dyDescent="0.2">
      <c r="A274" s="40" t="s">
        <v>237</v>
      </c>
      <c r="B274" s="40" t="s">
        <v>293</v>
      </c>
      <c r="C274" s="40" t="s">
        <v>50</v>
      </c>
      <c r="D274" s="40">
        <v>117</v>
      </c>
      <c r="E274" s="40" t="s">
        <v>47</v>
      </c>
      <c r="F274" s="40" t="str">
        <f>IF(OR(Donnees[[#This Row],[Jour]]="samedi",Donnees[[#This Row],[Jour]]="dimanche"),"Oui","Non")</f>
        <v>Non</v>
      </c>
      <c r="G274" s="40">
        <v>20</v>
      </c>
      <c r="H274" s="40" t="str">
        <f>IF(Donnees[[#This Row],[Heure UTC]]&lt;6,"0-5 h",IF(Donnees[[#This Row],[Heure UTC]]&lt;12,"6-11 h",IF(Donnees[[#This Row],[Heure UTC]]&lt;18,"12-17 h","18-23 h")))</f>
        <v>18-23 h</v>
      </c>
      <c r="I274" s="40">
        <v>10</v>
      </c>
      <c r="J274" s="40" t="str">
        <f>IF(Donnees[[#This Row],[Durée (s)]]&lt;=10,"1. ≤ 10 s",IF(Donnees[[#This Row],[Durée (s)]]&lt;=15,"2. 11-15 s",IF(Donnees[[#This Row],[Durée (s)]]&lt;=30,"3. 16-30 s",IF(Donnees[[#This Row],[Durée (s)]]&lt;=60,"4. 31-60 s","5. &gt; 60 s"))))</f>
        <v>1. ≤ 10 s</v>
      </c>
      <c r="K274" s="40" t="str">
        <f>IF(Donnees[[#This Row],[Durée (s)]]&gt;15,"Oui","Non")</f>
        <v>Non</v>
      </c>
      <c r="L274" s="40">
        <v>5</v>
      </c>
      <c r="M274" s="40" t="s">
        <v>44</v>
      </c>
      <c r="N274" s="40">
        <v>0</v>
      </c>
      <c r="O274" s="40" t="s">
        <v>41</v>
      </c>
      <c r="P274" s="40" t="s">
        <v>41</v>
      </c>
      <c r="Q274" s="40" t="s">
        <v>41</v>
      </c>
      <c r="R274" s="40" t="s">
        <v>41</v>
      </c>
      <c r="S274" s="40" t="s">
        <v>44</v>
      </c>
      <c r="T274" s="41">
        <v>144200</v>
      </c>
      <c r="U274" s="40" t="str">
        <f>IF(Donnees[[#This Row],[Abonnés]]="","",IF(Donnees[[#This Row],[Abonnés]]&lt;1000000,"1. &lt; 1 M",IF(Donnees[[#This Row],[Abonnés]]&lt;3000000,"2. 1-3 M",IF(Donnees[[#This Row],[Abonnés]]&lt;8000000,"3. 3-8 M","4. ≥ 8 M"))))</f>
        <v>1. &lt; 1 M</v>
      </c>
      <c r="V274" s="41">
        <v>2</v>
      </c>
      <c r="W274" s="41">
        <v>46100000</v>
      </c>
      <c r="X274" s="41">
        <v>11200000</v>
      </c>
      <c r="Y274" s="41">
        <v>227900</v>
      </c>
      <c r="Z274" s="41">
        <v>390800</v>
      </c>
      <c r="AA274" s="42">
        <f>(Donnees[[#This Row],[Likes]]+Donnees[[#This Row],[Commentaires]]+Donnees[[#This Row],[Partages]])/Donnees[[#This Row],[Vues]]</f>
        <v>0.25637093275488071</v>
      </c>
      <c r="AB274" s="40">
        <f>IF(Donnees[[#This Row],[Engagement]]&gt;=VLOOKUP(Donnees[[#This Row],[Échantillon]],'Méthode &amp; limites'!$B$9:$D$11,2,FALSE),1,0)</f>
        <v>1</v>
      </c>
      <c r="AC274" s="43">
        <f>IF(Donnees[[#This Row],[Abonnés]]="","",Donnees[[#This Row],[Vues]]/Donnees[[#This Row],[Abonnés]])</f>
        <v>319.69486823855755</v>
      </c>
      <c r="AD274" s="40" t="s">
        <v>44</v>
      </c>
      <c r="AE274" s="43">
        <f>SUMPRODUCT((Donnees[Échantillon]=Donnees[[#This Row],[Échantillon]])*(Donnees[Engagement]&lt;Donnees[[#This Row],[Engagement]]))+(SUMPRODUCT((Donnees[Échantillon]=Donnees[[#This Row],[Échantillon]])*(Donnees[Engagement]=Donnees[[#This Row],[Engagement]]))+1)/2</f>
        <v>97</v>
      </c>
      <c r="AF274" s="43">
        <f>SUMPRODUCT((Donnees[Échantillon]=Donnees[[#This Row],[Échantillon]])*(Donnees[Vues]&lt;Donnees[[#This Row],[Vues]]))+(SUMPRODUCT((Donnees[Échantillon]=Donnees[[#This Row],[Échantillon]])*(Donnees[Vues]=Donnees[[#This Row],[Vues]]))+1)/2</f>
        <v>28</v>
      </c>
      <c r="AG274" s="43">
        <f>SUMPRODUCT((Donnees[Échantillon]=Donnees[[#This Row],[Échantillon]])*(Donnees[Durée (s)]&lt;Donnees[[#This Row],[Durée (s)]]))+(SUMPRODUCT((Donnees[Échantillon]=Donnees[[#This Row],[Échantillon]])*(Donnees[Durée (s)]=Donnees[[#This Row],[Durée (s)]]))+1)/2</f>
        <v>22</v>
      </c>
      <c r="AH274" s="43">
        <f>SUMPRODUCT((Donnees[Échantillon]=Donnees[[#This Row],[Échantillon]])*(Donnees[Nb hashtags]&lt;Donnees[[#This Row],[Nb hashtags]]))+(SUMPRODUCT((Donnees[Échantillon]=Donnees[[#This Row],[Échantillon]])*(Donnees[Nb hashtags]=Donnees[[#This Row],[Nb hashtags]]))+1)/2</f>
        <v>22</v>
      </c>
      <c r="AI274" s="43">
        <f>SUMPRODUCT((Donnees[Échantillon]=Donnees[[#This Row],[Échantillon]])*(Donnees[Longueur du texte]&lt;Donnees[[#This Row],[Longueur du texte]]))+(SUMPRODUCT((Donnees[Échantillon]=Donnees[[#This Row],[Échantillon]])*(Donnees[Longueur du texte]=Donnees[[#This Row],[Longueur du texte]]))+1)/2</f>
        <v>6.5</v>
      </c>
      <c r="AJ274" s="43">
        <f>IF(Donnees[[#This Row],[Abonnés]]="","",SUMPRODUCT((Donnees[Échantillon]=Donnees[[#This Row],[Échantillon]])*(Donnees[Abonnés]&lt;Donnees[[#This Row],[Abonnés]]))+(SUMPRODUCT((Donnees[Échantillon]=Donnees[[#This Row],[Échantillon]])*(Donnees[Abonnés]=Donnees[[#This Row],[Abonnés]]))+1)/2)</f>
        <v>2</v>
      </c>
      <c r="AK274" s="43">
        <f>IF(Donnees[[#This Row],[Vidéos publiées]]="","",SUMPRODUCT((Donnees[Échantillon]=Donnees[[#This Row],[Échantillon]])*(Donnees[Vidéos publiées]&lt;Donnees[[#This Row],[Vidéos publiées]]))+(SUMPRODUCT((Donnees[Échantillon]=Donnees[[#This Row],[Échantillon]])*(Donnees[Vidéos publiées]=Donnees[[#This Row],[Vidéos publiées]]))+1)/2)</f>
        <v>2.5</v>
      </c>
    </row>
    <row r="275" spans="1:37" x14ac:dyDescent="0.2">
      <c r="A275" s="40" t="s">
        <v>237</v>
      </c>
      <c r="B275" s="40" t="s">
        <v>74</v>
      </c>
      <c r="C275" s="40" t="s">
        <v>50</v>
      </c>
      <c r="D275" s="40">
        <v>178</v>
      </c>
      <c r="E275" s="40" t="s">
        <v>75</v>
      </c>
      <c r="F275" s="40" t="str">
        <f>IF(OR(Donnees[[#This Row],[Jour]]="samedi",Donnees[[#This Row],[Jour]]="dimanche"),"Oui","Non")</f>
        <v>Oui</v>
      </c>
      <c r="G275" s="40">
        <v>14</v>
      </c>
      <c r="H275" s="40" t="str">
        <f>IF(Donnees[[#This Row],[Heure UTC]]&lt;6,"0-5 h",IF(Donnees[[#This Row],[Heure UTC]]&lt;12,"6-11 h",IF(Donnees[[#This Row],[Heure UTC]]&lt;18,"12-17 h","18-23 h")))</f>
        <v>12-17 h</v>
      </c>
      <c r="I275" s="40">
        <v>9</v>
      </c>
      <c r="J275" s="40" t="str">
        <f>IF(Donnees[[#This Row],[Durée (s)]]&lt;=10,"1. ≤ 10 s",IF(Donnees[[#This Row],[Durée (s)]]&lt;=15,"2. 11-15 s",IF(Donnees[[#This Row],[Durée (s)]]&lt;=30,"3. 16-30 s",IF(Donnees[[#This Row],[Durée (s)]]&lt;=60,"4. 31-60 s","5. &gt; 60 s"))))</f>
        <v>1. ≤ 10 s</v>
      </c>
      <c r="K275" s="40" t="str">
        <f>IF(Donnees[[#This Row],[Durée (s)]]&gt;15,"Oui","Non")</f>
        <v>Non</v>
      </c>
      <c r="L275" s="40">
        <v>8</v>
      </c>
      <c r="M275" s="40" t="s">
        <v>44</v>
      </c>
      <c r="N275" s="40">
        <v>0</v>
      </c>
      <c r="O275" s="40" t="s">
        <v>41</v>
      </c>
      <c r="P275" s="40" t="s">
        <v>44</v>
      </c>
      <c r="Q275" s="40" t="s">
        <v>41</v>
      </c>
      <c r="R275" s="40" t="s">
        <v>44</v>
      </c>
      <c r="S275" s="40" t="s">
        <v>44</v>
      </c>
      <c r="T275" s="41">
        <v>27400000</v>
      </c>
      <c r="U275" s="40" t="str">
        <f>IF(Donnees[[#This Row],[Abonnés]]="","",IF(Donnees[[#This Row],[Abonnés]]&lt;1000000,"1. &lt; 1 M",IF(Donnees[[#This Row],[Abonnés]]&lt;3000000,"2. 1-3 M",IF(Donnees[[#This Row],[Abonnés]]&lt;8000000,"3. 3-8 M","4. ≥ 8 M"))))</f>
        <v>4. ≥ 8 M</v>
      </c>
      <c r="V275" s="41">
        <v>588</v>
      </c>
      <c r="W275" s="41">
        <v>45800000</v>
      </c>
      <c r="X275" s="41">
        <v>8400000</v>
      </c>
      <c r="Y275" s="41">
        <v>69000</v>
      </c>
      <c r="Z275" s="41">
        <v>57200</v>
      </c>
      <c r="AA275" s="42">
        <f>(Donnees[[#This Row],[Likes]]+Donnees[[#This Row],[Commentaires]]+Donnees[[#This Row],[Partages]])/Donnees[[#This Row],[Vues]]</f>
        <v>0.18616157205240175</v>
      </c>
      <c r="AB275" s="40">
        <f>IF(Donnees[[#This Row],[Engagement]]&gt;=VLOOKUP(Donnees[[#This Row],[Échantillon]],'Méthode &amp; limites'!$B$9:$D$11,2,FALSE),1,0)</f>
        <v>0</v>
      </c>
      <c r="AC275" s="43">
        <f>IF(Donnees[[#This Row],[Abonnés]]="","",Donnees[[#This Row],[Vues]]/Donnees[[#This Row],[Abonnés]])</f>
        <v>1.6715328467153285</v>
      </c>
      <c r="AD275" s="40" t="s">
        <v>44</v>
      </c>
      <c r="AE275" s="43">
        <f>SUMPRODUCT((Donnees[Échantillon]=Donnees[[#This Row],[Échantillon]])*(Donnees[Engagement]&lt;Donnees[[#This Row],[Engagement]]))+(SUMPRODUCT((Donnees[Échantillon]=Donnees[[#This Row],[Échantillon]])*(Donnees[Engagement]=Donnees[[#This Row],[Engagement]]))+1)/2</f>
        <v>60</v>
      </c>
      <c r="AF275" s="43">
        <f>SUMPRODUCT((Donnees[Échantillon]=Donnees[[#This Row],[Échantillon]])*(Donnees[Vues]&lt;Donnees[[#This Row],[Vues]]))+(SUMPRODUCT((Donnees[Échantillon]=Donnees[[#This Row],[Échantillon]])*(Donnees[Vues]=Donnees[[#This Row],[Vues]]))+1)/2</f>
        <v>27</v>
      </c>
      <c r="AG275" s="43">
        <f>SUMPRODUCT((Donnees[Échantillon]=Donnees[[#This Row],[Échantillon]])*(Donnees[Durée (s)]&lt;Donnees[[#This Row],[Durée (s)]]))+(SUMPRODUCT((Donnees[Échantillon]=Donnees[[#This Row],[Échantillon]])*(Donnees[Durée (s)]=Donnees[[#This Row],[Durée (s)]]))+1)/2</f>
        <v>14</v>
      </c>
      <c r="AH275" s="43">
        <f>SUMPRODUCT((Donnees[Échantillon]=Donnees[[#This Row],[Échantillon]])*(Donnees[Nb hashtags]&lt;Donnees[[#This Row],[Nb hashtags]]))+(SUMPRODUCT((Donnees[Échantillon]=Donnees[[#This Row],[Échantillon]])*(Donnees[Nb hashtags]=Donnees[[#This Row],[Nb hashtags]]))+1)/2</f>
        <v>47.5</v>
      </c>
      <c r="AI275" s="43">
        <f>SUMPRODUCT((Donnees[Échantillon]=Donnees[[#This Row],[Échantillon]])*(Donnees[Longueur du texte]&lt;Donnees[[#This Row],[Longueur du texte]]))+(SUMPRODUCT((Donnees[Échantillon]=Donnees[[#This Row],[Échantillon]])*(Donnees[Longueur du texte]=Donnees[[#This Row],[Longueur du texte]]))+1)/2</f>
        <v>6.5</v>
      </c>
      <c r="AJ275" s="43">
        <f>IF(Donnees[[#This Row],[Abonnés]]="","",SUMPRODUCT((Donnees[Échantillon]=Donnees[[#This Row],[Échantillon]])*(Donnees[Abonnés]&lt;Donnees[[#This Row],[Abonnés]]))+(SUMPRODUCT((Donnees[Échantillon]=Donnees[[#This Row],[Échantillon]])*(Donnees[Abonnés]=Donnees[[#This Row],[Abonnés]]))+1)/2)</f>
        <v>96.5</v>
      </c>
      <c r="AK275" s="43">
        <f>IF(Donnees[[#This Row],[Vidéos publiées]]="","",SUMPRODUCT((Donnees[Échantillon]=Donnees[[#This Row],[Échantillon]])*(Donnees[Vidéos publiées]&lt;Donnees[[#This Row],[Vidéos publiées]]))+(SUMPRODUCT((Donnees[Échantillon]=Donnees[[#This Row],[Échantillon]])*(Donnees[Vidéos publiées]=Donnees[[#This Row],[Vidéos publiées]]))+1)/2)</f>
        <v>78.5</v>
      </c>
    </row>
    <row r="276" spans="1:37" x14ac:dyDescent="0.2">
      <c r="A276" s="40" t="s">
        <v>237</v>
      </c>
      <c r="B276" s="40" t="s">
        <v>294</v>
      </c>
      <c r="C276" s="40" t="s">
        <v>50</v>
      </c>
      <c r="D276" s="40">
        <v>261</v>
      </c>
      <c r="E276" s="40" t="s">
        <v>56</v>
      </c>
      <c r="F276" s="40" t="str">
        <f>IF(OR(Donnees[[#This Row],[Jour]]="samedi",Donnees[[#This Row],[Jour]]="dimanche"),"Oui","Non")</f>
        <v>Oui</v>
      </c>
      <c r="G276" s="40">
        <v>13</v>
      </c>
      <c r="H276" s="40" t="str">
        <f>IF(Donnees[[#This Row],[Heure UTC]]&lt;6,"0-5 h",IF(Donnees[[#This Row],[Heure UTC]]&lt;12,"6-11 h",IF(Donnees[[#This Row],[Heure UTC]]&lt;18,"12-17 h","18-23 h")))</f>
        <v>12-17 h</v>
      </c>
      <c r="I276" s="40">
        <v>59</v>
      </c>
      <c r="J276" s="40" t="str">
        <f>IF(Donnees[[#This Row],[Durée (s)]]&lt;=10,"1. ≤ 10 s",IF(Donnees[[#This Row],[Durée (s)]]&lt;=15,"2. 11-15 s",IF(Donnees[[#This Row],[Durée (s)]]&lt;=30,"3. 16-30 s",IF(Donnees[[#This Row],[Durée (s)]]&lt;=60,"4. 31-60 s","5. &gt; 60 s"))))</f>
        <v>4. 31-60 s</v>
      </c>
      <c r="K276" s="40" t="str">
        <f>IF(Donnees[[#This Row],[Durée (s)]]&gt;15,"Oui","Non")</f>
        <v>Oui</v>
      </c>
      <c r="L276" s="40">
        <v>16</v>
      </c>
      <c r="M276" s="40" t="s">
        <v>44</v>
      </c>
      <c r="N276" s="40">
        <v>10</v>
      </c>
      <c r="O276" s="40" t="s">
        <v>41</v>
      </c>
      <c r="P276" s="40" t="s">
        <v>41</v>
      </c>
      <c r="Q276" s="40" t="s">
        <v>41</v>
      </c>
      <c r="R276" s="40" t="s">
        <v>44</v>
      </c>
      <c r="S276" s="40" t="s">
        <v>44</v>
      </c>
      <c r="T276" s="41">
        <v>2300000</v>
      </c>
      <c r="U276" s="40" t="str">
        <f>IF(Donnees[[#This Row],[Abonnés]]="","",IF(Donnees[[#This Row],[Abonnés]]&lt;1000000,"1. &lt; 1 M",IF(Donnees[[#This Row],[Abonnés]]&lt;3000000,"2. 1-3 M",IF(Donnees[[#This Row],[Abonnés]]&lt;8000000,"3. 3-8 M","4. ≥ 8 M"))))</f>
        <v>2. 1-3 M</v>
      </c>
      <c r="V276" s="41">
        <v>808</v>
      </c>
      <c r="W276" s="41">
        <v>45200000</v>
      </c>
      <c r="X276" s="41">
        <v>9100000</v>
      </c>
      <c r="Y276" s="41">
        <v>46900</v>
      </c>
      <c r="Z276" s="41">
        <v>86100</v>
      </c>
      <c r="AA276" s="42">
        <f>(Donnees[[#This Row],[Likes]]+Donnees[[#This Row],[Commentaires]]+Donnees[[#This Row],[Partages]])/Donnees[[#This Row],[Vues]]</f>
        <v>0.20426991150442478</v>
      </c>
      <c r="AB276" s="40">
        <f>IF(Donnees[[#This Row],[Engagement]]&gt;=VLOOKUP(Donnees[[#This Row],[Échantillon]],'Méthode &amp; limites'!$B$9:$D$11,2,FALSE),1,0)</f>
        <v>0</v>
      </c>
      <c r="AC276" s="43">
        <f>IF(Donnees[[#This Row],[Abonnés]]="","",Donnees[[#This Row],[Vues]]/Donnees[[#This Row],[Abonnés]])</f>
        <v>19.652173913043477</v>
      </c>
      <c r="AD276" s="40" t="s">
        <v>44</v>
      </c>
      <c r="AE276" s="43">
        <f>SUMPRODUCT((Donnees[Échantillon]=Donnees[[#This Row],[Échantillon]])*(Donnees[Engagement]&lt;Donnees[[#This Row],[Engagement]]))+(SUMPRODUCT((Donnees[Échantillon]=Donnees[[#This Row],[Échantillon]])*(Donnees[Engagement]=Donnees[[#This Row],[Engagement]]))+1)/2</f>
        <v>75</v>
      </c>
      <c r="AF276" s="43">
        <f>SUMPRODUCT((Donnees[Échantillon]=Donnees[[#This Row],[Échantillon]])*(Donnees[Vues]&lt;Donnees[[#This Row],[Vues]]))+(SUMPRODUCT((Donnees[Échantillon]=Donnees[[#This Row],[Échantillon]])*(Donnees[Vues]=Donnees[[#This Row],[Vues]]))+1)/2</f>
        <v>26</v>
      </c>
      <c r="AG276" s="43">
        <f>SUMPRODUCT((Donnees[Échantillon]=Donnees[[#This Row],[Échantillon]])*(Donnees[Durée (s)]&lt;Donnees[[#This Row],[Durée (s)]]))+(SUMPRODUCT((Donnees[Échantillon]=Donnees[[#This Row],[Échantillon]])*(Donnees[Durée (s)]=Donnees[[#This Row],[Durée (s)]]))+1)/2</f>
        <v>97</v>
      </c>
      <c r="AH276" s="43">
        <f>SUMPRODUCT((Donnees[Échantillon]=Donnees[[#This Row],[Échantillon]])*(Donnees[Nb hashtags]&lt;Donnees[[#This Row],[Nb hashtags]]))+(SUMPRODUCT((Donnees[Échantillon]=Donnees[[#This Row],[Échantillon]])*(Donnees[Nb hashtags]=Donnees[[#This Row],[Nb hashtags]]))+1)/2</f>
        <v>92.5</v>
      </c>
      <c r="AI276" s="43">
        <f>SUMPRODUCT((Donnees[Échantillon]=Donnees[[#This Row],[Échantillon]])*(Donnees[Longueur du texte]&lt;Donnees[[#This Row],[Longueur du texte]]))+(SUMPRODUCT((Donnees[Échantillon]=Donnees[[#This Row],[Échantillon]])*(Donnees[Longueur du texte]=Donnees[[#This Row],[Longueur du texte]]))+1)/2</f>
        <v>27.5</v>
      </c>
      <c r="AJ276" s="43">
        <f>IF(Donnees[[#This Row],[Abonnés]]="","",SUMPRODUCT((Donnees[Échantillon]=Donnees[[#This Row],[Échantillon]])*(Donnees[Abonnés]&lt;Donnees[[#This Row],[Abonnés]]))+(SUMPRODUCT((Donnees[Échantillon]=Donnees[[#This Row],[Échantillon]])*(Donnees[Abonnés]=Donnees[[#This Row],[Abonnés]]))+1)/2)</f>
        <v>45.5</v>
      </c>
      <c r="AK276" s="43">
        <f>IF(Donnees[[#This Row],[Vidéos publiées]]="","",SUMPRODUCT((Donnees[Échantillon]=Donnees[[#This Row],[Échantillon]])*(Donnees[Vidéos publiées]&lt;Donnees[[#This Row],[Vidéos publiées]]))+(SUMPRODUCT((Donnees[Échantillon]=Donnees[[#This Row],[Échantillon]])*(Donnees[Vidéos publiées]=Donnees[[#This Row],[Vidéos publiées]]))+1)/2)</f>
        <v>87</v>
      </c>
    </row>
    <row r="277" spans="1:37" x14ac:dyDescent="0.2">
      <c r="A277" s="40" t="s">
        <v>237</v>
      </c>
      <c r="B277" s="40" t="s">
        <v>289</v>
      </c>
      <c r="C277" s="40" t="s">
        <v>62</v>
      </c>
      <c r="D277" s="40">
        <v>266</v>
      </c>
      <c r="E277" s="40" t="s">
        <v>40</v>
      </c>
      <c r="F277" s="40" t="str">
        <f>IF(OR(Donnees[[#This Row],[Jour]]="samedi",Donnees[[#This Row],[Jour]]="dimanche"),"Oui","Non")</f>
        <v>Non</v>
      </c>
      <c r="G277" s="40">
        <v>12</v>
      </c>
      <c r="H277" s="40" t="str">
        <f>IF(Donnees[[#This Row],[Heure UTC]]&lt;6,"0-5 h",IF(Donnees[[#This Row],[Heure UTC]]&lt;12,"6-11 h",IF(Donnees[[#This Row],[Heure UTC]]&lt;18,"12-17 h","18-23 h")))</f>
        <v>12-17 h</v>
      </c>
      <c r="I277" s="40">
        <v>14</v>
      </c>
      <c r="J277" s="40" t="str">
        <f>IF(Donnees[[#This Row],[Durée (s)]]&lt;=10,"1. ≤ 10 s",IF(Donnees[[#This Row],[Durée (s)]]&lt;=15,"2. 11-15 s",IF(Donnees[[#This Row],[Durée (s)]]&lt;=30,"3. 16-30 s",IF(Donnees[[#This Row],[Durée (s)]]&lt;=60,"4. 31-60 s","5. &gt; 60 s"))))</f>
        <v>2. 11-15 s</v>
      </c>
      <c r="K277" s="40" t="str">
        <f>IF(Donnees[[#This Row],[Durée (s)]]&gt;15,"Oui","Non")</f>
        <v>Non</v>
      </c>
      <c r="L277" s="40">
        <v>9</v>
      </c>
      <c r="M277" s="40" t="s">
        <v>44</v>
      </c>
      <c r="N277" s="40">
        <v>13</v>
      </c>
      <c r="O277" s="40" t="s">
        <v>41</v>
      </c>
      <c r="P277" s="40" t="s">
        <v>41</v>
      </c>
      <c r="Q277" s="40" t="s">
        <v>41</v>
      </c>
      <c r="R277" s="40" t="s">
        <v>44</v>
      </c>
      <c r="S277" s="40" t="s">
        <v>44</v>
      </c>
      <c r="T277" s="41">
        <v>4400000</v>
      </c>
      <c r="U277" s="40" t="str">
        <f>IF(Donnees[[#This Row],[Abonnés]]="","",IF(Donnees[[#This Row],[Abonnés]]&lt;1000000,"1. &lt; 1 M",IF(Donnees[[#This Row],[Abonnés]]&lt;3000000,"2. 1-3 M",IF(Donnees[[#This Row],[Abonnés]]&lt;8000000,"3. 3-8 M","4. ≥ 8 M"))))</f>
        <v>3. 3-8 M</v>
      </c>
      <c r="V277" s="41">
        <v>66</v>
      </c>
      <c r="W277" s="41">
        <v>44500000</v>
      </c>
      <c r="X277" s="41">
        <v>8300000</v>
      </c>
      <c r="Y277" s="41">
        <v>93800</v>
      </c>
      <c r="Z277" s="41">
        <v>290600</v>
      </c>
      <c r="AA277" s="42">
        <f>(Donnees[[#This Row],[Likes]]+Donnees[[#This Row],[Commentaires]]+Donnees[[#This Row],[Partages]])/Donnees[[#This Row],[Vues]]</f>
        <v>0.19515505617977527</v>
      </c>
      <c r="AB277" s="40">
        <f>IF(Donnees[[#This Row],[Engagement]]&gt;=VLOOKUP(Donnees[[#This Row],[Échantillon]],'Méthode &amp; limites'!$B$9:$D$11,2,FALSE),1,0)</f>
        <v>0</v>
      </c>
      <c r="AC277" s="43">
        <f>IF(Donnees[[#This Row],[Abonnés]]="","",Donnees[[#This Row],[Vues]]/Donnees[[#This Row],[Abonnés]])</f>
        <v>10.113636363636363</v>
      </c>
      <c r="AD277" s="40" t="s">
        <v>44</v>
      </c>
      <c r="AE277" s="43">
        <f>SUMPRODUCT((Donnees[Échantillon]=Donnees[[#This Row],[Échantillon]])*(Donnees[Engagement]&lt;Donnees[[#This Row],[Engagement]]))+(SUMPRODUCT((Donnees[Échantillon]=Donnees[[#This Row],[Échantillon]])*(Donnees[Engagement]=Donnees[[#This Row],[Engagement]]))+1)/2</f>
        <v>71</v>
      </c>
      <c r="AF277" s="43">
        <f>SUMPRODUCT((Donnees[Échantillon]=Donnees[[#This Row],[Échantillon]])*(Donnees[Vues]&lt;Donnees[[#This Row],[Vues]]))+(SUMPRODUCT((Donnees[Échantillon]=Donnees[[#This Row],[Échantillon]])*(Donnees[Vues]=Donnees[[#This Row],[Vues]]))+1)/2</f>
        <v>25</v>
      </c>
      <c r="AG277" s="43">
        <f>SUMPRODUCT((Donnees[Échantillon]=Donnees[[#This Row],[Échantillon]])*(Donnees[Durée (s)]&lt;Donnees[[#This Row],[Durée (s)]]))+(SUMPRODUCT((Donnees[Échantillon]=Donnees[[#This Row],[Échantillon]])*(Donnees[Durée (s)]=Donnees[[#This Row],[Durée (s)]]))+1)/2</f>
        <v>38</v>
      </c>
      <c r="AH277" s="43">
        <f>SUMPRODUCT((Donnees[Échantillon]=Donnees[[#This Row],[Échantillon]])*(Donnees[Nb hashtags]&lt;Donnees[[#This Row],[Nb hashtags]]))+(SUMPRODUCT((Donnees[Échantillon]=Donnees[[#This Row],[Échantillon]])*(Donnees[Nb hashtags]=Donnees[[#This Row],[Nb hashtags]]))+1)/2</f>
        <v>60</v>
      </c>
      <c r="AI277" s="43">
        <f>SUMPRODUCT((Donnees[Échantillon]=Donnees[[#This Row],[Échantillon]])*(Donnees[Longueur du texte]&lt;Donnees[[#This Row],[Longueur du texte]]))+(SUMPRODUCT((Donnees[Échantillon]=Donnees[[#This Row],[Échantillon]])*(Donnees[Longueur du texte]=Donnees[[#This Row],[Longueur du texte]]))+1)/2</f>
        <v>34.5</v>
      </c>
      <c r="AJ277" s="43">
        <f>IF(Donnees[[#This Row],[Abonnés]]="","",SUMPRODUCT((Donnees[Échantillon]=Donnees[[#This Row],[Échantillon]])*(Donnees[Abonnés]&lt;Donnees[[#This Row],[Abonnés]]))+(SUMPRODUCT((Donnees[Échantillon]=Donnees[[#This Row],[Échantillon]])*(Donnees[Abonnés]=Donnees[[#This Row],[Abonnés]]))+1)/2)</f>
        <v>58</v>
      </c>
      <c r="AK277" s="43">
        <f>IF(Donnees[[#This Row],[Vidéos publiées]]="","",SUMPRODUCT((Donnees[Échantillon]=Donnees[[#This Row],[Échantillon]])*(Donnees[Vidéos publiées]&lt;Donnees[[#This Row],[Vidéos publiées]]))+(SUMPRODUCT((Donnees[Échantillon]=Donnees[[#This Row],[Échantillon]])*(Donnees[Vidéos publiées]=Donnees[[#This Row],[Vidéos publiées]]))+1)/2)</f>
        <v>21</v>
      </c>
    </row>
    <row r="278" spans="1:37" x14ac:dyDescent="0.2">
      <c r="A278" s="40" t="s">
        <v>237</v>
      </c>
      <c r="B278" s="40" t="s">
        <v>295</v>
      </c>
      <c r="C278" s="40" t="s">
        <v>46</v>
      </c>
      <c r="D278" s="40">
        <v>304</v>
      </c>
      <c r="E278" s="40" t="s">
        <v>75</v>
      </c>
      <c r="F278" s="40" t="str">
        <f>IF(OR(Donnees[[#This Row],[Jour]]="samedi",Donnees[[#This Row],[Jour]]="dimanche"),"Oui","Non")</f>
        <v>Oui</v>
      </c>
      <c r="G278" s="40">
        <v>17</v>
      </c>
      <c r="H278" s="40" t="str">
        <f>IF(Donnees[[#This Row],[Heure UTC]]&lt;6,"0-5 h",IF(Donnees[[#This Row],[Heure UTC]]&lt;12,"6-11 h",IF(Donnees[[#This Row],[Heure UTC]]&lt;18,"12-17 h","18-23 h")))</f>
        <v>12-17 h</v>
      </c>
      <c r="I278" s="40">
        <v>50</v>
      </c>
      <c r="J278" s="40" t="str">
        <f>IF(Donnees[[#This Row],[Durée (s)]]&lt;=10,"1. ≤ 10 s",IF(Donnees[[#This Row],[Durée (s)]]&lt;=15,"2. 11-15 s",IF(Donnees[[#This Row],[Durée (s)]]&lt;=30,"3. 16-30 s",IF(Donnees[[#This Row],[Durée (s)]]&lt;=60,"4. 31-60 s","5. &gt; 60 s"))))</f>
        <v>4. 31-60 s</v>
      </c>
      <c r="K278" s="40" t="str">
        <f>IF(Donnees[[#This Row],[Durée (s)]]&gt;15,"Oui","Non")</f>
        <v>Oui</v>
      </c>
      <c r="L278" s="40">
        <v>3</v>
      </c>
      <c r="M278" s="40" t="s">
        <v>44</v>
      </c>
      <c r="N278" s="40">
        <v>31</v>
      </c>
      <c r="O278" s="40" t="s">
        <v>41</v>
      </c>
      <c r="P278" s="40" t="s">
        <v>41</v>
      </c>
      <c r="Q278" s="40" t="s">
        <v>41</v>
      </c>
      <c r="R278" s="40" t="s">
        <v>41</v>
      </c>
      <c r="S278" s="40" t="s">
        <v>44</v>
      </c>
      <c r="T278" s="41">
        <v>1000000</v>
      </c>
      <c r="U278" s="40" t="str">
        <f>IF(Donnees[[#This Row],[Abonnés]]="","",IF(Donnees[[#This Row],[Abonnés]]&lt;1000000,"1. &lt; 1 M",IF(Donnees[[#This Row],[Abonnés]]&lt;3000000,"2. 1-3 M",IF(Donnees[[#This Row],[Abonnés]]&lt;8000000,"3. 3-8 M","4. ≥ 8 M"))))</f>
        <v>2. 1-3 M</v>
      </c>
      <c r="V278" s="41">
        <v>176</v>
      </c>
      <c r="W278" s="41">
        <v>44200000</v>
      </c>
      <c r="X278" s="41">
        <v>10200000</v>
      </c>
      <c r="Y278" s="41">
        <v>26500</v>
      </c>
      <c r="Z278" s="41">
        <v>27000</v>
      </c>
      <c r="AA278" s="42">
        <f>(Donnees[[#This Row],[Likes]]+Donnees[[#This Row],[Commentaires]]+Donnees[[#This Row],[Partages]])/Donnees[[#This Row],[Vues]]</f>
        <v>0.23197963800904978</v>
      </c>
      <c r="AB278" s="40">
        <f>IF(Donnees[[#This Row],[Engagement]]&gt;=VLOOKUP(Donnees[[#This Row],[Échantillon]],'Méthode &amp; limites'!$B$9:$D$11,2,FALSE),1,0)</f>
        <v>1</v>
      </c>
      <c r="AC278" s="43">
        <f>IF(Donnees[[#This Row],[Abonnés]]="","",Donnees[[#This Row],[Vues]]/Donnees[[#This Row],[Abonnés]])</f>
        <v>44.2</v>
      </c>
      <c r="AD278" s="40" t="s">
        <v>44</v>
      </c>
      <c r="AE278" s="43">
        <f>SUMPRODUCT((Donnees[Échantillon]=Donnees[[#This Row],[Échantillon]])*(Donnees[Engagement]&lt;Donnees[[#This Row],[Engagement]]))+(SUMPRODUCT((Donnees[Échantillon]=Donnees[[#This Row],[Échantillon]])*(Donnees[Engagement]=Donnees[[#This Row],[Engagement]]))+1)/2</f>
        <v>94</v>
      </c>
      <c r="AF278" s="43">
        <f>SUMPRODUCT((Donnees[Échantillon]=Donnees[[#This Row],[Échantillon]])*(Donnees[Vues]&lt;Donnees[[#This Row],[Vues]]))+(SUMPRODUCT((Donnees[Échantillon]=Donnees[[#This Row],[Échantillon]])*(Donnees[Vues]=Donnees[[#This Row],[Vues]]))+1)/2</f>
        <v>24</v>
      </c>
      <c r="AG278" s="43">
        <f>SUMPRODUCT((Donnees[Échantillon]=Donnees[[#This Row],[Échantillon]])*(Donnees[Durée (s)]&lt;Donnees[[#This Row],[Durée (s)]]))+(SUMPRODUCT((Donnees[Échantillon]=Donnees[[#This Row],[Échantillon]])*(Donnees[Durée (s)]=Donnees[[#This Row],[Durée (s)]]))+1)/2</f>
        <v>89</v>
      </c>
      <c r="AH278" s="43">
        <f>SUMPRODUCT((Donnees[Échantillon]=Donnees[[#This Row],[Échantillon]])*(Donnees[Nb hashtags]&lt;Donnees[[#This Row],[Nb hashtags]]))+(SUMPRODUCT((Donnees[Échantillon]=Donnees[[#This Row],[Échantillon]])*(Donnees[Nb hashtags]=Donnees[[#This Row],[Nb hashtags]]))+1)/2</f>
        <v>10.5</v>
      </c>
      <c r="AI278" s="43">
        <f>SUMPRODUCT((Donnees[Échantillon]=Donnees[[#This Row],[Échantillon]])*(Donnees[Longueur du texte]&lt;Donnees[[#This Row],[Longueur du texte]]))+(SUMPRODUCT((Donnees[Échantillon]=Donnees[[#This Row],[Échantillon]])*(Donnees[Longueur du texte]=Donnees[[#This Row],[Longueur du texte]]))+1)/2</f>
        <v>64.5</v>
      </c>
      <c r="AJ278" s="43">
        <f>IF(Donnees[[#This Row],[Abonnés]]="","",SUMPRODUCT((Donnees[Échantillon]=Donnees[[#This Row],[Échantillon]])*(Donnees[Abonnés]&lt;Donnees[[#This Row],[Abonnés]]))+(SUMPRODUCT((Donnees[Échantillon]=Donnees[[#This Row],[Échantillon]])*(Donnees[Abonnés]=Donnees[[#This Row],[Abonnés]]))+1)/2)</f>
        <v>29</v>
      </c>
      <c r="AK278" s="43">
        <f>IF(Donnees[[#This Row],[Vidéos publiées]]="","",SUMPRODUCT((Donnees[Échantillon]=Donnees[[#This Row],[Échantillon]])*(Donnees[Vidéos publiées]&lt;Donnees[[#This Row],[Vidéos publiées]]))+(SUMPRODUCT((Donnees[Échantillon]=Donnees[[#This Row],[Échantillon]])*(Donnees[Vidéos publiées]=Donnees[[#This Row],[Vidéos publiées]]))+1)/2)</f>
        <v>45</v>
      </c>
    </row>
    <row r="279" spans="1:37" x14ac:dyDescent="0.2">
      <c r="A279" s="40" t="s">
        <v>237</v>
      </c>
      <c r="B279" s="40" t="s">
        <v>296</v>
      </c>
      <c r="C279" s="40" t="s">
        <v>50</v>
      </c>
      <c r="D279" s="40">
        <v>598</v>
      </c>
      <c r="E279" s="40" t="s">
        <v>75</v>
      </c>
      <c r="F279" s="40" t="str">
        <f>IF(OR(Donnees[[#This Row],[Jour]]="samedi",Donnees[[#This Row],[Jour]]="dimanche"),"Oui","Non")</f>
        <v>Oui</v>
      </c>
      <c r="G279" s="40">
        <v>14</v>
      </c>
      <c r="H279" s="40" t="str">
        <f>IF(Donnees[[#This Row],[Heure UTC]]&lt;6,"0-5 h",IF(Donnees[[#This Row],[Heure UTC]]&lt;12,"6-11 h",IF(Donnees[[#This Row],[Heure UTC]]&lt;18,"12-17 h","18-23 h")))</f>
        <v>12-17 h</v>
      </c>
      <c r="I279" s="40">
        <v>19</v>
      </c>
      <c r="J279" s="40" t="str">
        <f>IF(Donnees[[#This Row],[Durée (s)]]&lt;=10,"1. ≤ 10 s",IF(Donnees[[#This Row],[Durée (s)]]&lt;=15,"2. 11-15 s",IF(Donnees[[#This Row],[Durée (s)]]&lt;=30,"3. 16-30 s",IF(Donnees[[#This Row],[Durée (s)]]&lt;=60,"4. 31-60 s","5. &gt; 60 s"))))</f>
        <v>3. 16-30 s</v>
      </c>
      <c r="K279" s="40" t="str">
        <f>IF(Donnees[[#This Row],[Durée (s)]]&gt;15,"Oui","Non")</f>
        <v>Oui</v>
      </c>
      <c r="L279" s="40">
        <v>9</v>
      </c>
      <c r="M279" s="40" t="s">
        <v>44</v>
      </c>
      <c r="N279" s="40">
        <v>79</v>
      </c>
      <c r="O279" s="40" t="s">
        <v>41</v>
      </c>
      <c r="P279" s="40" t="s">
        <v>41</v>
      </c>
      <c r="Q279" s="40" t="s">
        <v>41</v>
      </c>
      <c r="R279" s="40" t="s">
        <v>41</v>
      </c>
      <c r="S279" s="40" t="s">
        <v>44</v>
      </c>
      <c r="T279" s="41">
        <v>2300000</v>
      </c>
      <c r="U279" s="40" t="str">
        <f>IF(Donnees[[#This Row],[Abonnés]]="","",IF(Donnees[[#This Row],[Abonnés]]&lt;1000000,"1. &lt; 1 M",IF(Donnees[[#This Row],[Abonnés]]&lt;3000000,"2. 1-3 M",IF(Donnees[[#This Row],[Abonnés]]&lt;8000000,"3. 3-8 M","4. ≥ 8 M"))))</f>
        <v>2. 1-3 M</v>
      </c>
      <c r="V279" s="41">
        <v>384</v>
      </c>
      <c r="W279" s="41">
        <v>43300000</v>
      </c>
      <c r="X279" s="41">
        <v>8700000</v>
      </c>
      <c r="Y279" s="41">
        <v>80800</v>
      </c>
      <c r="Z279" s="41">
        <v>784100</v>
      </c>
      <c r="AA279" s="42">
        <f>(Donnees[[#This Row],[Likes]]+Donnees[[#This Row],[Commentaires]]+Donnees[[#This Row],[Partages]])/Donnees[[#This Row],[Vues]]</f>
        <v>0.22089838337182449</v>
      </c>
      <c r="AB279" s="40">
        <f>IF(Donnees[[#This Row],[Engagement]]&gt;=VLOOKUP(Donnees[[#This Row],[Échantillon]],'Méthode &amp; limites'!$B$9:$D$11,2,FALSE),1,0)</f>
        <v>1</v>
      </c>
      <c r="AC279" s="43">
        <f>IF(Donnees[[#This Row],[Abonnés]]="","",Donnees[[#This Row],[Vues]]/Donnees[[#This Row],[Abonnés]])</f>
        <v>18.826086956521738</v>
      </c>
      <c r="AD279" s="40" t="s">
        <v>44</v>
      </c>
      <c r="AE279" s="43">
        <f>SUMPRODUCT((Donnees[Échantillon]=Donnees[[#This Row],[Échantillon]])*(Donnees[Engagement]&lt;Donnees[[#This Row],[Engagement]]))+(SUMPRODUCT((Donnees[Échantillon]=Donnees[[#This Row],[Échantillon]])*(Donnees[Engagement]=Donnees[[#This Row],[Engagement]]))+1)/2</f>
        <v>87</v>
      </c>
      <c r="AF279" s="43">
        <f>SUMPRODUCT((Donnees[Échantillon]=Donnees[[#This Row],[Échantillon]])*(Donnees[Vues]&lt;Donnees[[#This Row],[Vues]]))+(SUMPRODUCT((Donnees[Échantillon]=Donnees[[#This Row],[Échantillon]])*(Donnees[Vues]=Donnees[[#This Row],[Vues]]))+1)/2</f>
        <v>23</v>
      </c>
      <c r="AG279" s="43">
        <f>SUMPRODUCT((Donnees[Échantillon]=Donnees[[#This Row],[Échantillon]])*(Donnees[Durée (s)]&lt;Donnees[[#This Row],[Durée (s)]]))+(SUMPRODUCT((Donnees[Échantillon]=Donnees[[#This Row],[Échantillon]])*(Donnees[Durée (s)]=Donnees[[#This Row],[Durée (s)]]))+1)/2</f>
        <v>56.5</v>
      </c>
      <c r="AH279" s="43">
        <f>SUMPRODUCT((Donnees[Échantillon]=Donnees[[#This Row],[Échantillon]])*(Donnees[Nb hashtags]&lt;Donnees[[#This Row],[Nb hashtags]]))+(SUMPRODUCT((Donnees[Échantillon]=Donnees[[#This Row],[Échantillon]])*(Donnees[Nb hashtags]=Donnees[[#This Row],[Nb hashtags]]))+1)/2</f>
        <v>60</v>
      </c>
      <c r="AI279" s="43">
        <f>SUMPRODUCT((Donnees[Échantillon]=Donnees[[#This Row],[Échantillon]])*(Donnees[Longueur du texte]&lt;Donnees[[#This Row],[Longueur du texte]]))+(SUMPRODUCT((Donnees[Échantillon]=Donnees[[#This Row],[Échantillon]])*(Donnees[Longueur du texte]=Donnees[[#This Row],[Longueur du texte]]))+1)/2</f>
        <v>96.5</v>
      </c>
      <c r="AJ279" s="43">
        <f>IF(Donnees[[#This Row],[Abonnés]]="","",SUMPRODUCT((Donnees[Échantillon]=Donnees[[#This Row],[Échantillon]])*(Donnees[Abonnés]&lt;Donnees[[#This Row],[Abonnés]]))+(SUMPRODUCT((Donnees[Échantillon]=Donnees[[#This Row],[Échantillon]])*(Donnees[Abonnés]=Donnees[[#This Row],[Abonnés]]))+1)/2)</f>
        <v>45.5</v>
      </c>
      <c r="AK279" s="43">
        <f>IF(Donnees[[#This Row],[Vidéos publiées]]="","",SUMPRODUCT((Donnees[Échantillon]=Donnees[[#This Row],[Échantillon]])*(Donnees[Vidéos publiées]&lt;Donnees[[#This Row],[Vidéos publiées]]))+(SUMPRODUCT((Donnees[Échantillon]=Donnees[[#This Row],[Échantillon]])*(Donnees[Vidéos publiées]=Donnees[[#This Row],[Vidéos publiées]]))+1)/2)</f>
        <v>60</v>
      </c>
    </row>
    <row r="280" spans="1:37" x14ac:dyDescent="0.2">
      <c r="A280" s="40" t="s">
        <v>237</v>
      </c>
      <c r="B280" s="40" t="s">
        <v>297</v>
      </c>
      <c r="C280" s="40" t="s">
        <v>50</v>
      </c>
      <c r="D280" s="40">
        <v>160</v>
      </c>
      <c r="E280" s="40" t="s">
        <v>59</v>
      </c>
      <c r="F280" s="40" t="str">
        <f>IF(OR(Donnees[[#This Row],[Jour]]="samedi",Donnees[[#This Row],[Jour]]="dimanche"),"Oui","Non")</f>
        <v>Non</v>
      </c>
      <c r="G280" s="40">
        <v>20</v>
      </c>
      <c r="H280" s="40" t="str">
        <f>IF(Donnees[[#This Row],[Heure UTC]]&lt;6,"0-5 h",IF(Donnees[[#This Row],[Heure UTC]]&lt;12,"6-11 h",IF(Donnees[[#This Row],[Heure UTC]]&lt;18,"12-17 h","18-23 h")))</f>
        <v>18-23 h</v>
      </c>
      <c r="I280" s="40">
        <v>16</v>
      </c>
      <c r="J280" s="40" t="str">
        <f>IF(Donnees[[#This Row],[Durée (s)]]&lt;=10,"1. ≤ 10 s",IF(Donnees[[#This Row],[Durée (s)]]&lt;=15,"2. 11-15 s",IF(Donnees[[#This Row],[Durée (s)]]&lt;=30,"3. 16-30 s",IF(Donnees[[#This Row],[Durée (s)]]&lt;=60,"4. 31-60 s","5. &gt; 60 s"))))</f>
        <v>3. 16-30 s</v>
      </c>
      <c r="K280" s="40" t="str">
        <f>IF(Donnees[[#This Row],[Durée (s)]]&gt;15,"Oui","Non")</f>
        <v>Oui</v>
      </c>
      <c r="L280" s="40">
        <v>19</v>
      </c>
      <c r="M280" s="40" t="s">
        <v>44</v>
      </c>
      <c r="N280" s="40">
        <v>0</v>
      </c>
      <c r="O280" s="40" t="s">
        <v>41</v>
      </c>
      <c r="P280" s="40" t="s">
        <v>41</v>
      </c>
      <c r="Q280" s="40" t="s">
        <v>41</v>
      </c>
      <c r="R280" s="40" t="s">
        <v>44</v>
      </c>
      <c r="S280" s="40" t="s">
        <v>44</v>
      </c>
      <c r="T280" s="41">
        <v>480700</v>
      </c>
      <c r="U280" s="40" t="str">
        <f>IF(Donnees[[#This Row],[Abonnés]]="","",IF(Donnees[[#This Row],[Abonnés]]&lt;1000000,"1. &lt; 1 M",IF(Donnees[[#This Row],[Abonnés]]&lt;3000000,"2. 1-3 M",IF(Donnees[[#This Row],[Abonnés]]&lt;8000000,"3. 3-8 M","4. ≥ 8 M"))))</f>
        <v>1. &lt; 1 M</v>
      </c>
      <c r="V280" s="41">
        <v>162</v>
      </c>
      <c r="W280" s="41">
        <v>43000000</v>
      </c>
      <c r="X280" s="41">
        <v>6900000</v>
      </c>
      <c r="Y280" s="41">
        <v>70800</v>
      </c>
      <c r="Z280" s="41">
        <v>116200</v>
      </c>
      <c r="AA280" s="42">
        <f>(Donnees[[#This Row],[Likes]]+Donnees[[#This Row],[Commentaires]]+Donnees[[#This Row],[Partages]])/Donnees[[#This Row],[Vues]]</f>
        <v>0.16481395348837211</v>
      </c>
      <c r="AB280" s="40">
        <f>IF(Donnees[[#This Row],[Engagement]]&gt;=VLOOKUP(Donnees[[#This Row],[Échantillon]],'Méthode &amp; limites'!$B$9:$D$11,2,FALSE),1,0)</f>
        <v>0</v>
      </c>
      <c r="AC280" s="43">
        <f>IF(Donnees[[#This Row],[Abonnés]]="","",Donnees[[#This Row],[Vues]]/Donnees[[#This Row],[Abonnés]])</f>
        <v>89.452881214894944</v>
      </c>
      <c r="AD280" s="40" t="s">
        <v>44</v>
      </c>
      <c r="AE280" s="43">
        <f>SUMPRODUCT((Donnees[Échantillon]=Donnees[[#This Row],[Échantillon]])*(Donnees[Engagement]&lt;Donnees[[#This Row],[Engagement]]))+(SUMPRODUCT((Donnees[Échantillon]=Donnees[[#This Row],[Échantillon]])*(Donnees[Engagement]=Donnees[[#This Row],[Engagement]]))+1)/2</f>
        <v>52</v>
      </c>
      <c r="AF280" s="43">
        <f>SUMPRODUCT((Donnees[Échantillon]=Donnees[[#This Row],[Échantillon]])*(Donnees[Vues]&lt;Donnees[[#This Row],[Vues]]))+(SUMPRODUCT((Donnees[Échantillon]=Donnees[[#This Row],[Échantillon]])*(Donnees[Vues]=Donnees[[#This Row],[Vues]]))+1)/2</f>
        <v>22</v>
      </c>
      <c r="AG280" s="43">
        <f>SUMPRODUCT((Donnees[Échantillon]=Donnees[[#This Row],[Échantillon]])*(Donnees[Durée (s)]&lt;Donnees[[#This Row],[Durée (s)]]))+(SUMPRODUCT((Donnees[Échantillon]=Donnees[[#This Row],[Échantillon]])*(Donnees[Durée (s)]=Donnees[[#This Row],[Durée (s)]]))+1)/2</f>
        <v>48</v>
      </c>
      <c r="AH280" s="43">
        <f>SUMPRODUCT((Donnees[Échantillon]=Donnees[[#This Row],[Échantillon]])*(Donnees[Nb hashtags]&lt;Donnees[[#This Row],[Nb hashtags]]))+(SUMPRODUCT((Donnees[Échantillon]=Donnees[[#This Row],[Échantillon]])*(Donnees[Nb hashtags]=Donnees[[#This Row],[Nb hashtags]]))+1)/2</f>
        <v>99</v>
      </c>
      <c r="AI280" s="43">
        <f>SUMPRODUCT((Donnees[Échantillon]=Donnees[[#This Row],[Échantillon]])*(Donnees[Longueur du texte]&lt;Donnees[[#This Row],[Longueur du texte]]))+(SUMPRODUCT((Donnees[Échantillon]=Donnees[[#This Row],[Échantillon]])*(Donnees[Longueur du texte]=Donnees[[#This Row],[Longueur du texte]]))+1)/2</f>
        <v>6.5</v>
      </c>
      <c r="AJ280" s="43">
        <f>IF(Donnees[[#This Row],[Abonnés]]="","",SUMPRODUCT((Donnees[Échantillon]=Donnees[[#This Row],[Échantillon]])*(Donnees[Abonnés]&lt;Donnees[[#This Row],[Abonnés]]))+(SUMPRODUCT((Donnees[Échantillon]=Donnees[[#This Row],[Échantillon]])*(Donnees[Abonnés]=Donnees[[#This Row],[Abonnés]]))+1)/2)</f>
        <v>16</v>
      </c>
      <c r="AK280" s="43">
        <f>IF(Donnees[[#This Row],[Vidéos publiées]]="","",SUMPRODUCT((Donnees[Échantillon]=Donnees[[#This Row],[Échantillon]])*(Donnees[Vidéos publiées]&lt;Donnees[[#This Row],[Vidéos publiées]]))+(SUMPRODUCT((Donnees[Échantillon]=Donnees[[#This Row],[Échantillon]])*(Donnees[Vidéos publiées]=Donnees[[#This Row],[Vidéos publiées]]))+1)/2)</f>
        <v>42</v>
      </c>
    </row>
    <row r="281" spans="1:37" x14ac:dyDescent="0.2">
      <c r="A281" s="40" t="s">
        <v>237</v>
      </c>
      <c r="B281" s="40" t="s">
        <v>298</v>
      </c>
      <c r="C281" s="40" t="s">
        <v>50</v>
      </c>
      <c r="D281" s="40">
        <v>72</v>
      </c>
      <c r="E281" s="40" t="s">
        <v>56</v>
      </c>
      <c r="F281" s="40" t="str">
        <f>IF(OR(Donnees[[#This Row],[Jour]]="samedi",Donnees[[#This Row],[Jour]]="dimanche"),"Oui","Non")</f>
        <v>Oui</v>
      </c>
      <c r="G281" s="40">
        <v>18</v>
      </c>
      <c r="H281" s="40" t="str">
        <f>IF(Donnees[[#This Row],[Heure UTC]]&lt;6,"0-5 h",IF(Donnees[[#This Row],[Heure UTC]]&lt;12,"6-11 h",IF(Donnees[[#This Row],[Heure UTC]]&lt;18,"12-17 h","18-23 h")))</f>
        <v>18-23 h</v>
      </c>
      <c r="I281" s="40">
        <v>14</v>
      </c>
      <c r="J281" s="40" t="str">
        <f>IF(Donnees[[#This Row],[Durée (s)]]&lt;=10,"1. ≤ 10 s",IF(Donnees[[#This Row],[Durée (s)]]&lt;=15,"2. 11-15 s",IF(Donnees[[#This Row],[Durée (s)]]&lt;=30,"3. 16-30 s",IF(Donnees[[#This Row],[Durée (s)]]&lt;=60,"4. 31-60 s","5. &gt; 60 s"))))</f>
        <v>2. 11-15 s</v>
      </c>
      <c r="K281" s="40" t="str">
        <f>IF(Donnees[[#This Row],[Durée (s)]]&gt;15,"Oui","Non")</f>
        <v>Non</v>
      </c>
      <c r="L281" s="40">
        <v>5</v>
      </c>
      <c r="M281" s="40" t="s">
        <v>44</v>
      </c>
      <c r="N281" s="40">
        <v>0</v>
      </c>
      <c r="O281" s="40" t="s">
        <v>41</v>
      </c>
      <c r="P281" s="40" t="s">
        <v>41</v>
      </c>
      <c r="Q281" s="40" t="s">
        <v>41</v>
      </c>
      <c r="R281" s="40" t="s">
        <v>41</v>
      </c>
      <c r="S281" s="40" t="s">
        <v>44</v>
      </c>
      <c r="T281" s="41">
        <v>158600</v>
      </c>
      <c r="U281" s="40" t="str">
        <f>IF(Donnees[[#This Row],[Abonnés]]="","",IF(Donnees[[#This Row],[Abonnés]]&lt;1000000,"1. &lt; 1 M",IF(Donnees[[#This Row],[Abonnés]]&lt;3000000,"2. 1-3 M",IF(Donnees[[#This Row],[Abonnés]]&lt;8000000,"3. 3-8 M","4. ≥ 8 M"))))</f>
        <v>1. &lt; 1 M</v>
      </c>
      <c r="V281" s="41">
        <v>51</v>
      </c>
      <c r="W281" s="41">
        <v>42800000</v>
      </c>
      <c r="X281" s="41">
        <v>9700000</v>
      </c>
      <c r="Y281" s="41">
        <v>48100</v>
      </c>
      <c r="Z281" s="41">
        <v>82700</v>
      </c>
      <c r="AA281" s="42">
        <f>(Donnees[[#This Row],[Likes]]+Donnees[[#This Row],[Commentaires]]+Donnees[[#This Row],[Partages]])/Donnees[[#This Row],[Vues]]</f>
        <v>0.22969158878504672</v>
      </c>
      <c r="AB281" s="40">
        <f>IF(Donnees[[#This Row],[Engagement]]&gt;=VLOOKUP(Donnees[[#This Row],[Échantillon]],'Méthode &amp; limites'!$B$9:$D$11,2,FALSE),1,0)</f>
        <v>1</v>
      </c>
      <c r="AC281" s="43">
        <f>IF(Donnees[[#This Row],[Abonnés]]="","",Donnees[[#This Row],[Vues]]/Donnees[[#This Row],[Abonnés]])</f>
        <v>269.8612862547289</v>
      </c>
      <c r="AD281" s="40" t="s">
        <v>44</v>
      </c>
      <c r="AE281" s="43">
        <f>SUMPRODUCT((Donnees[Échantillon]=Donnees[[#This Row],[Échantillon]])*(Donnees[Engagement]&lt;Donnees[[#This Row],[Engagement]]))+(SUMPRODUCT((Donnees[Échantillon]=Donnees[[#This Row],[Échantillon]])*(Donnees[Engagement]=Donnees[[#This Row],[Engagement]]))+1)/2</f>
        <v>93</v>
      </c>
      <c r="AF281" s="43">
        <f>SUMPRODUCT((Donnees[Échantillon]=Donnees[[#This Row],[Échantillon]])*(Donnees[Vues]&lt;Donnees[[#This Row],[Vues]]))+(SUMPRODUCT((Donnees[Échantillon]=Donnees[[#This Row],[Échantillon]])*(Donnees[Vues]=Donnees[[#This Row],[Vues]]))+1)/2</f>
        <v>21</v>
      </c>
      <c r="AG281" s="43">
        <f>SUMPRODUCT((Donnees[Échantillon]=Donnees[[#This Row],[Échantillon]])*(Donnees[Durée (s)]&lt;Donnees[[#This Row],[Durée (s)]]))+(SUMPRODUCT((Donnees[Échantillon]=Donnees[[#This Row],[Échantillon]])*(Donnees[Durée (s)]=Donnees[[#This Row],[Durée (s)]]))+1)/2</f>
        <v>38</v>
      </c>
      <c r="AH281" s="43">
        <f>SUMPRODUCT((Donnees[Échantillon]=Donnees[[#This Row],[Échantillon]])*(Donnees[Nb hashtags]&lt;Donnees[[#This Row],[Nb hashtags]]))+(SUMPRODUCT((Donnees[Échantillon]=Donnees[[#This Row],[Échantillon]])*(Donnees[Nb hashtags]=Donnees[[#This Row],[Nb hashtags]]))+1)/2</f>
        <v>22</v>
      </c>
      <c r="AI281" s="43">
        <f>SUMPRODUCT((Donnees[Échantillon]=Donnees[[#This Row],[Échantillon]])*(Donnees[Longueur du texte]&lt;Donnees[[#This Row],[Longueur du texte]]))+(SUMPRODUCT((Donnees[Échantillon]=Donnees[[#This Row],[Échantillon]])*(Donnees[Longueur du texte]=Donnees[[#This Row],[Longueur du texte]]))+1)/2</f>
        <v>6.5</v>
      </c>
      <c r="AJ281" s="43">
        <f>IF(Donnees[[#This Row],[Abonnés]]="","",SUMPRODUCT((Donnees[Échantillon]=Donnees[[#This Row],[Échantillon]])*(Donnees[Abonnés]&lt;Donnees[[#This Row],[Abonnés]]))+(SUMPRODUCT((Donnees[Échantillon]=Donnees[[#This Row],[Échantillon]])*(Donnees[Abonnés]=Donnees[[#This Row],[Abonnés]]))+1)/2)</f>
        <v>3</v>
      </c>
      <c r="AK281" s="43">
        <f>IF(Donnees[[#This Row],[Vidéos publiées]]="","",SUMPRODUCT((Donnees[Échantillon]=Donnees[[#This Row],[Échantillon]])*(Donnees[Vidéos publiées]&lt;Donnees[[#This Row],[Vidéos publiées]]))+(SUMPRODUCT((Donnees[Échantillon]=Donnees[[#This Row],[Échantillon]])*(Donnees[Vidéos publiées]=Donnees[[#This Row],[Vidéos publiées]]))+1)/2)</f>
        <v>18.5</v>
      </c>
    </row>
    <row r="282" spans="1:37" x14ac:dyDescent="0.2">
      <c r="A282" s="40" t="s">
        <v>237</v>
      </c>
      <c r="B282" s="40" t="s">
        <v>299</v>
      </c>
      <c r="C282" s="40" t="s">
        <v>50</v>
      </c>
      <c r="D282" s="40">
        <v>281</v>
      </c>
      <c r="E282" s="40" t="s">
        <v>71</v>
      </c>
      <c r="F282" s="40" t="str">
        <f>IF(OR(Donnees[[#This Row],[Jour]]="samedi",Donnees[[#This Row],[Jour]]="dimanche"),"Oui","Non")</f>
        <v>Non</v>
      </c>
      <c r="G282" s="40">
        <v>0</v>
      </c>
      <c r="H282" s="40" t="str">
        <f>IF(Donnees[[#This Row],[Heure UTC]]&lt;6,"0-5 h",IF(Donnees[[#This Row],[Heure UTC]]&lt;12,"6-11 h",IF(Donnees[[#This Row],[Heure UTC]]&lt;18,"12-17 h","18-23 h")))</f>
        <v>0-5 h</v>
      </c>
      <c r="I282" s="40">
        <v>34</v>
      </c>
      <c r="J282" s="40" t="str">
        <f>IF(Donnees[[#This Row],[Durée (s)]]&lt;=10,"1. ≤ 10 s",IF(Donnees[[#This Row],[Durée (s)]]&lt;=15,"2. 11-15 s",IF(Donnees[[#This Row],[Durée (s)]]&lt;=30,"3. 16-30 s",IF(Donnees[[#This Row],[Durée (s)]]&lt;=60,"4. 31-60 s","5. &gt; 60 s"))))</f>
        <v>4. 31-60 s</v>
      </c>
      <c r="K282" s="40" t="str">
        <f>IF(Donnees[[#This Row],[Durée (s)]]&gt;15,"Oui","Non")</f>
        <v>Oui</v>
      </c>
      <c r="L282" s="40">
        <v>3</v>
      </c>
      <c r="M282" s="40" t="s">
        <v>41</v>
      </c>
      <c r="N282" s="40">
        <v>17</v>
      </c>
      <c r="O282" s="40" t="s">
        <v>41</v>
      </c>
      <c r="P282" s="40" t="s">
        <v>41</v>
      </c>
      <c r="Q282" s="40" t="s">
        <v>41</v>
      </c>
      <c r="R282" s="40" t="s">
        <v>44</v>
      </c>
      <c r="S282" s="40" t="s">
        <v>44</v>
      </c>
      <c r="T282" s="41">
        <v>18400000</v>
      </c>
      <c r="U282" s="40" t="str">
        <f>IF(Donnees[[#This Row],[Abonnés]]="","",IF(Donnees[[#This Row],[Abonnés]]&lt;1000000,"1. &lt; 1 M",IF(Donnees[[#This Row],[Abonnés]]&lt;3000000,"2. 1-3 M",IF(Donnees[[#This Row],[Abonnés]]&lt;8000000,"3. 3-8 M","4. ≥ 8 M"))))</f>
        <v>4. ≥ 8 M</v>
      </c>
      <c r="V282" s="41">
        <v>391</v>
      </c>
      <c r="W282" s="41">
        <v>42700000</v>
      </c>
      <c r="X282" s="41">
        <v>9400000</v>
      </c>
      <c r="Y282" s="41">
        <v>88800</v>
      </c>
      <c r="Z282" s="41">
        <v>242200</v>
      </c>
      <c r="AA282" s="42">
        <f>(Donnees[[#This Row],[Likes]]+Donnees[[#This Row],[Commentaires]]+Donnees[[#This Row],[Partages]])/Donnees[[#This Row],[Vues]]</f>
        <v>0.22789227166276346</v>
      </c>
      <c r="AB282" s="40">
        <f>IF(Donnees[[#This Row],[Engagement]]&gt;=VLOOKUP(Donnees[[#This Row],[Échantillon]],'Méthode &amp; limites'!$B$9:$D$11,2,FALSE),1,0)</f>
        <v>1</v>
      </c>
      <c r="AC282" s="43">
        <f>IF(Donnees[[#This Row],[Abonnés]]="","",Donnees[[#This Row],[Vues]]/Donnees[[#This Row],[Abonnés]])</f>
        <v>2.3206521739130435</v>
      </c>
      <c r="AD282" s="40" t="s">
        <v>44</v>
      </c>
      <c r="AE282" s="43">
        <f>SUMPRODUCT((Donnees[Échantillon]=Donnees[[#This Row],[Échantillon]])*(Donnees[Engagement]&lt;Donnees[[#This Row],[Engagement]]))+(SUMPRODUCT((Donnees[Échantillon]=Donnees[[#This Row],[Échantillon]])*(Donnees[Engagement]=Donnees[[#This Row],[Engagement]]))+1)/2</f>
        <v>91</v>
      </c>
      <c r="AF282" s="43">
        <f>SUMPRODUCT((Donnees[Échantillon]=Donnees[[#This Row],[Échantillon]])*(Donnees[Vues]&lt;Donnees[[#This Row],[Vues]]))+(SUMPRODUCT((Donnees[Échantillon]=Donnees[[#This Row],[Échantillon]])*(Donnees[Vues]=Donnees[[#This Row],[Vues]]))+1)/2</f>
        <v>19.5</v>
      </c>
      <c r="AG282" s="43">
        <f>SUMPRODUCT((Donnees[Échantillon]=Donnees[[#This Row],[Échantillon]])*(Donnees[Durée (s)]&lt;Donnees[[#This Row],[Durée (s)]]))+(SUMPRODUCT((Donnees[Échantillon]=Donnees[[#This Row],[Échantillon]])*(Donnees[Durée (s)]=Donnees[[#This Row],[Durée (s)]]))+1)/2</f>
        <v>74</v>
      </c>
      <c r="AH282" s="43">
        <f>SUMPRODUCT((Donnees[Échantillon]=Donnees[[#This Row],[Échantillon]])*(Donnees[Nb hashtags]&lt;Donnees[[#This Row],[Nb hashtags]]))+(SUMPRODUCT((Donnees[Échantillon]=Donnees[[#This Row],[Échantillon]])*(Donnees[Nb hashtags]=Donnees[[#This Row],[Nb hashtags]]))+1)/2</f>
        <v>10.5</v>
      </c>
      <c r="AI282" s="43">
        <f>SUMPRODUCT((Donnees[Échantillon]=Donnees[[#This Row],[Échantillon]])*(Donnees[Longueur du texte]&lt;Donnees[[#This Row],[Longueur du texte]]))+(SUMPRODUCT((Donnees[Échantillon]=Donnees[[#This Row],[Échantillon]])*(Donnees[Longueur du texte]=Donnees[[#This Row],[Longueur du texte]]))+1)/2</f>
        <v>42</v>
      </c>
      <c r="AJ282" s="43">
        <f>IF(Donnees[[#This Row],[Abonnés]]="","",SUMPRODUCT((Donnees[Échantillon]=Donnees[[#This Row],[Échantillon]])*(Donnees[Abonnés]&lt;Donnees[[#This Row],[Abonnés]]))+(SUMPRODUCT((Donnees[Échantillon]=Donnees[[#This Row],[Échantillon]])*(Donnees[Abonnés]=Donnees[[#This Row],[Abonnés]]))+1)/2)</f>
        <v>91</v>
      </c>
      <c r="AK282" s="43">
        <f>IF(Donnees[[#This Row],[Vidéos publiées]]="","",SUMPRODUCT((Donnees[Échantillon]=Donnees[[#This Row],[Échantillon]])*(Donnees[Vidéos publiées]&lt;Donnees[[#This Row],[Vidéos publiées]]))+(SUMPRODUCT((Donnees[Échantillon]=Donnees[[#This Row],[Échantillon]])*(Donnees[Vidéos publiées]=Donnees[[#This Row],[Vidéos publiées]]))+1)/2)</f>
        <v>63</v>
      </c>
    </row>
    <row r="283" spans="1:37" x14ac:dyDescent="0.2">
      <c r="A283" s="40" t="s">
        <v>237</v>
      </c>
      <c r="B283" s="40" t="s">
        <v>300</v>
      </c>
      <c r="C283" s="40" t="s">
        <v>62</v>
      </c>
      <c r="D283" s="40">
        <v>386</v>
      </c>
      <c r="E283" s="40" t="s">
        <v>71</v>
      </c>
      <c r="F283" s="40" t="str">
        <f>IF(OR(Donnees[[#This Row],[Jour]]="samedi",Donnees[[#This Row],[Jour]]="dimanche"),"Oui","Non")</f>
        <v>Non</v>
      </c>
      <c r="G283" s="40">
        <v>6</v>
      </c>
      <c r="H283" s="40" t="str">
        <f>IF(Donnees[[#This Row],[Heure UTC]]&lt;6,"0-5 h",IF(Donnees[[#This Row],[Heure UTC]]&lt;12,"6-11 h",IF(Donnees[[#This Row],[Heure UTC]]&lt;18,"12-17 h","18-23 h")))</f>
        <v>6-11 h</v>
      </c>
      <c r="I283" s="40">
        <v>59</v>
      </c>
      <c r="J283" s="40" t="str">
        <f>IF(Donnees[[#This Row],[Durée (s)]]&lt;=10,"1. ≤ 10 s",IF(Donnees[[#This Row],[Durée (s)]]&lt;=15,"2. 11-15 s",IF(Donnees[[#This Row],[Durée (s)]]&lt;=30,"3. 16-30 s",IF(Donnees[[#This Row],[Durée (s)]]&lt;=60,"4. 31-60 s","5. &gt; 60 s"))))</f>
        <v>4. 31-60 s</v>
      </c>
      <c r="K283" s="40" t="str">
        <f>IF(Donnees[[#This Row],[Durée (s)]]&gt;15,"Oui","Non")</f>
        <v>Oui</v>
      </c>
      <c r="L283" s="40">
        <v>6</v>
      </c>
      <c r="M283" s="40" t="s">
        <v>44</v>
      </c>
      <c r="N283" s="40">
        <v>24</v>
      </c>
      <c r="O283" s="40" t="s">
        <v>41</v>
      </c>
      <c r="P283" s="40" t="s">
        <v>41</v>
      </c>
      <c r="Q283" s="40" t="s">
        <v>41</v>
      </c>
      <c r="R283" s="40" t="s">
        <v>44</v>
      </c>
      <c r="S283" s="40" t="s">
        <v>44</v>
      </c>
      <c r="T283" s="41">
        <v>533300</v>
      </c>
      <c r="U283" s="40" t="str">
        <f>IF(Donnees[[#This Row],[Abonnés]]="","",IF(Donnees[[#This Row],[Abonnés]]&lt;1000000,"1. &lt; 1 M",IF(Donnees[[#This Row],[Abonnés]]&lt;3000000,"2. 1-3 M",IF(Donnees[[#This Row],[Abonnés]]&lt;8000000,"3. 3-8 M","4. ≥ 8 M"))))</f>
        <v>1. &lt; 1 M</v>
      </c>
      <c r="V283" s="41">
        <v>216</v>
      </c>
      <c r="W283" s="41">
        <v>42700000</v>
      </c>
      <c r="X283" s="41">
        <v>7800000</v>
      </c>
      <c r="Y283" s="41">
        <v>0</v>
      </c>
      <c r="Z283" s="41">
        <v>256300</v>
      </c>
      <c r="AA283" s="42">
        <f>(Donnees[[#This Row],[Likes]]+Donnees[[#This Row],[Commentaires]]+Donnees[[#This Row],[Partages]])/Donnees[[#This Row],[Vues]]</f>
        <v>0.18867213114754097</v>
      </c>
      <c r="AB283" s="40">
        <f>IF(Donnees[[#This Row],[Engagement]]&gt;=VLOOKUP(Donnees[[#This Row],[Échantillon]],'Méthode &amp; limites'!$B$9:$D$11,2,FALSE),1,0)</f>
        <v>0</v>
      </c>
      <c r="AC283" s="43">
        <f>IF(Donnees[[#This Row],[Abonnés]]="","",Donnees[[#This Row],[Vues]]/Donnees[[#This Row],[Abonnés]])</f>
        <v>80.067504219013685</v>
      </c>
      <c r="AD283" s="40" t="s">
        <v>44</v>
      </c>
      <c r="AE283" s="43">
        <f>SUMPRODUCT((Donnees[Échantillon]=Donnees[[#This Row],[Échantillon]])*(Donnees[Engagement]&lt;Donnees[[#This Row],[Engagement]]))+(SUMPRODUCT((Donnees[Échantillon]=Donnees[[#This Row],[Échantillon]])*(Donnees[Engagement]=Donnees[[#This Row],[Engagement]]))+1)/2</f>
        <v>66</v>
      </c>
      <c r="AF283" s="43">
        <f>SUMPRODUCT((Donnees[Échantillon]=Donnees[[#This Row],[Échantillon]])*(Donnees[Vues]&lt;Donnees[[#This Row],[Vues]]))+(SUMPRODUCT((Donnees[Échantillon]=Donnees[[#This Row],[Échantillon]])*(Donnees[Vues]=Donnees[[#This Row],[Vues]]))+1)/2</f>
        <v>19.5</v>
      </c>
      <c r="AG283" s="43">
        <f>SUMPRODUCT((Donnees[Échantillon]=Donnees[[#This Row],[Échantillon]])*(Donnees[Durée (s)]&lt;Donnees[[#This Row],[Durée (s)]]))+(SUMPRODUCT((Donnees[Échantillon]=Donnees[[#This Row],[Échantillon]])*(Donnees[Durée (s)]=Donnees[[#This Row],[Durée (s)]]))+1)/2</f>
        <v>97</v>
      </c>
      <c r="AH283" s="43">
        <f>SUMPRODUCT((Donnees[Échantillon]=Donnees[[#This Row],[Échantillon]])*(Donnees[Nb hashtags]&lt;Donnees[[#This Row],[Nb hashtags]]))+(SUMPRODUCT((Donnees[Échantillon]=Donnees[[#This Row],[Échantillon]])*(Donnees[Nb hashtags]=Donnees[[#This Row],[Nb hashtags]]))+1)/2</f>
        <v>30</v>
      </c>
      <c r="AI283" s="43">
        <f>SUMPRODUCT((Donnees[Échantillon]=Donnees[[#This Row],[Échantillon]])*(Donnees[Longueur du texte]&lt;Donnees[[#This Row],[Longueur du texte]]))+(SUMPRODUCT((Donnees[Échantillon]=Donnees[[#This Row],[Échantillon]])*(Donnees[Longueur du texte]=Donnees[[#This Row],[Longueur du texte]]))+1)/2</f>
        <v>51.5</v>
      </c>
      <c r="AJ283" s="43">
        <f>IF(Donnees[[#This Row],[Abonnés]]="","",SUMPRODUCT((Donnees[Échantillon]=Donnees[[#This Row],[Échantillon]])*(Donnees[Abonnés]&lt;Donnees[[#This Row],[Abonnés]]))+(SUMPRODUCT((Donnees[Échantillon]=Donnees[[#This Row],[Échantillon]])*(Donnees[Abonnés]=Donnees[[#This Row],[Abonnés]]))+1)/2)</f>
        <v>19</v>
      </c>
      <c r="AK283" s="43">
        <f>IF(Donnees[[#This Row],[Vidéos publiées]]="","",SUMPRODUCT((Donnees[Échantillon]=Donnees[[#This Row],[Échantillon]])*(Donnees[Vidéos publiées]&lt;Donnees[[#This Row],[Vidéos publiées]]))+(SUMPRODUCT((Donnees[Échantillon]=Donnees[[#This Row],[Échantillon]])*(Donnees[Vidéos publiées]=Donnees[[#This Row],[Vidéos publiées]]))+1)/2)</f>
        <v>47</v>
      </c>
    </row>
    <row r="284" spans="1:37" x14ac:dyDescent="0.2">
      <c r="A284" s="40" t="s">
        <v>237</v>
      </c>
      <c r="B284" s="40" t="s">
        <v>301</v>
      </c>
      <c r="C284" s="40" t="s">
        <v>50</v>
      </c>
      <c r="D284" s="40">
        <v>483</v>
      </c>
      <c r="E284" s="40" t="s">
        <v>40</v>
      </c>
      <c r="F284" s="40" t="str">
        <f>IF(OR(Donnees[[#This Row],[Jour]]="samedi",Donnees[[#This Row],[Jour]]="dimanche"),"Oui","Non")</f>
        <v>Non</v>
      </c>
      <c r="G284" s="40">
        <v>6</v>
      </c>
      <c r="H284" s="40" t="str">
        <f>IF(Donnees[[#This Row],[Heure UTC]]&lt;6,"0-5 h",IF(Donnees[[#This Row],[Heure UTC]]&lt;12,"6-11 h",IF(Donnees[[#This Row],[Heure UTC]]&lt;18,"12-17 h","18-23 h")))</f>
        <v>6-11 h</v>
      </c>
      <c r="I284" s="40">
        <v>20</v>
      </c>
      <c r="J284" s="40" t="str">
        <f>IF(Donnees[[#This Row],[Durée (s)]]&lt;=10,"1. ≤ 10 s",IF(Donnees[[#This Row],[Durée (s)]]&lt;=15,"2. 11-15 s",IF(Donnees[[#This Row],[Durée (s)]]&lt;=30,"3. 16-30 s",IF(Donnees[[#This Row],[Durée (s)]]&lt;=60,"4. 31-60 s","5. &gt; 60 s"))))</f>
        <v>3. 16-30 s</v>
      </c>
      <c r="K284" s="40" t="str">
        <f>IF(Donnees[[#This Row],[Durée (s)]]&gt;15,"Oui","Non")</f>
        <v>Oui</v>
      </c>
      <c r="L284" s="40">
        <v>3</v>
      </c>
      <c r="M284" s="40" t="s">
        <v>41</v>
      </c>
      <c r="N284" s="40">
        <v>33</v>
      </c>
      <c r="O284" s="40" t="s">
        <v>41</v>
      </c>
      <c r="P284" s="40" t="s">
        <v>41</v>
      </c>
      <c r="Q284" s="40" t="s">
        <v>41</v>
      </c>
      <c r="R284" s="40" t="s">
        <v>44</v>
      </c>
      <c r="S284" s="40" t="s">
        <v>44</v>
      </c>
      <c r="T284" s="41">
        <v>8700000</v>
      </c>
      <c r="U284" s="40" t="str">
        <f>IF(Donnees[[#This Row],[Abonnés]]="","",IF(Donnees[[#This Row],[Abonnés]]&lt;1000000,"1. &lt; 1 M",IF(Donnees[[#This Row],[Abonnés]]&lt;3000000,"2. 1-3 M",IF(Donnees[[#This Row],[Abonnés]]&lt;8000000,"3. 3-8 M","4. ≥ 8 M"))))</f>
        <v>4. ≥ 8 M</v>
      </c>
      <c r="V284" s="41">
        <v>458</v>
      </c>
      <c r="W284" s="41">
        <v>41000000</v>
      </c>
      <c r="X284" s="41">
        <v>7400000</v>
      </c>
      <c r="Y284" s="41">
        <v>37900</v>
      </c>
      <c r="Z284" s="41">
        <v>291900</v>
      </c>
      <c r="AA284" s="42">
        <f>(Donnees[[#This Row],[Likes]]+Donnees[[#This Row],[Commentaires]]+Donnees[[#This Row],[Partages]])/Donnees[[#This Row],[Vues]]</f>
        <v>0.18853170731707317</v>
      </c>
      <c r="AB284" s="40">
        <f>IF(Donnees[[#This Row],[Engagement]]&gt;=VLOOKUP(Donnees[[#This Row],[Échantillon]],'Méthode &amp; limites'!$B$9:$D$11,2,FALSE),1,0)</f>
        <v>0</v>
      </c>
      <c r="AC284" s="43">
        <f>IF(Donnees[[#This Row],[Abonnés]]="","",Donnees[[#This Row],[Vues]]/Donnees[[#This Row],[Abonnés]])</f>
        <v>4.7126436781609193</v>
      </c>
      <c r="AD284" s="40" t="s">
        <v>44</v>
      </c>
      <c r="AE284" s="43">
        <f>SUMPRODUCT((Donnees[Échantillon]=Donnees[[#This Row],[Échantillon]])*(Donnees[Engagement]&lt;Donnees[[#This Row],[Engagement]]))+(SUMPRODUCT((Donnees[Échantillon]=Donnees[[#This Row],[Échantillon]])*(Donnees[Engagement]=Donnees[[#This Row],[Engagement]]))+1)/2</f>
        <v>65</v>
      </c>
      <c r="AF284" s="43">
        <f>SUMPRODUCT((Donnees[Échantillon]=Donnees[[#This Row],[Échantillon]])*(Donnees[Vues]&lt;Donnees[[#This Row],[Vues]]))+(SUMPRODUCT((Donnees[Échantillon]=Donnees[[#This Row],[Échantillon]])*(Donnees[Vues]=Donnees[[#This Row],[Vues]]))+1)/2</f>
        <v>18</v>
      </c>
      <c r="AG284" s="43">
        <f>SUMPRODUCT((Donnees[Échantillon]=Donnees[[#This Row],[Échantillon]])*(Donnees[Durée (s)]&lt;Donnees[[#This Row],[Durée (s)]]))+(SUMPRODUCT((Donnees[Échantillon]=Donnees[[#This Row],[Échantillon]])*(Donnees[Durée (s)]=Donnees[[#This Row],[Durée (s)]]))+1)/2</f>
        <v>59.5</v>
      </c>
      <c r="AH284" s="43">
        <f>SUMPRODUCT((Donnees[Échantillon]=Donnees[[#This Row],[Échantillon]])*(Donnees[Nb hashtags]&lt;Donnees[[#This Row],[Nb hashtags]]))+(SUMPRODUCT((Donnees[Échantillon]=Donnees[[#This Row],[Échantillon]])*(Donnees[Nb hashtags]=Donnees[[#This Row],[Nb hashtags]]))+1)/2</f>
        <v>10.5</v>
      </c>
      <c r="AI284" s="43">
        <f>SUMPRODUCT((Donnees[Échantillon]=Donnees[[#This Row],[Échantillon]])*(Donnees[Longueur du texte]&lt;Donnees[[#This Row],[Longueur du texte]]))+(SUMPRODUCT((Donnees[Échantillon]=Donnees[[#This Row],[Échantillon]])*(Donnees[Longueur du texte]=Donnees[[#This Row],[Longueur du texte]]))+1)/2</f>
        <v>68</v>
      </c>
      <c r="AJ284" s="43">
        <f>IF(Donnees[[#This Row],[Abonnés]]="","",SUMPRODUCT((Donnees[Échantillon]=Donnees[[#This Row],[Échantillon]])*(Donnees[Abonnés]&lt;Donnees[[#This Row],[Abonnés]]))+(SUMPRODUCT((Donnees[Échantillon]=Donnees[[#This Row],[Échantillon]])*(Donnees[Abonnés]=Donnees[[#This Row],[Abonnés]]))+1)/2)</f>
        <v>82.5</v>
      </c>
      <c r="AK284" s="43">
        <f>IF(Donnees[[#This Row],[Vidéos publiées]]="","",SUMPRODUCT((Donnees[Échantillon]=Donnees[[#This Row],[Échantillon]])*(Donnees[Vidéos publiées]&lt;Donnees[[#This Row],[Vidéos publiées]]))+(SUMPRODUCT((Donnees[Échantillon]=Donnees[[#This Row],[Échantillon]])*(Donnees[Vidéos publiées]=Donnees[[#This Row],[Vidéos publiées]]))+1)/2)</f>
        <v>67</v>
      </c>
    </row>
    <row r="285" spans="1:37" x14ac:dyDescent="0.2">
      <c r="A285" s="40" t="s">
        <v>237</v>
      </c>
      <c r="B285" s="40" t="s">
        <v>302</v>
      </c>
      <c r="C285" s="40" t="s">
        <v>50</v>
      </c>
      <c r="D285" s="40">
        <v>601</v>
      </c>
      <c r="E285" s="40" t="s">
        <v>59</v>
      </c>
      <c r="F285" s="40" t="str">
        <f>IF(OR(Donnees[[#This Row],[Jour]]="samedi",Donnees[[#This Row],[Jour]]="dimanche"),"Oui","Non")</f>
        <v>Non</v>
      </c>
      <c r="G285" s="40">
        <v>16</v>
      </c>
      <c r="H285" s="40" t="str">
        <f>IF(Donnees[[#This Row],[Heure UTC]]&lt;6,"0-5 h",IF(Donnees[[#This Row],[Heure UTC]]&lt;12,"6-11 h",IF(Donnees[[#This Row],[Heure UTC]]&lt;18,"12-17 h","18-23 h")))</f>
        <v>12-17 h</v>
      </c>
      <c r="I285" s="40">
        <v>8</v>
      </c>
      <c r="J285" s="40" t="str">
        <f>IF(Donnees[[#This Row],[Durée (s)]]&lt;=10,"1. ≤ 10 s",IF(Donnees[[#This Row],[Durée (s)]]&lt;=15,"2. 11-15 s",IF(Donnees[[#This Row],[Durée (s)]]&lt;=30,"3. 16-30 s",IF(Donnees[[#This Row],[Durée (s)]]&lt;=60,"4. 31-60 s","5. &gt; 60 s"))))</f>
        <v>1. ≤ 10 s</v>
      </c>
      <c r="K285" s="40" t="str">
        <f>IF(Donnees[[#This Row],[Durée (s)]]&gt;15,"Oui","Non")</f>
        <v>Non</v>
      </c>
      <c r="L285" s="40">
        <v>9</v>
      </c>
      <c r="M285" s="40" t="s">
        <v>44</v>
      </c>
      <c r="N285" s="40">
        <v>25</v>
      </c>
      <c r="O285" s="40" t="s">
        <v>41</v>
      </c>
      <c r="P285" s="40" t="s">
        <v>41</v>
      </c>
      <c r="Q285" s="40" t="s">
        <v>41</v>
      </c>
      <c r="R285" s="40" t="s">
        <v>44</v>
      </c>
      <c r="S285" s="40" t="s">
        <v>44</v>
      </c>
      <c r="T285" s="41">
        <v>516000</v>
      </c>
      <c r="U285" s="40" t="str">
        <f>IF(Donnees[[#This Row],[Abonnés]]="","",IF(Donnees[[#This Row],[Abonnés]]&lt;1000000,"1. &lt; 1 M",IF(Donnees[[#This Row],[Abonnés]]&lt;3000000,"2. 1-3 M",IF(Donnees[[#This Row],[Abonnés]]&lt;8000000,"3. 3-8 M","4. ≥ 8 M"))))</f>
        <v>1. &lt; 1 M</v>
      </c>
      <c r="V285" s="41">
        <v>820</v>
      </c>
      <c r="W285" s="41">
        <v>40800000</v>
      </c>
      <c r="X285" s="41">
        <v>7700000</v>
      </c>
      <c r="Y285" s="41">
        <v>55300</v>
      </c>
      <c r="Z285" s="41">
        <v>620400</v>
      </c>
      <c r="AA285" s="42">
        <f>(Donnees[[#This Row],[Likes]]+Donnees[[#This Row],[Commentaires]]+Donnees[[#This Row],[Partages]])/Donnees[[#This Row],[Vues]]</f>
        <v>0.20528676470588236</v>
      </c>
      <c r="AB285" s="40">
        <f>IF(Donnees[[#This Row],[Engagement]]&gt;=VLOOKUP(Donnees[[#This Row],[Échantillon]],'Méthode &amp; limites'!$B$9:$D$11,2,FALSE),1,0)</f>
        <v>1</v>
      </c>
      <c r="AC285" s="43">
        <f>IF(Donnees[[#This Row],[Abonnés]]="","",Donnees[[#This Row],[Vues]]/Donnees[[#This Row],[Abonnés]])</f>
        <v>79.069767441860463</v>
      </c>
      <c r="AD285" s="40" t="s">
        <v>44</v>
      </c>
      <c r="AE285" s="43">
        <f>SUMPRODUCT((Donnees[Échantillon]=Donnees[[#This Row],[Échantillon]])*(Donnees[Engagement]&lt;Donnees[[#This Row],[Engagement]]))+(SUMPRODUCT((Donnees[Échantillon]=Donnees[[#This Row],[Échantillon]])*(Donnees[Engagement]=Donnees[[#This Row],[Engagement]]))+1)/2</f>
        <v>76</v>
      </c>
      <c r="AF285" s="43">
        <f>SUMPRODUCT((Donnees[Échantillon]=Donnees[[#This Row],[Échantillon]])*(Donnees[Vues]&lt;Donnees[[#This Row],[Vues]]))+(SUMPRODUCT((Donnees[Échantillon]=Donnees[[#This Row],[Échantillon]])*(Donnees[Vues]=Donnees[[#This Row],[Vues]]))+1)/2</f>
        <v>17</v>
      </c>
      <c r="AG285" s="43">
        <f>SUMPRODUCT((Donnees[Échantillon]=Donnees[[#This Row],[Échantillon]])*(Donnees[Durée (s)]&lt;Donnees[[#This Row],[Durée (s)]]))+(SUMPRODUCT((Donnees[Échantillon]=Donnees[[#This Row],[Échantillon]])*(Donnees[Durée (s)]=Donnees[[#This Row],[Durée (s)]]))+1)/2</f>
        <v>9.5</v>
      </c>
      <c r="AH285" s="43">
        <f>SUMPRODUCT((Donnees[Échantillon]=Donnees[[#This Row],[Échantillon]])*(Donnees[Nb hashtags]&lt;Donnees[[#This Row],[Nb hashtags]]))+(SUMPRODUCT((Donnees[Échantillon]=Donnees[[#This Row],[Échantillon]])*(Donnees[Nb hashtags]=Donnees[[#This Row],[Nb hashtags]]))+1)/2</f>
        <v>60</v>
      </c>
      <c r="AI285" s="43">
        <f>SUMPRODUCT((Donnees[Échantillon]=Donnees[[#This Row],[Échantillon]])*(Donnees[Longueur du texte]&lt;Donnees[[#This Row],[Longueur du texte]]))+(SUMPRODUCT((Donnees[Échantillon]=Donnees[[#This Row],[Échantillon]])*(Donnees[Longueur du texte]=Donnees[[#This Row],[Longueur du texte]]))+1)/2</f>
        <v>53</v>
      </c>
      <c r="AJ285" s="43">
        <f>IF(Donnees[[#This Row],[Abonnés]]="","",SUMPRODUCT((Donnees[Échantillon]=Donnees[[#This Row],[Échantillon]])*(Donnees[Abonnés]&lt;Donnees[[#This Row],[Abonnés]]))+(SUMPRODUCT((Donnees[Échantillon]=Donnees[[#This Row],[Échantillon]])*(Donnees[Abonnés]=Donnees[[#This Row],[Abonnés]]))+1)/2)</f>
        <v>18</v>
      </c>
      <c r="AK285" s="43">
        <f>IF(Donnees[[#This Row],[Vidéos publiées]]="","",SUMPRODUCT((Donnees[Échantillon]=Donnees[[#This Row],[Échantillon]])*(Donnees[Vidéos publiées]&lt;Donnees[[#This Row],[Vidéos publiées]]))+(SUMPRODUCT((Donnees[Échantillon]=Donnees[[#This Row],[Échantillon]])*(Donnees[Vidéos publiées]=Donnees[[#This Row],[Vidéos publiées]]))+1)/2)</f>
        <v>88</v>
      </c>
    </row>
    <row r="286" spans="1:37" x14ac:dyDescent="0.2">
      <c r="A286" s="40" t="s">
        <v>237</v>
      </c>
      <c r="B286" s="40" t="s">
        <v>303</v>
      </c>
      <c r="C286" s="40" t="s">
        <v>50</v>
      </c>
      <c r="D286" s="40">
        <v>214</v>
      </c>
      <c r="E286" s="40" t="s">
        <v>68</v>
      </c>
      <c r="F286" s="40" t="str">
        <f>IF(OR(Donnees[[#This Row],[Jour]]="samedi",Donnees[[#This Row],[Jour]]="dimanche"),"Oui","Non")</f>
        <v>Non</v>
      </c>
      <c r="G286" s="40">
        <v>21</v>
      </c>
      <c r="H286" s="40" t="str">
        <f>IF(Donnees[[#This Row],[Heure UTC]]&lt;6,"0-5 h",IF(Donnees[[#This Row],[Heure UTC]]&lt;12,"6-11 h",IF(Donnees[[#This Row],[Heure UTC]]&lt;18,"12-17 h","18-23 h")))</f>
        <v>18-23 h</v>
      </c>
      <c r="I286" s="40">
        <v>29</v>
      </c>
      <c r="J286" s="40" t="str">
        <f>IF(Donnees[[#This Row],[Durée (s)]]&lt;=10,"1. ≤ 10 s",IF(Donnees[[#This Row],[Durée (s)]]&lt;=15,"2. 11-15 s",IF(Donnees[[#This Row],[Durée (s)]]&lt;=30,"3. 16-30 s",IF(Donnees[[#This Row],[Durée (s)]]&lt;=60,"4. 31-60 s","5. &gt; 60 s"))))</f>
        <v>3. 16-30 s</v>
      </c>
      <c r="K286" s="40" t="str">
        <f>IF(Donnees[[#This Row],[Durée (s)]]&gt;15,"Oui","Non")</f>
        <v>Oui</v>
      </c>
      <c r="L286" s="40">
        <v>8</v>
      </c>
      <c r="M286" s="40" t="s">
        <v>44</v>
      </c>
      <c r="N286" s="40">
        <v>11</v>
      </c>
      <c r="O286" s="40" t="s">
        <v>41</v>
      </c>
      <c r="P286" s="40" t="s">
        <v>44</v>
      </c>
      <c r="Q286" s="40" t="s">
        <v>44</v>
      </c>
      <c r="R286" s="40" t="s">
        <v>44</v>
      </c>
      <c r="S286" s="40" t="s">
        <v>44</v>
      </c>
      <c r="T286" s="41">
        <v>376200</v>
      </c>
      <c r="U286" s="40" t="str">
        <f>IF(Donnees[[#This Row],[Abonnés]]="","",IF(Donnees[[#This Row],[Abonnés]]&lt;1000000,"1. &lt; 1 M",IF(Donnees[[#This Row],[Abonnés]]&lt;3000000,"2. 1-3 M",IF(Donnees[[#This Row],[Abonnés]]&lt;8000000,"3. 3-8 M","4. ≥ 8 M"))))</f>
        <v>1. &lt; 1 M</v>
      </c>
      <c r="V286" s="41">
        <v>39</v>
      </c>
      <c r="W286" s="41">
        <v>40200000</v>
      </c>
      <c r="X286" s="41">
        <v>8600000</v>
      </c>
      <c r="Y286" s="41">
        <v>58100</v>
      </c>
      <c r="Z286" s="41">
        <v>134900</v>
      </c>
      <c r="AA286" s="42">
        <f>(Donnees[[#This Row],[Likes]]+Donnees[[#This Row],[Commentaires]]+Donnees[[#This Row],[Partages]])/Donnees[[#This Row],[Vues]]</f>
        <v>0.2187313432835821</v>
      </c>
      <c r="AB286" s="40">
        <f>IF(Donnees[[#This Row],[Engagement]]&gt;=VLOOKUP(Donnees[[#This Row],[Échantillon]],'Méthode &amp; limites'!$B$9:$D$11,2,FALSE),1,0)</f>
        <v>1</v>
      </c>
      <c r="AC286" s="43">
        <f>IF(Donnees[[#This Row],[Abonnés]]="","",Donnees[[#This Row],[Vues]]/Donnees[[#This Row],[Abonnés]])</f>
        <v>106.85805422647528</v>
      </c>
      <c r="AD286" s="40" t="s">
        <v>44</v>
      </c>
      <c r="AE286" s="43">
        <f>SUMPRODUCT((Donnees[Échantillon]=Donnees[[#This Row],[Échantillon]])*(Donnees[Engagement]&lt;Donnees[[#This Row],[Engagement]]))+(SUMPRODUCT((Donnees[Échantillon]=Donnees[[#This Row],[Échantillon]])*(Donnees[Engagement]=Donnees[[#This Row],[Engagement]]))+1)/2</f>
        <v>86</v>
      </c>
      <c r="AF286" s="43">
        <f>SUMPRODUCT((Donnees[Échantillon]=Donnees[[#This Row],[Échantillon]])*(Donnees[Vues]&lt;Donnees[[#This Row],[Vues]]))+(SUMPRODUCT((Donnees[Échantillon]=Donnees[[#This Row],[Échantillon]])*(Donnees[Vues]=Donnees[[#This Row],[Vues]]))+1)/2</f>
        <v>15.5</v>
      </c>
      <c r="AG286" s="43">
        <f>SUMPRODUCT((Donnees[Échantillon]=Donnees[[#This Row],[Échantillon]])*(Donnees[Durée (s)]&lt;Donnees[[#This Row],[Durée (s)]]))+(SUMPRODUCT((Donnees[Échantillon]=Donnees[[#This Row],[Échantillon]])*(Donnees[Durée (s)]=Donnees[[#This Row],[Durée (s)]]))+1)/2</f>
        <v>70</v>
      </c>
      <c r="AH286" s="43">
        <f>SUMPRODUCT((Donnees[Échantillon]=Donnees[[#This Row],[Échantillon]])*(Donnees[Nb hashtags]&lt;Donnees[[#This Row],[Nb hashtags]]))+(SUMPRODUCT((Donnees[Échantillon]=Donnees[[#This Row],[Échantillon]])*(Donnees[Nb hashtags]=Donnees[[#This Row],[Nb hashtags]]))+1)/2</f>
        <v>47.5</v>
      </c>
      <c r="AI286" s="43">
        <f>SUMPRODUCT((Donnees[Échantillon]=Donnees[[#This Row],[Échantillon]])*(Donnees[Longueur du texte]&lt;Donnees[[#This Row],[Longueur du texte]]))+(SUMPRODUCT((Donnees[Échantillon]=Donnees[[#This Row],[Échantillon]])*(Donnees[Longueur du texte]=Donnees[[#This Row],[Longueur du texte]]))+1)/2</f>
        <v>30</v>
      </c>
      <c r="AJ286" s="43">
        <f>IF(Donnees[[#This Row],[Abonnés]]="","",SUMPRODUCT((Donnees[Échantillon]=Donnees[[#This Row],[Échantillon]])*(Donnees[Abonnés]&lt;Donnees[[#This Row],[Abonnés]]))+(SUMPRODUCT((Donnees[Échantillon]=Donnees[[#This Row],[Échantillon]])*(Donnees[Abonnés]=Donnees[[#This Row],[Abonnés]]))+1)/2)</f>
        <v>11</v>
      </c>
      <c r="AK286" s="43">
        <f>IF(Donnees[[#This Row],[Vidéos publiées]]="","",SUMPRODUCT((Donnees[Échantillon]=Donnees[[#This Row],[Échantillon]])*(Donnees[Vidéos publiées]&lt;Donnees[[#This Row],[Vidéos publiées]]))+(SUMPRODUCT((Donnees[Échantillon]=Donnees[[#This Row],[Échantillon]])*(Donnees[Vidéos publiées]=Donnees[[#This Row],[Vidéos publiées]]))+1)/2)</f>
        <v>15</v>
      </c>
    </row>
    <row r="287" spans="1:37" x14ac:dyDescent="0.2">
      <c r="A287" s="40" t="s">
        <v>237</v>
      </c>
      <c r="B287" s="40" t="s">
        <v>277</v>
      </c>
      <c r="C287" s="40" t="s">
        <v>46</v>
      </c>
      <c r="D287" s="40">
        <v>146</v>
      </c>
      <c r="E287" s="40" t="s">
        <v>59</v>
      </c>
      <c r="F287" s="40" t="str">
        <f>IF(OR(Donnees[[#This Row],[Jour]]="samedi",Donnees[[#This Row],[Jour]]="dimanche"),"Oui","Non")</f>
        <v>Non</v>
      </c>
      <c r="G287" s="40">
        <v>22</v>
      </c>
      <c r="H287" s="40" t="str">
        <f>IF(Donnees[[#This Row],[Heure UTC]]&lt;6,"0-5 h",IF(Donnees[[#This Row],[Heure UTC]]&lt;12,"6-11 h",IF(Donnees[[#This Row],[Heure UTC]]&lt;18,"12-17 h","18-23 h")))</f>
        <v>18-23 h</v>
      </c>
      <c r="I287" s="40">
        <v>47</v>
      </c>
      <c r="J287" s="40" t="str">
        <f>IF(Donnees[[#This Row],[Durée (s)]]&lt;=10,"1. ≤ 10 s",IF(Donnees[[#This Row],[Durée (s)]]&lt;=15,"2. 11-15 s",IF(Donnees[[#This Row],[Durée (s)]]&lt;=30,"3. 16-30 s",IF(Donnees[[#This Row],[Durée (s)]]&lt;=60,"4. 31-60 s","5. &gt; 60 s"))))</f>
        <v>4. 31-60 s</v>
      </c>
      <c r="K287" s="40" t="str">
        <f>IF(Donnees[[#This Row],[Durée (s)]]&gt;15,"Oui","Non")</f>
        <v>Oui</v>
      </c>
      <c r="L287" s="40">
        <v>2</v>
      </c>
      <c r="M287" s="40" t="s">
        <v>44</v>
      </c>
      <c r="N287" s="40">
        <v>41</v>
      </c>
      <c r="O287" s="40" t="s">
        <v>41</v>
      </c>
      <c r="P287" s="40" t="s">
        <v>44</v>
      </c>
      <c r="Q287" s="40" t="s">
        <v>41</v>
      </c>
      <c r="R287" s="40" t="s">
        <v>41</v>
      </c>
      <c r="S287" s="40" t="s">
        <v>44</v>
      </c>
      <c r="T287" s="41">
        <v>5200000</v>
      </c>
      <c r="U287" s="40" t="str">
        <f>IF(Donnees[[#This Row],[Abonnés]]="","",IF(Donnees[[#This Row],[Abonnés]]&lt;1000000,"1. &lt; 1 M",IF(Donnees[[#This Row],[Abonnés]]&lt;3000000,"2. 1-3 M",IF(Donnees[[#This Row],[Abonnés]]&lt;8000000,"3. 3-8 M","4. ≥ 8 M"))))</f>
        <v>3. 3-8 M</v>
      </c>
      <c r="V287" s="41">
        <v>302</v>
      </c>
      <c r="W287" s="41">
        <v>40200000</v>
      </c>
      <c r="X287" s="41">
        <v>8600000</v>
      </c>
      <c r="Y287" s="41">
        <v>43300</v>
      </c>
      <c r="Z287" s="41">
        <v>56800</v>
      </c>
      <c r="AA287" s="42">
        <f>(Donnees[[#This Row],[Likes]]+Donnees[[#This Row],[Commentaires]]+Donnees[[#This Row],[Partages]])/Donnees[[#This Row],[Vues]]</f>
        <v>0.21642039800995025</v>
      </c>
      <c r="AB287" s="40">
        <f>IF(Donnees[[#This Row],[Engagement]]&gt;=VLOOKUP(Donnees[[#This Row],[Échantillon]],'Méthode &amp; limites'!$B$9:$D$11,2,FALSE),1,0)</f>
        <v>1</v>
      </c>
      <c r="AC287" s="43">
        <f>IF(Donnees[[#This Row],[Abonnés]]="","",Donnees[[#This Row],[Vues]]/Donnees[[#This Row],[Abonnés]])</f>
        <v>7.7307692307692308</v>
      </c>
      <c r="AD287" s="40" t="s">
        <v>44</v>
      </c>
      <c r="AE287" s="43">
        <f>SUMPRODUCT((Donnees[Échantillon]=Donnees[[#This Row],[Échantillon]])*(Donnees[Engagement]&lt;Donnees[[#This Row],[Engagement]]))+(SUMPRODUCT((Donnees[Échantillon]=Donnees[[#This Row],[Échantillon]])*(Donnees[Engagement]=Donnees[[#This Row],[Engagement]]))+1)/2</f>
        <v>85</v>
      </c>
      <c r="AF287" s="43">
        <f>SUMPRODUCT((Donnees[Échantillon]=Donnees[[#This Row],[Échantillon]])*(Donnees[Vues]&lt;Donnees[[#This Row],[Vues]]))+(SUMPRODUCT((Donnees[Échantillon]=Donnees[[#This Row],[Échantillon]])*(Donnees[Vues]=Donnees[[#This Row],[Vues]]))+1)/2</f>
        <v>15.5</v>
      </c>
      <c r="AG287" s="43">
        <f>SUMPRODUCT((Donnees[Échantillon]=Donnees[[#This Row],[Échantillon]])*(Donnees[Durée (s)]&lt;Donnees[[#This Row],[Durée (s)]]))+(SUMPRODUCT((Donnees[Échantillon]=Donnees[[#This Row],[Échantillon]])*(Donnees[Durée (s)]=Donnees[[#This Row],[Durée (s)]]))+1)/2</f>
        <v>87</v>
      </c>
      <c r="AH287" s="43">
        <f>SUMPRODUCT((Donnees[Échantillon]=Donnees[[#This Row],[Échantillon]])*(Donnees[Nb hashtags]&lt;Donnees[[#This Row],[Nb hashtags]]))+(SUMPRODUCT((Donnees[Échantillon]=Donnees[[#This Row],[Échantillon]])*(Donnees[Nb hashtags]=Donnees[[#This Row],[Nb hashtags]]))+1)/2</f>
        <v>4.5</v>
      </c>
      <c r="AI287" s="43">
        <f>SUMPRODUCT((Donnees[Échantillon]=Donnees[[#This Row],[Échantillon]])*(Donnees[Longueur du texte]&lt;Donnees[[#This Row],[Longueur du texte]]))+(SUMPRODUCT((Donnees[Échantillon]=Donnees[[#This Row],[Échantillon]])*(Donnees[Longueur du texte]=Donnees[[#This Row],[Longueur du texte]]))+1)/2</f>
        <v>74.5</v>
      </c>
      <c r="AJ287" s="43">
        <f>IF(Donnees[[#This Row],[Abonnés]]="","",SUMPRODUCT((Donnees[Échantillon]=Donnees[[#This Row],[Échantillon]])*(Donnees[Abonnés]&lt;Donnees[[#This Row],[Abonnés]]))+(SUMPRODUCT((Donnees[Échantillon]=Donnees[[#This Row],[Échantillon]])*(Donnees[Abonnés]=Donnees[[#This Row],[Abonnés]]))+1)/2)</f>
        <v>65.5</v>
      </c>
      <c r="AK287" s="43">
        <f>IF(Donnees[[#This Row],[Vidéos publiées]]="","",SUMPRODUCT((Donnees[Échantillon]=Donnees[[#This Row],[Échantillon]])*(Donnees[Vidéos publiées]&lt;Donnees[[#This Row],[Vidéos publiées]]))+(SUMPRODUCT((Donnees[Échantillon]=Donnees[[#This Row],[Échantillon]])*(Donnees[Vidéos publiées]=Donnees[[#This Row],[Vidéos publiées]]))+1)/2)</f>
        <v>53.5</v>
      </c>
    </row>
    <row r="288" spans="1:37" x14ac:dyDescent="0.2">
      <c r="A288" s="40" t="s">
        <v>237</v>
      </c>
      <c r="B288" s="40" t="s">
        <v>304</v>
      </c>
      <c r="C288" s="40" t="s">
        <v>50</v>
      </c>
      <c r="D288" s="40">
        <v>257</v>
      </c>
      <c r="E288" s="40" t="s">
        <v>47</v>
      </c>
      <c r="F288" s="40" t="str">
        <f>IF(OR(Donnees[[#This Row],[Jour]]="samedi",Donnees[[#This Row],[Jour]]="dimanche"),"Oui","Non")</f>
        <v>Non</v>
      </c>
      <c r="G288" s="40">
        <v>23</v>
      </c>
      <c r="H288" s="40" t="str">
        <f>IF(Donnees[[#This Row],[Heure UTC]]&lt;6,"0-5 h",IF(Donnees[[#This Row],[Heure UTC]]&lt;12,"6-11 h",IF(Donnees[[#This Row],[Heure UTC]]&lt;18,"12-17 h","18-23 h")))</f>
        <v>18-23 h</v>
      </c>
      <c r="I288" s="40">
        <v>35</v>
      </c>
      <c r="J288" s="40" t="str">
        <f>IF(Donnees[[#This Row],[Durée (s)]]&lt;=10,"1. ≤ 10 s",IF(Donnees[[#This Row],[Durée (s)]]&lt;=15,"2. 11-15 s",IF(Donnees[[#This Row],[Durée (s)]]&lt;=30,"3. 16-30 s",IF(Donnees[[#This Row],[Durée (s)]]&lt;=60,"4. 31-60 s","5. &gt; 60 s"))))</f>
        <v>4. 31-60 s</v>
      </c>
      <c r="K288" s="40" t="str">
        <f>IF(Donnees[[#This Row],[Durée (s)]]&gt;15,"Oui","Non")</f>
        <v>Oui</v>
      </c>
      <c r="L288" s="40">
        <v>6</v>
      </c>
      <c r="M288" s="40" t="s">
        <v>44</v>
      </c>
      <c r="N288" s="40">
        <v>23</v>
      </c>
      <c r="O288" s="40" t="s">
        <v>41</v>
      </c>
      <c r="P288" s="40" t="s">
        <v>41</v>
      </c>
      <c r="Q288" s="40" t="s">
        <v>41</v>
      </c>
      <c r="R288" s="40" t="s">
        <v>41</v>
      </c>
      <c r="S288" s="40" t="s">
        <v>44</v>
      </c>
      <c r="T288" s="41">
        <v>4500000</v>
      </c>
      <c r="U288" s="40" t="str">
        <f>IF(Donnees[[#This Row],[Abonnés]]="","",IF(Donnees[[#This Row],[Abonnés]]&lt;1000000,"1. &lt; 1 M",IF(Donnees[[#This Row],[Abonnés]]&lt;3000000,"2. 1-3 M",IF(Donnees[[#This Row],[Abonnés]]&lt;8000000,"3. 3-8 M","4. ≥ 8 M"))))</f>
        <v>3. 3-8 M</v>
      </c>
      <c r="V288" s="41">
        <v>452</v>
      </c>
      <c r="W288" s="41">
        <v>40100000</v>
      </c>
      <c r="X288" s="41">
        <v>7100000</v>
      </c>
      <c r="Y288" s="41">
        <v>71800</v>
      </c>
      <c r="Z288" s="41">
        <v>375800</v>
      </c>
      <c r="AA288" s="42">
        <f>(Donnees[[#This Row],[Likes]]+Donnees[[#This Row],[Commentaires]]+Donnees[[#This Row],[Partages]])/Donnees[[#This Row],[Vues]]</f>
        <v>0.18821945137157106</v>
      </c>
      <c r="AB288" s="40">
        <f>IF(Donnees[[#This Row],[Engagement]]&gt;=VLOOKUP(Donnees[[#This Row],[Échantillon]],'Méthode &amp; limites'!$B$9:$D$11,2,FALSE),1,0)</f>
        <v>0</v>
      </c>
      <c r="AC288" s="43">
        <f>IF(Donnees[[#This Row],[Abonnés]]="","",Donnees[[#This Row],[Vues]]/Donnees[[#This Row],[Abonnés]])</f>
        <v>8.9111111111111114</v>
      </c>
      <c r="AD288" s="40" t="s">
        <v>44</v>
      </c>
      <c r="AE288" s="43">
        <f>SUMPRODUCT((Donnees[Échantillon]=Donnees[[#This Row],[Échantillon]])*(Donnees[Engagement]&lt;Donnees[[#This Row],[Engagement]]))+(SUMPRODUCT((Donnees[Échantillon]=Donnees[[#This Row],[Échantillon]])*(Donnees[Engagement]=Donnees[[#This Row],[Engagement]]))+1)/2</f>
        <v>64</v>
      </c>
      <c r="AF288" s="43">
        <f>SUMPRODUCT((Donnees[Échantillon]=Donnees[[#This Row],[Échantillon]])*(Donnees[Vues]&lt;Donnees[[#This Row],[Vues]]))+(SUMPRODUCT((Donnees[Échantillon]=Donnees[[#This Row],[Échantillon]])*(Donnees[Vues]=Donnees[[#This Row],[Vues]]))+1)/2</f>
        <v>14</v>
      </c>
      <c r="AG288" s="43">
        <f>SUMPRODUCT((Donnees[Échantillon]=Donnees[[#This Row],[Échantillon]])*(Donnees[Durée (s)]&lt;Donnees[[#This Row],[Durée (s)]]))+(SUMPRODUCT((Donnees[Échantillon]=Donnees[[#This Row],[Échantillon]])*(Donnees[Durée (s)]=Donnees[[#This Row],[Durée (s)]]))+1)/2</f>
        <v>75.5</v>
      </c>
      <c r="AH288" s="43">
        <f>SUMPRODUCT((Donnees[Échantillon]=Donnees[[#This Row],[Échantillon]])*(Donnees[Nb hashtags]&lt;Donnees[[#This Row],[Nb hashtags]]))+(SUMPRODUCT((Donnees[Échantillon]=Donnees[[#This Row],[Échantillon]])*(Donnees[Nb hashtags]=Donnees[[#This Row],[Nb hashtags]]))+1)/2</f>
        <v>30</v>
      </c>
      <c r="AI288" s="43">
        <f>SUMPRODUCT((Donnees[Échantillon]=Donnees[[#This Row],[Échantillon]])*(Donnees[Longueur du texte]&lt;Donnees[[#This Row],[Longueur du texte]]))+(SUMPRODUCT((Donnees[Échantillon]=Donnees[[#This Row],[Échantillon]])*(Donnees[Longueur du texte]=Donnees[[#This Row],[Longueur du texte]]))+1)/2</f>
        <v>49.5</v>
      </c>
      <c r="AJ288" s="43">
        <f>IF(Donnees[[#This Row],[Abonnés]]="","",SUMPRODUCT((Donnees[Échantillon]=Donnees[[#This Row],[Échantillon]])*(Donnees[Abonnés]&lt;Donnees[[#This Row],[Abonnés]]))+(SUMPRODUCT((Donnees[Échantillon]=Donnees[[#This Row],[Échantillon]])*(Donnees[Abonnés]=Donnees[[#This Row],[Abonnés]]))+1)/2)</f>
        <v>61.5</v>
      </c>
      <c r="AK288" s="43">
        <f>IF(Donnees[[#This Row],[Vidéos publiées]]="","",SUMPRODUCT((Donnees[Échantillon]=Donnees[[#This Row],[Échantillon]])*(Donnees[Vidéos publiées]&lt;Donnees[[#This Row],[Vidéos publiées]]))+(SUMPRODUCT((Donnees[Échantillon]=Donnees[[#This Row],[Échantillon]])*(Donnees[Vidéos publiées]=Donnees[[#This Row],[Vidéos publiées]]))+1)/2)</f>
        <v>66</v>
      </c>
    </row>
    <row r="289" spans="1:37" x14ac:dyDescent="0.2">
      <c r="A289" s="40" t="s">
        <v>237</v>
      </c>
      <c r="B289" s="40" t="s">
        <v>305</v>
      </c>
      <c r="C289" s="40" t="s">
        <v>50</v>
      </c>
      <c r="D289" s="40">
        <v>99</v>
      </c>
      <c r="E289" s="40" t="s">
        <v>71</v>
      </c>
      <c r="F289" s="40" t="str">
        <f>IF(OR(Donnees[[#This Row],[Jour]]="samedi",Donnees[[#This Row],[Jour]]="dimanche"),"Oui","Non")</f>
        <v>Non</v>
      </c>
      <c r="G289" s="40">
        <v>20</v>
      </c>
      <c r="H289" s="40" t="str">
        <f>IF(Donnees[[#This Row],[Heure UTC]]&lt;6,"0-5 h",IF(Donnees[[#This Row],[Heure UTC]]&lt;12,"6-11 h",IF(Donnees[[#This Row],[Heure UTC]]&lt;18,"12-17 h","18-23 h")))</f>
        <v>18-23 h</v>
      </c>
      <c r="I289" s="40">
        <v>53</v>
      </c>
      <c r="J289" s="40" t="str">
        <f>IF(Donnees[[#This Row],[Durée (s)]]&lt;=10,"1. ≤ 10 s",IF(Donnees[[#This Row],[Durée (s)]]&lt;=15,"2. 11-15 s",IF(Donnees[[#This Row],[Durée (s)]]&lt;=30,"3. 16-30 s",IF(Donnees[[#This Row],[Durée (s)]]&lt;=60,"4. 31-60 s","5. &gt; 60 s"))))</f>
        <v>4. 31-60 s</v>
      </c>
      <c r="K289" s="40" t="str">
        <f>IF(Donnees[[#This Row],[Durée (s)]]&gt;15,"Oui","Non")</f>
        <v>Oui</v>
      </c>
      <c r="L289" s="40">
        <v>4</v>
      </c>
      <c r="M289" s="40" t="s">
        <v>44</v>
      </c>
      <c r="N289" s="40">
        <v>26</v>
      </c>
      <c r="O289" s="40" t="s">
        <v>41</v>
      </c>
      <c r="P289" s="40" t="s">
        <v>41</v>
      </c>
      <c r="Q289" s="40" t="s">
        <v>41</v>
      </c>
      <c r="R289" s="40" t="s">
        <v>44</v>
      </c>
      <c r="S289" s="40" t="s">
        <v>44</v>
      </c>
      <c r="T289" s="41">
        <v>4500000</v>
      </c>
      <c r="U289" s="40" t="str">
        <f>IF(Donnees[[#This Row],[Abonnés]]="","",IF(Donnees[[#This Row],[Abonnés]]&lt;1000000,"1. &lt; 1 M",IF(Donnees[[#This Row],[Abonnés]]&lt;3000000,"2. 1-3 M",IF(Donnees[[#This Row],[Abonnés]]&lt;8000000,"3. 3-8 M","4. ≥ 8 M"))))</f>
        <v>3. 3-8 M</v>
      </c>
      <c r="V289" s="41">
        <v>542</v>
      </c>
      <c r="W289" s="41">
        <v>39200000</v>
      </c>
      <c r="X289" s="41">
        <v>8700000</v>
      </c>
      <c r="Y289" s="41">
        <v>33400</v>
      </c>
      <c r="Z289" s="41">
        <v>69300</v>
      </c>
      <c r="AA289" s="42">
        <f>(Donnees[[#This Row],[Likes]]+Donnees[[#This Row],[Commentaires]]+Donnees[[#This Row],[Partages]])/Donnees[[#This Row],[Vues]]</f>
        <v>0.22455867346938777</v>
      </c>
      <c r="AB289" s="40">
        <f>IF(Donnees[[#This Row],[Engagement]]&gt;=VLOOKUP(Donnees[[#This Row],[Échantillon]],'Méthode &amp; limites'!$B$9:$D$11,2,FALSE),1,0)</f>
        <v>1</v>
      </c>
      <c r="AC289" s="43">
        <f>IF(Donnees[[#This Row],[Abonnés]]="","",Donnees[[#This Row],[Vues]]/Donnees[[#This Row],[Abonnés]])</f>
        <v>8.7111111111111104</v>
      </c>
      <c r="AD289" s="40" t="s">
        <v>44</v>
      </c>
      <c r="AE289" s="43">
        <f>SUMPRODUCT((Donnees[Échantillon]=Donnees[[#This Row],[Échantillon]])*(Donnees[Engagement]&lt;Donnees[[#This Row],[Engagement]]))+(SUMPRODUCT((Donnees[Échantillon]=Donnees[[#This Row],[Échantillon]])*(Donnees[Engagement]=Donnees[[#This Row],[Engagement]]))+1)/2</f>
        <v>90</v>
      </c>
      <c r="AF289" s="43">
        <f>SUMPRODUCT((Donnees[Échantillon]=Donnees[[#This Row],[Échantillon]])*(Donnees[Vues]&lt;Donnees[[#This Row],[Vues]]))+(SUMPRODUCT((Donnees[Échantillon]=Donnees[[#This Row],[Échantillon]])*(Donnees[Vues]=Donnees[[#This Row],[Vues]]))+1)/2</f>
        <v>13</v>
      </c>
      <c r="AG289" s="43">
        <f>SUMPRODUCT((Donnees[Échantillon]=Donnees[[#This Row],[Échantillon]])*(Donnees[Durée (s)]&lt;Donnees[[#This Row],[Durée (s)]]))+(SUMPRODUCT((Donnees[Échantillon]=Donnees[[#This Row],[Échantillon]])*(Donnees[Durée (s)]=Donnees[[#This Row],[Durée (s)]]))+1)/2</f>
        <v>91</v>
      </c>
      <c r="AH289" s="43">
        <f>SUMPRODUCT((Donnees[Échantillon]=Donnees[[#This Row],[Échantillon]])*(Donnees[Nb hashtags]&lt;Donnees[[#This Row],[Nb hashtags]]))+(SUMPRODUCT((Donnees[Échantillon]=Donnees[[#This Row],[Échantillon]])*(Donnees[Nb hashtags]=Donnees[[#This Row],[Nb hashtags]]))+1)/2</f>
        <v>15.5</v>
      </c>
      <c r="AI289" s="43">
        <f>SUMPRODUCT((Donnees[Échantillon]=Donnees[[#This Row],[Échantillon]])*(Donnees[Longueur du texte]&lt;Donnees[[#This Row],[Longueur du texte]]))+(SUMPRODUCT((Donnees[Échantillon]=Donnees[[#This Row],[Échantillon]])*(Donnees[Longueur du texte]=Donnees[[#This Row],[Longueur du texte]]))+1)/2</f>
        <v>55</v>
      </c>
      <c r="AJ289" s="43">
        <f>IF(Donnees[[#This Row],[Abonnés]]="","",SUMPRODUCT((Donnees[Échantillon]=Donnees[[#This Row],[Échantillon]])*(Donnees[Abonnés]&lt;Donnees[[#This Row],[Abonnés]]))+(SUMPRODUCT((Donnees[Échantillon]=Donnees[[#This Row],[Échantillon]])*(Donnees[Abonnés]=Donnees[[#This Row],[Abonnés]]))+1)/2)</f>
        <v>61.5</v>
      </c>
      <c r="AK289" s="43">
        <f>IF(Donnees[[#This Row],[Vidéos publiées]]="","",SUMPRODUCT((Donnees[Échantillon]=Donnees[[#This Row],[Échantillon]])*(Donnees[Vidéos publiées]&lt;Donnees[[#This Row],[Vidéos publiées]]))+(SUMPRODUCT((Donnees[Échantillon]=Donnees[[#This Row],[Échantillon]])*(Donnees[Vidéos publiées]=Donnees[[#This Row],[Vidéos publiées]]))+1)/2)</f>
        <v>72</v>
      </c>
    </row>
    <row r="290" spans="1:37" x14ac:dyDescent="0.2">
      <c r="A290" s="40" t="s">
        <v>237</v>
      </c>
      <c r="B290" s="40" t="s">
        <v>306</v>
      </c>
      <c r="C290" s="40" t="s">
        <v>67</v>
      </c>
      <c r="D290" s="40">
        <v>181</v>
      </c>
      <c r="E290" s="40" t="s">
        <v>59</v>
      </c>
      <c r="F290" s="40" t="str">
        <f>IF(OR(Donnees[[#This Row],[Jour]]="samedi",Donnees[[#This Row],[Jour]]="dimanche"),"Oui","Non")</f>
        <v>Non</v>
      </c>
      <c r="G290" s="40">
        <v>18</v>
      </c>
      <c r="H290" s="40" t="str">
        <f>IF(Donnees[[#This Row],[Heure UTC]]&lt;6,"0-5 h",IF(Donnees[[#This Row],[Heure UTC]]&lt;12,"6-11 h",IF(Donnees[[#This Row],[Heure UTC]]&lt;18,"12-17 h","18-23 h")))</f>
        <v>18-23 h</v>
      </c>
      <c r="I290" s="40">
        <v>10</v>
      </c>
      <c r="J290" s="40" t="str">
        <f>IF(Donnees[[#This Row],[Durée (s)]]&lt;=10,"1. ≤ 10 s",IF(Donnees[[#This Row],[Durée (s)]]&lt;=15,"2. 11-15 s",IF(Donnees[[#This Row],[Durée (s)]]&lt;=30,"3. 16-30 s",IF(Donnees[[#This Row],[Durée (s)]]&lt;=60,"4. 31-60 s","5. &gt; 60 s"))))</f>
        <v>1. ≤ 10 s</v>
      </c>
      <c r="K290" s="40" t="str">
        <f>IF(Donnees[[#This Row],[Durée (s)]]&gt;15,"Oui","Non")</f>
        <v>Non</v>
      </c>
      <c r="L290" s="40">
        <v>13</v>
      </c>
      <c r="M290" s="40" t="s">
        <v>44</v>
      </c>
      <c r="N290" s="40">
        <v>32</v>
      </c>
      <c r="O290" s="40" t="s">
        <v>41</v>
      </c>
      <c r="P290" s="40" t="s">
        <v>41</v>
      </c>
      <c r="Q290" s="40" t="s">
        <v>44</v>
      </c>
      <c r="R290" s="40" t="s">
        <v>44</v>
      </c>
      <c r="S290" s="40" t="s">
        <v>44</v>
      </c>
      <c r="T290" s="41">
        <v>475800</v>
      </c>
      <c r="U290" s="40" t="str">
        <f>IF(Donnees[[#This Row],[Abonnés]]="","",IF(Donnees[[#This Row],[Abonnés]]&lt;1000000,"1. &lt; 1 M",IF(Donnees[[#This Row],[Abonnés]]&lt;3000000,"2. 1-3 M",IF(Donnees[[#This Row],[Abonnés]]&lt;8000000,"3. 3-8 M","4. ≥ 8 M"))))</f>
        <v>1. &lt; 1 M</v>
      </c>
      <c r="V290" s="41">
        <v>87</v>
      </c>
      <c r="W290" s="41">
        <v>38400000</v>
      </c>
      <c r="X290" s="41">
        <v>7100000</v>
      </c>
      <c r="Y290" s="41">
        <v>77800</v>
      </c>
      <c r="Z290" s="41">
        <v>253100</v>
      </c>
      <c r="AA290" s="42">
        <f>(Donnees[[#This Row],[Likes]]+Donnees[[#This Row],[Commentaires]]+Donnees[[#This Row],[Partages]])/Donnees[[#This Row],[Vues]]</f>
        <v>0.19351302083333333</v>
      </c>
      <c r="AB290" s="40">
        <f>IF(Donnees[[#This Row],[Engagement]]&gt;=VLOOKUP(Donnees[[#This Row],[Échantillon]],'Méthode &amp; limites'!$B$9:$D$11,2,FALSE),1,0)</f>
        <v>0</v>
      </c>
      <c r="AC290" s="43">
        <f>IF(Donnees[[#This Row],[Abonnés]]="","",Donnees[[#This Row],[Vues]]/Donnees[[#This Row],[Abonnés]])</f>
        <v>80.706179066834807</v>
      </c>
      <c r="AD290" s="40" t="s">
        <v>44</v>
      </c>
      <c r="AE290" s="43">
        <f>SUMPRODUCT((Donnees[Échantillon]=Donnees[[#This Row],[Échantillon]])*(Donnees[Engagement]&lt;Donnees[[#This Row],[Engagement]]))+(SUMPRODUCT((Donnees[Échantillon]=Donnees[[#This Row],[Échantillon]])*(Donnees[Engagement]=Donnees[[#This Row],[Engagement]]))+1)/2</f>
        <v>69</v>
      </c>
      <c r="AF290" s="43">
        <f>SUMPRODUCT((Donnees[Échantillon]=Donnees[[#This Row],[Échantillon]])*(Donnees[Vues]&lt;Donnees[[#This Row],[Vues]]))+(SUMPRODUCT((Donnees[Échantillon]=Donnees[[#This Row],[Échantillon]])*(Donnees[Vues]=Donnees[[#This Row],[Vues]]))+1)/2</f>
        <v>12</v>
      </c>
      <c r="AG290" s="43">
        <f>SUMPRODUCT((Donnees[Échantillon]=Donnees[[#This Row],[Échantillon]])*(Donnees[Durée (s)]&lt;Donnees[[#This Row],[Durée (s)]]))+(SUMPRODUCT((Donnees[Échantillon]=Donnees[[#This Row],[Échantillon]])*(Donnees[Durée (s)]=Donnees[[#This Row],[Durée (s)]]))+1)/2</f>
        <v>22</v>
      </c>
      <c r="AH290" s="43">
        <f>SUMPRODUCT((Donnees[Échantillon]=Donnees[[#This Row],[Échantillon]])*(Donnees[Nb hashtags]&lt;Donnees[[#This Row],[Nb hashtags]]))+(SUMPRODUCT((Donnees[Échantillon]=Donnees[[#This Row],[Échantillon]])*(Donnees[Nb hashtags]=Donnees[[#This Row],[Nb hashtags]]))+1)/2</f>
        <v>87.5</v>
      </c>
      <c r="AI290" s="43">
        <f>SUMPRODUCT((Donnees[Échantillon]=Donnees[[#This Row],[Échantillon]])*(Donnees[Longueur du texte]&lt;Donnees[[#This Row],[Longueur du texte]]))+(SUMPRODUCT((Donnees[Échantillon]=Donnees[[#This Row],[Échantillon]])*(Donnees[Longueur du texte]=Donnees[[#This Row],[Longueur du texte]]))+1)/2</f>
        <v>66.5</v>
      </c>
      <c r="AJ290" s="43">
        <f>IF(Donnees[[#This Row],[Abonnés]]="","",SUMPRODUCT((Donnees[Échantillon]=Donnees[[#This Row],[Échantillon]])*(Donnees[Abonnés]&lt;Donnees[[#This Row],[Abonnés]]))+(SUMPRODUCT((Donnees[Échantillon]=Donnees[[#This Row],[Échantillon]])*(Donnees[Abonnés]=Donnees[[#This Row],[Abonnés]]))+1)/2)</f>
        <v>15</v>
      </c>
      <c r="AK290" s="43">
        <f>IF(Donnees[[#This Row],[Vidéos publiées]]="","",SUMPRODUCT((Donnees[Échantillon]=Donnees[[#This Row],[Échantillon]])*(Donnees[Vidéos publiées]&lt;Donnees[[#This Row],[Vidéos publiées]]))+(SUMPRODUCT((Donnees[Échantillon]=Donnees[[#This Row],[Échantillon]])*(Donnees[Vidéos publiées]=Donnees[[#This Row],[Vidéos publiées]]))+1)/2)</f>
        <v>24.5</v>
      </c>
    </row>
    <row r="291" spans="1:37" x14ac:dyDescent="0.2">
      <c r="A291" s="40" t="s">
        <v>237</v>
      </c>
      <c r="B291" s="40" t="s">
        <v>307</v>
      </c>
      <c r="C291" s="40" t="s">
        <v>50</v>
      </c>
      <c r="D291" s="40">
        <v>398</v>
      </c>
      <c r="E291" s="40" t="s">
        <v>59</v>
      </c>
      <c r="F291" s="40" t="str">
        <f>IF(OR(Donnees[[#This Row],[Jour]]="samedi",Donnees[[#This Row],[Jour]]="dimanche"),"Oui","Non")</f>
        <v>Non</v>
      </c>
      <c r="G291" s="40">
        <v>22</v>
      </c>
      <c r="H291" s="40" t="str">
        <f>IF(Donnees[[#This Row],[Heure UTC]]&lt;6,"0-5 h",IF(Donnees[[#This Row],[Heure UTC]]&lt;12,"6-11 h",IF(Donnees[[#This Row],[Heure UTC]]&lt;18,"12-17 h","18-23 h")))</f>
        <v>18-23 h</v>
      </c>
      <c r="I291" s="40">
        <v>14</v>
      </c>
      <c r="J291" s="40" t="str">
        <f>IF(Donnees[[#This Row],[Durée (s)]]&lt;=10,"1. ≤ 10 s",IF(Donnees[[#This Row],[Durée (s)]]&lt;=15,"2. 11-15 s",IF(Donnees[[#This Row],[Durée (s)]]&lt;=30,"3. 16-30 s",IF(Donnees[[#This Row],[Durée (s)]]&lt;=60,"4. 31-60 s","5. &gt; 60 s"))))</f>
        <v>2. 11-15 s</v>
      </c>
      <c r="K291" s="40" t="str">
        <f>IF(Donnees[[#This Row],[Durée (s)]]&gt;15,"Oui","Non")</f>
        <v>Non</v>
      </c>
      <c r="L291" s="40">
        <v>3</v>
      </c>
      <c r="M291" s="40" t="s">
        <v>41</v>
      </c>
      <c r="N291" s="40">
        <v>28</v>
      </c>
      <c r="O291" s="40" t="s">
        <v>41</v>
      </c>
      <c r="P291" s="40" t="s">
        <v>41</v>
      </c>
      <c r="Q291" s="40" t="s">
        <v>41</v>
      </c>
      <c r="R291" s="40" t="s">
        <v>44</v>
      </c>
      <c r="S291" s="40" t="s">
        <v>44</v>
      </c>
      <c r="T291" s="41">
        <v>1100000</v>
      </c>
      <c r="U291" s="40" t="str">
        <f>IF(Donnees[[#This Row],[Abonnés]]="","",IF(Donnees[[#This Row],[Abonnés]]&lt;1000000,"1. &lt; 1 M",IF(Donnees[[#This Row],[Abonnés]]&lt;3000000,"2. 1-3 M",IF(Donnees[[#This Row],[Abonnés]]&lt;8000000,"3. 3-8 M","4. ≥ 8 M"))))</f>
        <v>2. 1-3 M</v>
      </c>
      <c r="V291" s="41">
        <v>1087</v>
      </c>
      <c r="W291" s="41">
        <v>38300000</v>
      </c>
      <c r="X291" s="41">
        <v>7300000</v>
      </c>
      <c r="Y291" s="41">
        <v>37300</v>
      </c>
      <c r="Z291" s="41">
        <v>173800</v>
      </c>
      <c r="AA291" s="42">
        <f>(Donnees[[#This Row],[Likes]]+Donnees[[#This Row],[Commentaires]]+Donnees[[#This Row],[Partages]])/Donnees[[#This Row],[Vues]]</f>
        <v>0.19611227154046998</v>
      </c>
      <c r="AB291" s="40">
        <f>IF(Donnees[[#This Row],[Engagement]]&gt;=VLOOKUP(Donnees[[#This Row],[Échantillon]],'Méthode &amp; limites'!$B$9:$D$11,2,FALSE),1,0)</f>
        <v>0</v>
      </c>
      <c r="AC291" s="43">
        <f>IF(Donnees[[#This Row],[Abonnés]]="","",Donnees[[#This Row],[Vues]]/Donnees[[#This Row],[Abonnés]])</f>
        <v>34.81818181818182</v>
      </c>
      <c r="AD291" s="40" t="s">
        <v>44</v>
      </c>
      <c r="AE291" s="43">
        <f>SUMPRODUCT((Donnees[Échantillon]=Donnees[[#This Row],[Échantillon]])*(Donnees[Engagement]&lt;Donnees[[#This Row],[Engagement]]))+(SUMPRODUCT((Donnees[Échantillon]=Donnees[[#This Row],[Échantillon]])*(Donnees[Engagement]=Donnees[[#This Row],[Engagement]]))+1)/2</f>
        <v>73</v>
      </c>
      <c r="AF291" s="43">
        <f>SUMPRODUCT((Donnees[Échantillon]=Donnees[[#This Row],[Échantillon]])*(Donnees[Vues]&lt;Donnees[[#This Row],[Vues]]))+(SUMPRODUCT((Donnees[Échantillon]=Donnees[[#This Row],[Échantillon]])*(Donnees[Vues]=Donnees[[#This Row],[Vues]]))+1)/2</f>
        <v>11</v>
      </c>
      <c r="AG291" s="43">
        <f>SUMPRODUCT((Donnees[Échantillon]=Donnees[[#This Row],[Échantillon]])*(Donnees[Durée (s)]&lt;Donnees[[#This Row],[Durée (s)]]))+(SUMPRODUCT((Donnees[Échantillon]=Donnees[[#This Row],[Échantillon]])*(Donnees[Durée (s)]=Donnees[[#This Row],[Durée (s)]]))+1)/2</f>
        <v>38</v>
      </c>
      <c r="AH291" s="43">
        <f>SUMPRODUCT((Donnees[Échantillon]=Donnees[[#This Row],[Échantillon]])*(Donnees[Nb hashtags]&lt;Donnees[[#This Row],[Nb hashtags]]))+(SUMPRODUCT((Donnees[Échantillon]=Donnees[[#This Row],[Échantillon]])*(Donnees[Nb hashtags]=Donnees[[#This Row],[Nb hashtags]]))+1)/2</f>
        <v>10.5</v>
      </c>
      <c r="AI291" s="43">
        <f>SUMPRODUCT((Donnees[Échantillon]=Donnees[[#This Row],[Échantillon]])*(Donnees[Longueur du texte]&lt;Donnees[[#This Row],[Longueur du texte]]))+(SUMPRODUCT((Donnees[Échantillon]=Donnees[[#This Row],[Échantillon]])*(Donnees[Longueur du texte]=Donnees[[#This Row],[Longueur du texte]]))+1)/2</f>
        <v>60.5</v>
      </c>
      <c r="AJ291" s="43">
        <f>IF(Donnees[[#This Row],[Abonnés]]="","",SUMPRODUCT((Donnees[Échantillon]=Donnees[[#This Row],[Échantillon]])*(Donnees[Abonnés]&lt;Donnees[[#This Row],[Abonnés]]))+(SUMPRODUCT((Donnees[Échantillon]=Donnees[[#This Row],[Échantillon]])*(Donnees[Abonnés]=Donnees[[#This Row],[Abonnés]]))+1)/2)</f>
        <v>30.5</v>
      </c>
      <c r="AK291" s="43">
        <f>IF(Donnees[[#This Row],[Vidéos publiées]]="","",SUMPRODUCT((Donnees[Échantillon]=Donnees[[#This Row],[Échantillon]])*(Donnees[Vidéos publiées]&lt;Donnees[[#This Row],[Vidéos publiées]]))+(SUMPRODUCT((Donnees[Échantillon]=Donnees[[#This Row],[Échantillon]])*(Donnees[Vidéos publiées]=Donnees[[#This Row],[Vidéos publiées]]))+1)/2)</f>
        <v>93</v>
      </c>
    </row>
    <row r="292" spans="1:37" x14ac:dyDescent="0.2">
      <c r="A292" s="40" t="s">
        <v>237</v>
      </c>
      <c r="B292" s="40" t="s">
        <v>308</v>
      </c>
      <c r="C292" s="40" t="s">
        <v>62</v>
      </c>
      <c r="D292" s="40">
        <v>284</v>
      </c>
      <c r="E292" s="40" t="s">
        <v>68</v>
      </c>
      <c r="F292" s="40" t="str">
        <f>IF(OR(Donnees[[#This Row],[Jour]]="samedi",Donnees[[#This Row],[Jour]]="dimanche"),"Oui","Non")</f>
        <v>Non</v>
      </c>
      <c r="G292" s="40">
        <v>1</v>
      </c>
      <c r="H292" s="40" t="str">
        <f>IF(Donnees[[#This Row],[Heure UTC]]&lt;6,"0-5 h",IF(Donnees[[#This Row],[Heure UTC]]&lt;12,"6-11 h",IF(Donnees[[#This Row],[Heure UTC]]&lt;18,"12-17 h","18-23 h")))</f>
        <v>0-5 h</v>
      </c>
      <c r="I292" s="40">
        <v>57</v>
      </c>
      <c r="J292" s="40" t="str">
        <f>IF(Donnees[[#This Row],[Durée (s)]]&lt;=10,"1. ≤ 10 s",IF(Donnees[[#This Row],[Durée (s)]]&lt;=15,"2. 11-15 s",IF(Donnees[[#This Row],[Durée (s)]]&lt;=30,"3. 16-30 s",IF(Donnees[[#This Row],[Durée (s)]]&lt;=60,"4. 31-60 s","5. &gt; 60 s"))))</f>
        <v>4. 31-60 s</v>
      </c>
      <c r="K292" s="40" t="str">
        <f>IF(Donnees[[#This Row],[Durée (s)]]&gt;15,"Oui","Non")</f>
        <v>Oui</v>
      </c>
      <c r="L292" s="40">
        <v>4</v>
      </c>
      <c r="M292" s="40" t="s">
        <v>44</v>
      </c>
      <c r="N292" s="40">
        <v>51</v>
      </c>
      <c r="O292" s="40" t="s">
        <v>41</v>
      </c>
      <c r="P292" s="40" t="s">
        <v>41</v>
      </c>
      <c r="Q292" s="40" t="s">
        <v>41</v>
      </c>
      <c r="R292" s="40" t="s">
        <v>44</v>
      </c>
      <c r="S292" s="40" t="s">
        <v>44</v>
      </c>
      <c r="T292" s="41">
        <v>1800000</v>
      </c>
      <c r="U292" s="40" t="str">
        <f>IF(Donnees[[#This Row],[Abonnés]]="","",IF(Donnees[[#This Row],[Abonnés]]&lt;1000000,"1. &lt; 1 M",IF(Donnees[[#This Row],[Abonnés]]&lt;3000000,"2. 1-3 M",IF(Donnees[[#This Row],[Abonnés]]&lt;8000000,"3. 3-8 M","4. ≥ 8 M"))))</f>
        <v>2. 1-3 M</v>
      </c>
      <c r="V292" s="41">
        <v>163</v>
      </c>
      <c r="W292" s="41">
        <v>38000000</v>
      </c>
      <c r="X292" s="41">
        <v>7400000</v>
      </c>
      <c r="Y292" s="41">
        <v>92800</v>
      </c>
      <c r="Z292" s="41">
        <v>554700</v>
      </c>
      <c r="AA292" s="42">
        <f>(Donnees[[#This Row],[Likes]]+Donnees[[#This Row],[Commentaires]]+Donnees[[#This Row],[Partages]])/Donnees[[#This Row],[Vues]]</f>
        <v>0.21177631578947367</v>
      </c>
      <c r="AB292" s="40">
        <f>IF(Donnees[[#This Row],[Engagement]]&gt;=VLOOKUP(Donnees[[#This Row],[Échantillon]],'Méthode &amp; limites'!$B$9:$D$11,2,FALSE),1,0)</f>
        <v>1</v>
      </c>
      <c r="AC292" s="43">
        <f>IF(Donnees[[#This Row],[Abonnés]]="","",Donnees[[#This Row],[Vues]]/Donnees[[#This Row],[Abonnés]])</f>
        <v>21.111111111111111</v>
      </c>
      <c r="AD292" s="40" t="s">
        <v>44</v>
      </c>
      <c r="AE292" s="43">
        <f>SUMPRODUCT((Donnees[Échantillon]=Donnees[[#This Row],[Échantillon]])*(Donnees[Engagement]&lt;Donnees[[#This Row],[Engagement]]))+(SUMPRODUCT((Donnees[Échantillon]=Donnees[[#This Row],[Échantillon]])*(Donnees[Engagement]=Donnees[[#This Row],[Engagement]]))+1)/2</f>
        <v>82</v>
      </c>
      <c r="AF292" s="43">
        <f>SUMPRODUCT((Donnees[Échantillon]=Donnees[[#This Row],[Échantillon]])*(Donnees[Vues]&lt;Donnees[[#This Row],[Vues]]))+(SUMPRODUCT((Donnees[Échantillon]=Donnees[[#This Row],[Échantillon]])*(Donnees[Vues]=Donnees[[#This Row],[Vues]]))+1)/2</f>
        <v>10</v>
      </c>
      <c r="AG292" s="43">
        <f>SUMPRODUCT((Donnees[Échantillon]=Donnees[[#This Row],[Échantillon]])*(Donnees[Durée (s)]&lt;Donnees[[#This Row],[Durée (s)]]))+(SUMPRODUCT((Donnees[Échantillon]=Donnees[[#This Row],[Échantillon]])*(Donnees[Durée (s)]=Donnees[[#This Row],[Durée (s)]]))+1)/2</f>
        <v>93.5</v>
      </c>
      <c r="AH292" s="43">
        <f>SUMPRODUCT((Donnees[Échantillon]=Donnees[[#This Row],[Échantillon]])*(Donnees[Nb hashtags]&lt;Donnees[[#This Row],[Nb hashtags]]))+(SUMPRODUCT((Donnees[Échantillon]=Donnees[[#This Row],[Échantillon]])*(Donnees[Nb hashtags]=Donnees[[#This Row],[Nb hashtags]]))+1)/2</f>
        <v>15.5</v>
      </c>
      <c r="AI292" s="43">
        <f>SUMPRODUCT((Donnees[Échantillon]=Donnees[[#This Row],[Échantillon]])*(Donnees[Longueur du texte]&lt;Donnees[[#This Row],[Longueur du texte]]))+(SUMPRODUCT((Donnees[Échantillon]=Donnees[[#This Row],[Échantillon]])*(Donnees[Longueur du texte]=Donnees[[#This Row],[Longueur du texte]]))+1)/2</f>
        <v>85.5</v>
      </c>
      <c r="AJ292" s="43">
        <f>IF(Donnees[[#This Row],[Abonnés]]="","",SUMPRODUCT((Donnees[Échantillon]=Donnees[[#This Row],[Échantillon]])*(Donnees[Abonnés]&lt;Donnees[[#This Row],[Abonnés]]))+(SUMPRODUCT((Donnees[Échantillon]=Donnees[[#This Row],[Échantillon]])*(Donnees[Abonnés]=Donnees[[#This Row],[Abonnés]]))+1)/2)</f>
        <v>39</v>
      </c>
      <c r="AK292" s="43">
        <f>IF(Donnees[[#This Row],[Vidéos publiées]]="","",SUMPRODUCT((Donnees[Échantillon]=Donnees[[#This Row],[Échantillon]])*(Donnees[Vidéos publiées]&lt;Donnees[[#This Row],[Vidéos publiées]]))+(SUMPRODUCT((Donnees[Échantillon]=Donnees[[#This Row],[Échantillon]])*(Donnees[Vidéos publiées]=Donnees[[#This Row],[Vidéos publiées]]))+1)/2)</f>
        <v>43</v>
      </c>
    </row>
    <row r="293" spans="1:37" x14ac:dyDescent="0.2">
      <c r="A293" s="40" t="s">
        <v>237</v>
      </c>
      <c r="B293" s="40" t="s">
        <v>309</v>
      </c>
      <c r="C293" s="40" t="s">
        <v>50</v>
      </c>
      <c r="D293" s="40">
        <v>203</v>
      </c>
      <c r="E293" s="40" t="s">
        <v>40</v>
      </c>
      <c r="F293" s="40" t="str">
        <f>IF(OR(Donnees[[#This Row],[Jour]]="samedi",Donnees[[#This Row],[Jour]]="dimanche"),"Oui","Non")</f>
        <v>Non</v>
      </c>
      <c r="G293" s="40">
        <v>23</v>
      </c>
      <c r="H293" s="40" t="str">
        <f>IF(Donnees[[#This Row],[Heure UTC]]&lt;6,"0-5 h",IF(Donnees[[#This Row],[Heure UTC]]&lt;12,"6-11 h",IF(Donnees[[#This Row],[Heure UTC]]&lt;18,"12-17 h","18-23 h")))</f>
        <v>18-23 h</v>
      </c>
      <c r="I293" s="40">
        <v>38</v>
      </c>
      <c r="J293" s="40" t="str">
        <f>IF(Donnees[[#This Row],[Durée (s)]]&lt;=10,"1. ≤ 10 s",IF(Donnees[[#This Row],[Durée (s)]]&lt;=15,"2. 11-15 s",IF(Donnees[[#This Row],[Durée (s)]]&lt;=30,"3. 16-30 s",IF(Donnees[[#This Row],[Durée (s)]]&lt;=60,"4. 31-60 s","5. &gt; 60 s"))))</f>
        <v>4. 31-60 s</v>
      </c>
      <c r="K293" s="40" t="str">
        <f>IF(Donnees[[#This Row],[Durée (s)]]&gt;15,"Oui","Non")</f>
        <v>Oui</v>
      </c>
      <c r="L293" s="40">
        <v>2</v>
      </c>
      <c r="M293" s="40" t="s">
        <v>44</v>
      </c>
      <c r="N293" s="40">
        <v>38</v>
      </c>
      <c r="O293" s="40" t="s">
        <v>41</v>
      </c>
      <c r="P293" s="40" t="s">
        <v>41</v>
      </c>
      <c r="Q293" s="40" t="s">
        <v>41</v>
      </c>
      <c r="R293" s="40" t="s">
        <v>44</v>
      </c>
      <c r="S293" s="40" t="s">
        <v>44</v>
      </c>
      <c r="T293" s="41">
        <v>257600</v>
      </c>
      <c r="U293" s="40" t="str">
        <f>IF(Donnees[[#This Row],[Abonnés]]="","",IF(Donnees[[#This Row],[Abonnés]]&lt;1000000,"1. &lt; 1 M",IF(Donnees[[#This Row],[Abonnés]]&lt;3000000,"2. 1-3 M",IF(Donnees[[#This Row],[Abonnés]]&lt;8000000,"3. 3-8 M","4. ≥ 8 M"))))</f>
        <v>1. &lt; 1 M</v>
      </c>
      <c r="V293" s="41">
        <v>2</v>
      </c>
      <c r="W293" s="41">
        <v>36000000</v>
      </c>
      <c r="X293" s="41">
        <v>7700000</v>
      </c>
      <c r="Y293" s="41">
        <v>69400</v>
      </c>
      <c r="Z293" s="41">
        <v>226400</v>
      </c>
      <c r="AA293" s="42">
        <f>(Donnees[[#This Row],[Likes]]+Donnees[[#This Row],[Commentaires]]+Donnees[[#This Row],[Partages]])/Donnees[[#This Row],[Vues]]</f>
        <v>0.22210555555555556</v>
      </c>
      <c r="AB293" s="40">
        <f>IF(Donnees[[#This Row],[Engagement]]&gt;=VLOOKUP(Donnees[[#This Row],[Échantillon]],'Méthode &amp; limites'!$B$9:$D$11,2,FALSE),1,0)</f>
        <v>1</v>
      </c>
      <c r="AC293" s="43">
        <f>IF(Donnees[[#This Row],[Abonnés]]="","",Donnees[[#This Row],[Vues]]/Donnees[[#This Row],[Abonnés]])</f>
        <v>139.75155279503105</v>
      </c>
      <c r="AD293" s="40" t="s">
        <v>44</v>
      </c>
      <c r="AE293" s="43">
        <f>SUMPRODUCT((Donnees[Échantillon]=Donnees[[#This Row],[Échantillon]])*(Donnees[Engagement]&lt;Donnees[[#This Row],[Engagement]]))+(SUMPRODUCT((Donnees[Échantillon]=Donnees[[#This Row],[Échantillon]])*(Donnees[Engagement]=Donnees[[#This Row],[Engagement]]))+1)/2</f>
        <v>88</v>
      </c>
      <c r="AF293" s="43">
        <f>SUMPRODUCT((Donnees[Échantillon]=Donnees[[#This Row],[Échantillon]])*(Donnees[Vues]&lt;Donnees[[#This Row],[Vues]]))+(SUMPRODUCT((Donnees[Échantillon]=Donnees[[#This Row],[Échantillon]])*(Donnees[Vues]=Donnees[[#This Row],[Vues]]))+1)/2</f>
        <v>9</v>
      </c>
      <c r="AG293" s="43">
        <f>SUMPRODUCT((Donnees[Échantillon]=Donnees[[#This Row],[Échantillon]])*(Donnees[Durée (s)]&lt;Donnees[[#This Row],[Durée (s)]]))+(SUMPRODUCT((Donnees[Échantillon]=Donnees[[#This Row],[Échantillon]])*(Donnees[Durée (s)]=Donnees[[#This Row],[Durée (s)]]))+1)/2</f>
        <v>79</v>
      </c>
      <c r="AH293" s="43">
        <f>SUMPRODUCT((Donnees[Échantillon]=Donnees[[#This Row],[Échantillon]])*(Donnees[Nb hashtags]&lt;Donnees[[#This Row],[Nb hashtags]]))+(SUMPRODUCT((Donnees[Échantillon]=Donnees[[#This Row],[Échantillon]])*(Donnees[Nb hashtags]=Donnees[[#This Row],[Nb hashtags]]))+1)/2</f>
        <v>4.5</v>
      </c>
      <c r="AI293" s="43">
        <f>SUMPRODUCT((Donnees[Échantillon]=Donnees[[#This Row],[Échantillon]])*(Donnees[Longueur du texte]&lt;Donnees[[#This Row],[Longueur du texte]]))+(SUMPRODUCT((Donnees[Échantillon]=Donnees[[#This Row],[Échantillon]])*(Donnees[Longueur du texte]=Donnees[[#This Row],[Longueur du texte]]))+1)/2</f>
        <v>72</v>
      </c>
      <c r="AJ293" s="43">
        <f>IF(Donnees[[#This Row],[Abonnés]]="","",SUMPRODUCT((Donnees[Échantillon]=Donnees[[#This Row],[Échantillon]])*(Donnees[Abonnés]&lt;Donnees[[#This Row],[Abonnés]]))+(SUMPRODUCT((Donnees[Échantillon]=Donnees[[#This Row],[Échantillon]])*(Donnees[Abonnés]=Donnees[[#This Row],[Abonnés]]))+1)/2)</f>
        <v>6</v>
      </c>
      <c r="AK293" s="43">
        <f>IF(Donnees[[#This Row],[Vidéos publiées]]="","",SUMPRODUCT((Donnees[Échantillon]=Donnees[[#This Row],[Échantillon]])*(Donnees[Vidéos publiées]&lt;Donnees[[#This Row],[Vidéos publiées]]))+(SUMPRODUCT((Donnees[Échantillon]=Donnees[[#This Row],[Échantillon]])*(Donnees[Vidéos publiées]=Donnees[[#This Row],[Vidéos publiées]]))+1)/2)</f>
        <v>2.5</v>
      </c>
    </row>
    <row r="294" spans="1:37" x14ac:dyDescent="0.2">
      <c r="A294" s="40" t="s">
        <v>237</v>
      </c>
      <c r="B294" s="40" t="s">
        <v>289</v>
      </c>
      <c r="C294" s="40" t="s">
        <v>62</v>
      </c>
      <c r="D294" s="40">
        <v>111</v>
      </c>
      <c r="E294" s="40" t="s">
        <v>59</v>
      </c>
      <c r="F294" s="40" t="str">
        <f>IF(OR(Donnees[[#This Row],[Jour]]="samedi",Donnees[[#This Row],[Jour]]="dimanche"),"Oui","Non")</f>
        <v>Non</v>
      </c>
      <c r="G294" s="40">
        <v>12</v>
      </c>
      <c r="H294" s="40" t="str">
        <f>IF(Donnees[[#This Row],[Heure UTC]]&lt;6,"0-5 h",IF(Donnees[[#This Row],[Heure UTC]]&lt;12,"6-11 h",IF(Donnees[[#This Row],[Heure UTC]]&lt;18,"12-17 h","18-23 h")))</f>
        <v>12-17 h</v>
      </c>
      <c r="I294" s="40">
        <v>24</v>
      </c>
      <c r="J294" s="40" t="str">
        <f>IF(Donnees[[#This Row],[Durée (s)]]&lt;=10,"1. ≤ 10 s",IF(Donnees[[#This Row],[Durée (s)]]&lt;=15,"2. 11-15 s",IF(Donnees[[#This Row],[Durée (s)]]&lt;=30,"3. 16-30 s",IF(Donnees[[#This Row],[Durée (s)]]&lt;=60,"4. 31-60 s","5. &gt; 60 s"))))</f>
        <v>3. 16-30 s</v>
      </c>
      <c r="K294" s="40" t="str">
        <f>IF(Donnees[[#This Row],[Durée (s)]]&gt;15,"Oui","Non")</f>
        <v>Oui</v>
      </c>
      <c r="L294" s="40">
        <v>15</v>
      </c>
      <c r="M294" s="40" t="s">
        <v>44</v>
      </c>
      <c r="N294" s="40">
        <v>12</v>
      </c>
      <c r="O294" s="40" t="s">
        <v>41</v>
      </c>
      <c r="P294" s="40" t="s">
        <v>41</v>
      </c>
      <c r="Q294" s="40" t="s">
        <v>41</v>
      </c>
      <c r="R294" s="40" t="s">
        <v>44</v>
      </c>
      <c r="S294" s="40" t="s">
        <v>44</v>
      </c>
      <c r="T294" s="41">
        <v>4400000</v>
      </c>
      <c r="U294" s="40" t="str">
        <f>IF(Donnees[[#This Row],[Abonnés]]="","",IF(Donnees[[#This Row],[Abonnés]]&lt;1000000,"1. &lt; 1 M",IF(Donnees[[#This Row],[Abonnés]]&lt;3000000,"2. 1-3 M",IF(Donnees[[#This Row],[Abonnés]]&lt;8000000,"3. 3-8 M","4. ≥ 8 M"))))</f>
        <v>3. 3-8 M</v>
      </c>
      <c r="V294" s="41">
        <v>66</v>
      </c>
      <c r="W294" s="41">
        <v>35200000</v>
      </c>
      <c r="X294" s="41">
        <v>7100000</v>
      </c>
      <c r="Y294" s="41">
        <v>75000</v>
      </c>
      <c r="Z294" s="41">
        <v>105200</v>
      </c>
      <c r="AA294" s="42">
        <f>(Donnees[[#This Row],[Likes]]+Donnees[[#This Row],[Commentaires]]+Donnees[[#This Row],[Partages]])/Donnees[[#This Row],[Vues]]</f>
        <v>0.20682386363636363</v>
      </c>
      <c r="AB294" s="40">
        <f>IF(Donnees[[#This Row],[Engagement]]&gt;=VLOOKUP(Donnees[[#This Row],[Échantillon]],'Méthode &amp; limites'!$B$9:$D$11,2,FALSE),1,0)</f>
        <v>1</v>
      </c>
      <c r="AC294" s="43">
        <f>IF(Donnees[[#This Row],[Abonnés]]="","",Donnees[[#This Row],[Vues]]/Donnees[[#This Row],[Abonnés]])</f>
        <v>8</v>
      </c>
      <c r="AD294" s="40" t="s">
        <v>44</v>
      </c>
      <c r="AE294" s="43">
        <f>SUMPRODUCT((Donnees[Échantillon]=Donnees[[#This Row],[Échantillon]])*(Donnees[Engagement]&lt;Donnees[[#This Row],[Engagement]]))+(SUMPRODUCT((Donnees[Échantillon]=Donnees[[#This Row],[Échantillon]])*(Donnees[Engagement]=Donnees[[#This Row],[Engagement]]))+1)/2</f>
        <v>77</v>
      </c>
      <c r="AF294" s="43">
        <f>SUMPRODUCT((Donnees[Échantillon]=Donnees[[#This Row],[Échantillon]])*(Donnees[Vues]&lt;Donnees[[#This Row],[Vues]]))+(SUMPRODUCT((Donnees[Échantillon]=Donnees[[#This Row],[Échantillon]])*(Donnees[Vues]=Donnees[[#This Row],[Vues]]))+1)/2</f>
        <v>8</v>
      </c>
      <c r="AG294" s="43">
        <f>SUMPRODUCT((Donnees[Échantillon]=Donnees[[#This Row],[Échantillon]])*(Donnees[Durée (s)]&lt;Donnees[[#This Row],[Durée (s)]]))+(SUMPRODUCT((Donnees[Échantillon]=Donnees[[#This Row],[Échantillon]])*(Donnees[Durée (s)]=Donnees[[#This Row],[Durée (s)]]))+1)/2</f>
        <v>67</v>
      </c>
      <c r="AH294" s="43">
        <f>SUMPRODUCT((Donnees[Échantillon]=Donnees[[#This Row],[Échantillon]])*(Donnees[Nb hashtags]&lt;Donnees[[#This Row],[Nb hashtags]]))+(SUMPRODUCT((Donnees[Échantillon]=Donnees[[#This Row],[Échantillon]])*(Donnees[Nb hashtags]=Donnees[[#This Row],[Nb hashtags]]))+1)/2</f>
        <v>91</v>
      </c>
      <c r="AI294" s="43">
        <f>SUMPRODUCT((Donnees[Échantillon]=Donnees[[#This Row],[Échantillon]])*(Donnees[Longueur du texte]&lt;Donnees[[#This Row],[Longueur du texte]]))+(SUMPRODUCT((Donnees[Échantillon]=Donnees[[#This Row],[Échantillon]])*(Donnees[Longueur du texte]=Donnees[[#This Row],[Longueur du texte]]))+1)/2</f>
        <v>32.5</v>
      </c>
      <c r="AJ294" s="43">
        <f>IF(Donnees[[#This Row],[Abonnés]]="","",SUMPRODUCT((Donnees[Échantillon]=Donnees[[#This Row],[Échantillon]])*(Donnees[Abonnés]&lt;Donnees[[#This Row],[Abonnés]]))+(SUMPRODUCT((Donnees[Échantillon]=Donnees[[#This Row],[Échantillon]])*(Donnees[Abonnés]=Donnees[[#This Row],[Abonnés]]))+1)/2)</f>
        <v>58</v>
      </c>
      <c r="AK294" s="43">
        <f>IF(Donnees[[#This Row],[Vidéos publiées]]="","",SUMPRODUCT((Donnees[Échantillon]=Donnees[[#This Row],[Échantillon]])*(Donnees[Vidéos publiées]&lt;Donnees[[#This Row],[Vidéos publiées]]))+(SUMPRODUCT((Donnees[Échantillon]=Donnees[[#This Row],[Échantillon]])*(Donnees[Vidéos publiées]=Donnees[[#This Row],[Vidéos publiées]]))+1)/2)</f>
        <v>21</v>
      </c>
    </row>
    <row r="295" spans="1:37" x14ac:dyDescent="0.2">
      <c r="A295" s="40" t="s">
        <v>237</v>
      </c>
      <c r="B295" s="40" t="s">
        <v>310</v>
      </c>
      <c r="C295" s="40" t="s">
        <v>50</v>
      </c>
      <c r="D295" s="40">
        <v>85</v>
      </c>
      <c r="E295" s="40" t="s">
        <v>71</v>
      </c>
      <c r="F295" s="40" t="str">
        <f>IF(OR(Donnees[[#This Row],[Jour]]="samedi",Donnees[[#This Row],[Jour]]="dimanche"),"Oui","Non")</f>
        <v>Non</v>
      </c>
      <c r="G295" s="40">
        <v>19</v>
      </c>
      <c r="H295" s="40" t="str">
        <f>IF(Donnees[[#This Row],[Heure UTC]]&lt;6,"0-5 h",IF(Donnees[[#This Row],[Heure UTC]]&lt;12,"6-11 h",IF(Donnees[[#This Row],[Heure UTC]]&lt;18,"12-17 h","18-23 h")))</f>
        <v>18-23 h</v>
      </c>
      <c r="I295" s="40">
        <v>13</v>
      </c>
      <c r="J295" s="40" t="str">
        <f>IF(Donnees[[#This Row],[Durée (s)]]&lt;=10,"1. ≤ 10 s",IF(Donnees[[#This Row],[Durée (s)]]&lt;=15,"2. 11-15 s",IF(Donnees[[#This Row],[Durée (s)]]&lt;=30,"3. 16-30 s",IF(Donnees[[#This Row],[Durée (s)]]&lt;=60,"4. 31-60 s","5. &gt; 60 s"))))</f>
        <v>2. 11-15 s</v>
      </c>
      <c r="K295" s="40" t="str">
        <f>IF(Donnees[[#This Row],[Durée (s)]]&gt;15,"Oui","Non")</f>
        <v>Non</v>
      </c>
      <c r="L295" s="40">
        <v>9</v>
      </c>
      <c r="M295" s="40" t="s">
        <v>44</v>
      </c>
      <c r="N295" s="40">
        <v>26</v>
      </c>
      <c r="O295" s="40" t="s">
        <v>41</v>
      </c>
      <c r="P295" s="40" t="s">
        <v>41</v>
      </c>
      <c r="Q295" s="40" t="s">
        <v>41</v>
      </c>
      <c r="R295" s="40" t="s">
        <v>44</v>
      </c>
      <c r="S295" s="40" t="s">
        <v>41</v>
      </c>
      <c r="T295" s="41">
        <v>437300</v>
      </c>
      <c r="U295" s="40" t="str">
        <f>IF(Donnees[[#This Row],[Abonnés]]="","",IF(Donnees[[#This Row],[Abonnés]]&lt;1000000,"1. &lt; 1 M",IF(Donnees[[#This Row],[Abonnés]]&lt;3000000,"2. 1-3 M",IF(Donnees[[#This Row],[Abonnés]]&lt;8000000,"3. 3-8 M","4. ≥ 8 M"))))</f>
        <v>1. &lt; 1 M</v>
      </c>
      <c r="V295" s="41">
        <v>28</v>
      </c>
      <c r="W295" s="41">
        <v>34100000</v>
      </c>
      <c r="X295" s="41">
        <v>7000000</v>
      </c>
      <c r="Y295" s="41">
        <v>25500</v>
      </c>
      <c r="Z295" s="41">
        <v>33600</v>
      </c>
      <c r="AA295" s="42">
        <f>(Donnees[[#This Row],[Likes]]+Donnees[[#This Row],[Commentaires]]+Donnees[[#This Row],[Partages]])/Donnees[[#This Row],[Vues]]</f>
        <v>0.2070117302052786</v>
      </c>
      <c r="AB295" s="40">
        <f>IF(Donnees[[#This Row],[Engagement]]&gt;=VLOOKUP(Donnees[[#This Row],[Échantillon]],'Méthode &amp; limites'!$B$9:$D$11,2,FALSE),1,0)</f>
        <v>1</v>
      </c>
      <c r="AC295" s="43">
        <f>IF(Donnees[[#This Row],[Abonnés]]="","",Donnees[[#This Row],[Vues]]/Donnees[[#This Row],[Abonnés]])</f>
        <v>77.978504459181337</v>
      </c>
      <c r="AD295" s="40" t="s">
        <v>44</v>
      </c>
      <c r="AE295" s="43">
        <f>SUMPRODUCT((Donnees[Échantillon]=Donnees[[#This Row],[Échantillon]])*(Donnees[Engagement]&lt;Donnees[[#This Row],[Engagement]]))+(SUMPRODUCT((Donnees[Échantillon]=Donnees[[#This Row],[Échantillon]])*(Donnees[Engagement]=Donnees[[#This Row],[Engagement]]))+1)/2</f>
        <v>78</v>
      </c>
      <c r="AF295" s="43">
        <f>SUMPRODUCT((Donnees[Échantillon]=Donnees[[#This Row],[Échantillon]])*(Donnees[Vues]&lt;Donnees[[#This Row],[Vues]]))+(SUMPRODUCT((Donnees[Échantillon]=Donnees[[#This Row],[Échantillon]])*(Donnees[Vues]=Donnees[[#This Row],[Vues]]))+1)/2</f>
        <v>7</v>
      </c>
      <c r="AG295" s="43">
        <f>SUMPRODUCT((Donnees[Échantillon]=Donnees[[#This Row],[Échantillon]])*(Donnees[Durée (s)]&lt;Donnees[[#This Row],[Durée (s)]]))+(SUMPRODUCT((Donnees[Échantillon]=Donnees[[#This Row],[Échantillon]])*(Donnees[Durée (s)]=Donnees[[#This Row],[Durée (s)]]))+1)/2</f>
        <v>33.5</v>
      </c>
      <c r="AH295" s="43">
        <f>SUMPRODUCT((Donnees[Échantillon]=Donnees[[#This Row],[Échantillon]])*(Donnees[Nb hashtags]&lt;Donnees[[#This Row],[Nb hashtags]]))+(SUMPRODUCT((Donnees[Échantillon]=Donnees[[#This Row],[Échantillon]])*(Donnees[Nb hashtags]=Donnees[[#This Row],[Nb hashtags]]))+1)/2</f>
        <v>60</v>
      </c>
      <c r="AI295" s="43">
        <f>SUMPRODUCT((Donnees[Échantillon]=Donnees[[#This Row],[Échantillon]])*(Donnees[Longueur du texte]&lt;Donnees[[#This Row],[Longueur du texte]]))+(SUMPRODUCT((Donnees[Échantillon]=Donnees[[#This Row],[Échantillon]])*(Donnees[Longueur du texte]=Donnees[[#This Row],[Longueur du texte]]))+1)/2</f>
        <v>55</v>
      </c>
      <c r="AJ295" s="43">
        <f>IF(Donnees[[#This Row],[Abonnés]]="","",SUMPRODUCT((Donnees[Échantillon]=Donnees[[#This Row],[Échantillon]])*(Donnees[Abonnés]&lt;Donnees[[#This Row],[Abonnés]]))+(SUMPRODUCT((Donnees[Échantillon]=Donnees[[#This Row],[Échantillon]])*(Donnees[Abonnés]=Donnees[[#This Row],[Abonnés]]))+1)/2)</f>
        <v>14</v>
      </c>
      <c r="AK295" s="43">
        <f>IF(Donnees[[#This Row],[Vidéos publiées]]="","",SUMPRODUCT((Donnees[Échantillon]=Donnees[[#This Row],[Échantillon]])*(Donnees[Vidéos publiées]&lt;Donnees[[#This Row],[Vidéos publiées]]))+(SUMPRODUCT((Donnees[Échantillon]=Donnees[[#This Row],[Échantillon]])*(Donnees[Vidéos publiées]=Donnees[[#This Row],[Vidéos publiées]]))+1)/2)</f>
        <v>11</v>
      </c>
    </row>
    <row r="296" spans="1:37" x14ac:dyDescent="0.2">
      <c r="A296" s="40" t="s">
        <v>237</v>
      </c>
      <c r="B296" s="40" t="s">
        <v>311</v>
      </c>
      <c r="C296" s="40" t="s">
        <v>46</v>
      </c>
      <c r="D296" s="40">
        <v>470</v>
      </c>
      <c r="E296" s="40" t="s">
        <v>71</v>
      </c>
      <c r="F296" s="40" t="str">
        <f>IF(OR(Donnees[[#This Row],[Jour]]="samedi",Donnees[[#This Row],[Jour]]="dimanche"),"Oui","Non")</f>
        <v>Non</v>
      </c>
      <c r="G296" s="40">
        <v>7</v>
      </c>
      <c r="H296" s="40" t="str">
        <f>IF(Donnees[[#This Row],[Heure UTC]]&lt;6,"0-5 h",IF(Donnees[[#This Row],[Heure UTC]]&lt;12,"6-11 h",IF(Donnees[[#This Row],[Heure UTC]]&lt;18,"12-17 h","18-23 h")))</f>
        <v>6-11 h</v>
      </c>
      <c r="I296" s="40">
        <v>40</v>
      </c>
      <c r="J296" s="40" t="str">
        <f>IF(Donnees[[#This Row],[Durée (s)]]&lt;=10,"1. ≤ 10 s",IF(Donnees[[#This Row],[Durée (s)]]&lt;=15,"2. 11-15 s",IF(Donnees[[#This Row],[Durée (s)]]&lt;=30,"3. 16-30 s",IF(Donnees[[#This Row],[Durée (s)]]&lt;=60,"4. 31-60 s","5. &gt; 60 s"))))</f>
        <v>4. 31-60 s</v>
      </c>
      <c r="K296" s="40" t="str">
        <f>IF(Donnees[[#This Row],[Durée (s)]]&gt;15,"Oui","Non")</f>
        <v>Oui</v>
      </c>
      <c r="L296" s="40">
        <v>8</v>
      </c>
      <c r="M296" s="40" t="s">
        <v>44</v>
      </c>
      <c r="N296" s="40">
        <v>44</v>
      </c>
      <c r="O296" s="40" t="s">
        <v>41</v>
      </c>
      <c r="P296" s="40" t="s">
        <v>41</v>
      </c>
      <c r="Q296" s="40" t="s">
        <v>41</v>
      </c>
      <c r="R296" s="40" t="s">
        <v>44</v>
      </c>
      <c r="S296" s="40" t="s">
        <v>44</v>
      </c>
      <c r="T296" s="41">
        <v>1300000</v>
      </c>
      <c r="U296" s="40" t="str">
        <f>IF(Donnees[[#This Row],[Abonnés]]="","",IF(Donnees[[#This Row],[Abonnés]]&lt;1000000,"1. &lt; 1 M",IF(Donnees[[#This Row],[Abonnés]]&lt;3000000,"2. 1-3 M",IF(Donnees[[#This Row],[Abonnés]]&lt;8000000,"3. 3-8 M","4. ≥ 8 M"))))</f>
        <v>2. 1-3 M</v>
      </c>
      <c r="V296" s="41">
        <v>517</v>
      </c>
      <c r="W296" s="41">
        <v>34000000</v>
      </c>
      <c r="X296" s="41">
        <v>7400000</v>
      </c>
      <c r="Y296" s="41">
        <v>91200</v>
      </c>
      <c r="Z296" s="41">
        <v>464700</v>
      </c>
      <c r="AA296" s="42">
        <f>(Donnees[[#This Row],[Likes]]+Donnees[[#This Row],[Commentaires]]+Donnees[[#This Row],[Partages]])/Donnees[[#This Row],[Vues]]</f>
        <v>0.23399705882352942</v>
      </c>
      <c r="AB296" s="40">
        <f>IF(Donnees[[#This Row],[Engagement]]&gt;=VLOOKUP(Donnees[[#This Row],[Échantillon]],'Méthode &amp; limites'!$B$9:$D$11,2,FALSE),1,0)</f>
        <v>1</v>
      </c>
      <c r="AC296" s="43">
        <f>IF(Donnees[[#This Row],[Abonnés]]="","",Donnees[[#This Row],[Vues]]/Donnees[[#This Row],[Abonnés]])</f>
        <v>26.153846153846153</v>
      </c>
      <c r="AD296" s="40" t="s">
        <v>44</v>
      </c>
      <c r="AE296" s="43">
        <f>SUMPRODUCT((Donnees[Échantillon]=Donnees[[#This Row],[Échantillon]])*(Donnees[Engagement]&lt;Donnees[[#This Row],[Engagement]]))+(SUMPRODUCT((Donnees[Échantillon]=Donnees[[#This Row],[Échantillon]])*(Donnees[Engagement]=Donnees[[#This Row],[Engagement]]))+1)/2</f>
        <v>96</v>
      </c>
      <c r="AF296" s="43">
        <f>SUMPRODUCT((Donnees[Échantillon]=Donnees[[#This Row],[Échantillon]])*(Donnees[Vues]&lt;Donnees[[#This Row],[Vues]]))+(SUMPRODUCT((Donnees[Échantillon]=Donnees[[#This Row],[Échantillon]])*(Donnees[Vues]=Donnees[[#This Row],[Vues]]))+1)/2</f>
        <v>6</v>
      </c>
      <c r="AG296" s="43">
        <f>SUMPRODUCT((Donnees[Échantillon]=Donnees[[#This Row],[Échantillon]])*(Donnees[Durée (s)]&lt;Donnees[[#This Row],[Durée (s)]]))+(SUMPRODUCT((Donnees[Échantillon]=Donnees[[#This Row],[Échantillon]])*(Donnees[Durée (s)]=Donnees[[#This Row],[Durée (s)]]))+1)/2</f>
        <v>81</v>
      </c>
      <c r="AH296" s="43">
        <f>SUMPRODUCT((Donnees[Échantillon]=Donnees[[#This Row],[Échantillon]])*(Donnees[Nb hashtags]&lt;Donnees[[#This Row],[Nb hashtags]]))+(SUMPRODUCT((Donnees[Échantillon]=Donnees[[#This Row],[Échantillon]])*(Donnees[Nb hashtags]=Donnees[[#This Row],[Nb hashtags]]))+1)/2</f>
        <v>47.5</v>
      </c>
      <c r="AI296" s="43">
        <f>SUMPRODUCT((Donnees[Échantillon]=Donnees[[#This Row],[Échantillon]])*(Donnees[Longueur du texte]&lt;Donnees[[#This Row],[Longueur du texte]]))+(SUMPRODUCT((Donnees[Échantillon]=Donnees[[#This Row],[Échantillon]])*(Donnees[Longueur du texte]=Donnees[[#This Row],[Longueur du texte]]))+1)/2</f>
        <v>78.5</v>
      </c>
      <c r="AJ296" s="43">
        <f>IF(Donnees[[#This Row],[Abonnés]]="","",SUMPRODUCT((Donnees[Échantillon]=Donnees[[#This Row],[Échantillon]])*(Donnees[Abonnés]&lt;Donnees[[#This Row],[Abonnés]]))+(SUMPRODUCT((Donnees[Échantillon]=Donnees[[#This Row],[Échantillon]])*(Donnees[Abonnés]=Donnees[[#This Row],[Abonnés]]))+1)/2)</f>
        <v>33</v>
      </c>
      <c r="AK296" s="43">
        <f>IF(Donnees[[#This Row],[Vidéos publiées]]="","",SUMPRODUCT((Donnees[Échantillon]=Donnees[[#This Row],[Échantillon]])*(Donnees[Vidéos publiées]&lt;Donnees[[#This Row],[Vidéos publiées]]))+(SUMPRODUCT((Donnees[Échantillon]=Donnees[[#This Row],[Échantillon]])*(Donnees[Vidéos publiées]=Donnees[[#This Row],[Vidéos publiées]]))+1)/2)</f>
        <v>70</v>
      </c>
    </row>
    <row r="297" spans="1:37" x14ac:dyDescent="0.2">
      <c r="A297" s="40" t="s">
        <v>237</v>
      </c>
      <c r="B297" s="40" t="s">
        <v>312</v>
      </c>
      <c r="C297" s="40" t="s">
        <v>46</v>
      </c>
      <c r="D297" s="40">
        <v>225</v>
      </c>
      <c r="E297" s="40" t="s">
        <v>71</v>
      </c>
      <c r="F297" s="40" t="str">
        <f>IF(OR(Donnees[[#This Row],[Jour]]="samedi",Donnees[[#This Row],[Jour]]="dimanche"),"Oui","Non")</f>
        <v>Non</v>
      </c>
      <c r="G297" s="40">
        <v>2</v>
      </c>
      <c r="H297" s="40" t="str">
        <f>IF(Donnees[[#This Row],[Heure UTC]]&lt;6,"0-5 h",IF(Donnees[[#This Row],[Heure UTC]]&lt;12,"6-11 h",IF(Donnees[[#This Row],[Heure UTC]]&lt;18,"12-17 h","18-23 h")))</f>
        <v>0-5 h</v>
      </c>
      <c r="I297" s="40">
        <v>59</v>
      </c>
      <c r="J297" s="40" t="str">
        <f>IF(Donnees[[#This Row],[Durée (s)]]&lt;=10,"1. ≤ 10 s",IF(Donnees[[#This Row],[Durée (s)]]&lt;=15,"2. 11-15 s",IF(Donnees[[#This Row],[Durée (s)]]&lt;=30,"3. 16-30 s",IF(Donnees[[#This Row],[Durée (s)]]&lt;=60,"4. 31-60 s","5. &gt; 60 s"))))</f>
        <v>4. 31-60 s</v>
      </c>
      <c r="K297" s="40" t="str">
        <f>IF(Donnees[[#This Row],[Durée (s)]]&gt;15,"Oui","Non")</f>
        <v>Oui</v>
      </c>
      <c r="L297" s="40">
        <v>11</v>
      </c>
      <c r="M297" s="40" t="s">
        <v>44</v>
      </c>
      <c r="N297" s="40">
        <v>48</v>
      </c>
      <c r="O297" s="40" t="s">
        <v>41</v>
      </c>
      <c r="P297" s="40" t="s">
        <v>41</v>
      </c>
      <c r="Q297" s="40" t="s">
        <v>41</v>
      </c>
      <c r="R297" s="40" t="s">
        <v>41</v>
      </c>
      <c r="S297" s="40" t="s">
        <v>44</v>
      </c>
      <c r="T297" s="41">
        <v>5000000</v>
      </c>
      <c r="U297" s="40" t="str">
        <f>IF(Donnees[[#This Row],[Abonnés]]="","",IF(Donnees[[#This Row],[Abonnés]]&lt;1000000,"1. &lt; 1 M",IF(Donnees[[#This Row],[Abonnés]]&lt;3000000,"2. 1-3 M",IF(Donnees[[#This Row],[Abonnés]]&lt;8000000,"3. 3-8 M","4. ≥ 8 M"))))</f>
        <v>3. 3-8 M</v>
      </c>
      <c r="V297" s="41">
        <v>507</v>
      </c>
      <c r="W297" s="41">
        <v>32600000</v>
      </c>
      <c r="X297" s="41">
        <v>6900000</v>
      </c>
      <c r="Y297" s="41">
        <v>25900</v>
      </c>
      <c r="Z297" s="41">
        <v>43700</v>
      </c>
      <c r="AA297" s="42">
        <f>(Donnees[[#This Row],[Likes]]+Donnees[[#This Row],[Commentaires]]+Donnees[[#This Row],[Partages]])/Donnees[[#This Row],[Vues]]</f>
        <v>0.21379141104294477</v>
      </c>
      <c r="AB297" s="40">
        <f>IF(Donnees[[#This Row],[Engagement]]&gt;=VLOOKUP(Donnees[[#This Row],[Échantillon]],'Méthode &amp; limites'!$B$9:$D$11,2,FALSE),1,0)</f>
        <v>1</v>
      </c>
      <c r="AC297" s="43">
        <f>IF(Donnees[[#This Row],[Abonnés]]="","",Donnees[[#This Row],[Vues]]/Donnees[[#This Row],[Abonnés]])</f>
        <v>6.52</v>
      </c>
      <c r="AD297" s="40" t="s">
        <v>44</v>
      </c>
      <c r="AE297" s="43">
        <f>SUMPRODUCT((Donnees[Échantillon]=Donnees[[#This Row],[Échantillon]])*(Donnees[Engagement]&lt;Donnees[[#This Row],[Engagement]]))+(SUMPRODUCT((Donnees[Échantillon]=Donnees[[#This Row],[Échantillon]])*(Donnees[Engagement]=Donnees[[#This Row],[Engagement]]))+1)/2</f>
        <v>84</v>
      </c>
      <c r="AF297" s="43">
        <f>SUMPRODUCT((Donnees[Échantillon]=Donnees[[#This Row],[Échantillon]])*(Donnees[Vues]&lt;Donnees[[#This Row],[Vues]]))+(SUMPRODUCT((Donnees[Échantillon]=Donnees[[#This Row],[Échantillon]])*(Donnees[Vues]=Donnees[[#This Row],[Vues]]))+1)/2</f>
        <v>5</v>
      </c>
      <c r="AG297" s="43">
        <f>SUMPRODUCT((Donnees[Échantillon]=Donnees[[#This Row],[Échantillon]])*(Donnees[Durée (s)]&lt;Donnees[[#This Row],[Durée (s)]]))+(SUMPRODUCT((Donnees[Échantillon]=Donnees[[#This Row],[Échantillon]])*(Donnees[Durée (s)]=Donnees[[#This Row],[Durée (s)]]))+1)/2</f>
        <v>97</v>
      </c>
      <c r="AH297" s="43">
        <f>SUMPRODUCT((Donnees[Échantillon]=Donnees[[#This Row],[Échantillon]])*(Donnees[Nb hashtags]&lt;Donnees[[#This Row],[Nb hashtags]]))+(SUMPRODUCT((Donnees[Échantillon]=Donnees[[#This Row],[Échantillon]])*(Donnees[Nb hashtags]=Donnees[[#This Row],[Nb hashtags]]))+1)/2</f>
        <v>79</v>
      </c>
      <c r="AI297" s="43">
        <f>SUMPRODUCT((Donnees[Échantillon]=Donnees[[#This Row],[Échantillon]])*(Donnees[Longueur du texte]&lt;Donnees[[#This Row],[Longueur du texte]]))+(SUMPRODUCT((Donnees[Échantillon]=Donnees[[#This Row],[Échantillon]])*(Donnees[Longueur du texte]=Donnees[[#This Row],[Longueur du texte]]))+1)/2</f>
        <v>82.5</v>
      </c>
      <c r="AJ297" s="43">
        <f>IF(Donnees[[#This Row],[Abonnés]]="","",SUMPRODUCT((Donnees[Échantillon]=Donnees[[#This Row],[Échantillon]])*(Donnees[Abonnés]&lt;Donnees[[#This Row],[Abonnés]]))+(SUMPRODUCT((Donnees[Échantillon]=Donnees[[#This Row],[Échantillon]])*(Donnees[Abonnés]=Donnees[[#This Row],[Abonnés]]))+1)/2)</f>
        <v>64</v>
      </c>
      <c r="AK297" s="43">
        <f>IF(Donnees[[#This Row],[Vidéos publiées]]="","",SUMPRODUCT((Donnees[Échantillon]=Donnees[[#This Row],[Échantillon]])*(Donnees[Vidéos publiées]&lt;Donnees[[#This Row],[Vidéos publiées]]))+(SUMPRODUCT((Donnees[Échantillon]=Donnees[[#This Row],[Échantillon]])*(Donnees[Vidéos publiées]=Donnees[[#This Row],[Vidéos publiées]]))+1)/2)</f>
        <v>69</v>
      </c>
    </row>
    <row r="298" spans="1:37" x14ac:dyDescent="0.2">
      <c r="A298" s="40" t="s">
        <v>237</v>
      </c>
      <c r="B298" s="40" t="s">
        <v>313</v>
      </c>
      <c r="C298" s="40" t="s">
        <v>50</v>
      </c>
      <c r="D298" s="40">
        <v>111</v>
      </c>
      <c r="E298" s="40" t="s">
        <v>59</v>
      </c>
      <c r="F298" s="40" t="str">
        <f>IF(OR(Donnees[[#This Row],[Jour]]="samedi",Donnees[[#This Row],[Jour]]="dimanche"),"Oui","Non")</f>
        <v>Non</v>
      </c>
      <c r="G298" s="40">
        <v>19</v>
      </c>
      <c r="H298" s="40" t="str">
        <f>IF(Donnees[[#This Row],[Heure UTC]]&lt;6,"0-5 h",IF(Donnees[[#This Row],[Heure UTC]]&lt;12,"6-11 h",IF(Donnees[[#This Row],[Heure UTC]]&lt;18,"12-17 h","18-23 h")))</f>
        <v>18-23 h</v>
      </c>
      <c r="I298" s="40">
        <v>36</v>
      </c>
      <c r="J298" s="40" t="str">
        <f>IF(Donnees[[#This Row],[Durée (s)]]&lt;=10,"1. ≤ 10 s",IF(Donnees[[#This Row],[Durée (s)]]&lt;=15,"2. 11-15 s",IF(Donnees[[#This Row],[Durée (s)]]&lt;=30,"3. 16-30 s",IF(Donnees[[#This Row],[Durée (s)]]&lt;=60,"4. 31-60 s","5. &gt; 60 s"))))</f>
        <v>4. 31-60 s</v>
      </c>
      <c r="K298" s="40" t="str">
        <f>IF(Donnees[[#This Row],[Durée (s)]]&gt;15,"Oui","Non")</f>
        <v>Oui</v>
      </c>
      <c r="L298" s="40">
        <v>4</v>
      </c>
      <c r="M298" s="40" t="s">
        <v>44</v>
      </c>
      <c r="N298" s="40">
        <v>30</v>
      </c>
      <c r="O298" s="40" t="s">
        <v>41</v>
      </c>
      <c r="P298" s="40" t="s">
        <v>41</v>
      </c>
      <c r="Q298" s="40" t="s">
        <v>41</v>
      </c>
      <c r="R298" s="40" t="s">
        <v>44</v>
      </c>
      <c r="S298" s="40" t="s">
        <v>44</v>
      </c>
      <c r="T298" s="41">
        <v>74300</v>
      </c>
      <c r="U298" s="40" t="str">
        <f>IF(Donnees[[#This Row],[Abonnés]]="","",IF(Donnees[[#This Row],[Abonnés]]&lt;1000000,"1. &lt; 1 M",IF(Donnees[[#This Row],[Abonnés]]&lt;3000000,"2. 1-3 M",IF(Donnees[[#This Row],[Abonnés]]&lt;8000000,"3. 3-8 M","4. ≥ 8 M"))))</f>
        <v>1. &lt; 1 M</v>
      </c>
      <c r="V298" s="41">
        <v>92</v>
      </c>
      <c r="W298" s="41">
        <v>31500000</v>
      </c>
      <c r="X298" s="41">
        <v>7000000</v>
      </c>
      <c r="Y298" s="41">
        <v>48300</v>
      </c>
      <c r="Z298" s="41">
        <v>150400</v>
      </c>
      <c r="AA298" s="42">
        <f>(Donnees[[#This Row],[Likes]]+Donnees[[#This Row],[Commentaires]]+Donnees[[#This Row],[Partages]])/Donnees[[#This Row],[Vues]]</f>
        <v>0.22853015873015872</v>
      </c>
      <c r="AB298" s="40">
        <f>IF(Donnees[[#This Row],[Engagement]]&gt;=VLOOKUP(Donnees[[#This Row],[Échantillon]],'Méthode &amp; limites'!$B$9:$D$11,2,FALSE),1,0)</f>
        <v>1</v>
      </c>
      <c r="AC298" s="43">
        <f>IF(Donnees[[#This Row],[Abonnés]]="","",Donnees[[#This Row],[Vues]]/Donnees[[#This Row],[Abonnés]])</f>
        <v>423.95693135935397</v>
      </c>
      <c r="AD298" s="40" t="s">
        <v>44</v>
      </c>
      <c r="AE298" s="43">
        <f>SUMPRODUCT((Donnees[Échantillon]=Donnees[[#This Row],[Échantillon]])*(Donnees[Engagement]&lt;Donnees[[#This Row],[Engagement]]))+(SUMPRODUCT((Donnees[Échantillon]=Donnees[[#This Row],[Échantillon]])*(Donnees[Engagement]=Donnees[[#This Row],[Engagement]]))+1)/2</f>
        <v>92</v>
      </c>
      <c r="AF298" s="43">
        <f>SUMPRODUCT((Donnees[Échantillon]=Donnees[[#This Row],[Échantillon]])*(Donnees[Vues]&lt;Donnees[[#This Row],[Vues]]))+(SUMPRODUCT((Donnees[Échantillon]=Donnees[[#This Row],[Échantillon]])*(Donnees[Vues]=Donnees[[#This Row],[Vues]]))+1)/2</f>
        <v>4</v>
      </c>
      <c r="AG298" s="43">
        <f>SUMPRODUCT((Donnees[Échantillon]=Donnees[[#This Row],[Échantillon]])*(Donnees[Durée (s)]&lt;Donnees[[#This Row],[Durée (s)]]))+(SUMPRODUCT((Donnees[Échantillon]=Donnees[[#This Row],[Échantillon]])*(Donnees[Durée (s)]=Donnees[[#This Row],[Durée (s)]]))+1)/2</f>
        <v>77</v>
      </c>
      <c r="AH298" s="43">
        <f>SUMPRODUCT((Donnees[Échantillon]=Donnees[[#This Row],[Échantillon]])*(Donnees[Nb hashtags]&lt;Donnees[[#This Row],[Nb hashtags]]))+(SUMPRODUCT((Donnees[Échantillon]=Donnees[[#This Row],[Échantillon]])*(Donnees[Nb hashtags]=Donnees[[#This Row],[Nb hashtags]]))+1)/2</f>
        <v>15.5</v>
      </c>
      <c r="AI298" s="43">
        <f>SUMPRODUCT((Donnees[Échantillon]=Donnees[[#This Row],[Échantillon]])*(Donnees[Longueur du texte]&lt;Donnees[[#This Row],[Longueur du texte]]))+(SUMPRODUCT((Donnees[Échantillon]=Donnees[[#This Row],[Échantillon]])*(Donnees[Longueur du texte]=Donnees[[#This Row],[Longueur du texte]]))+1)/2</f>
        <v>62.5</v>
      </c>
      <c r="AJ298" s="43">
        <f>IF(Donnees[[#This Row],[Abonnés]]="","",SUMPRODUCT((Donnees[Échantillon]=Donnees[[#This Row],[Échantillon]])*(Donnees[Abonnés]&lt;Donnees[[#This Row],[Abonnés]]))+(SUMPRODUCT((Donnees[Échantillon]=Donnees[[#This Row],[Échantillon]])*(Donnees[Abonnés]=Donnees[[#This Row],[Abonnés]]))+1)/2)</f>
        <v>1</v>
      </c>
      <c r="AK298" s="43">
        <f>IF(Donnees[[#This Row],[Vidéos publiées]]="","",SUMPRODUCT((Donnees[Échantillon]=Donnees[[#This Row],[Échantillon]])*(Donnees[Vidéos publiées]&lt;Donnees[[#This Row],[Vidéos publiées]]))+(SUMPRODUCT((Donnees[Échantillon]=Donnees[[#This Row],[Échantillon]])*(Donnees[Vidéos publiées]=Donnees[[#This Row],[Vidéos publiées]]))+1)/2)</f>
        <v>28</v>
      </c>
    </row>
    <row r="299" spans="1:37" x14ac:dyDescent="0.2">
      <c r="A299" s="40" t="s">
        <v>237</v>
      </c>
      <c r="B299" s="40" t="s">
        <v>127</v>
      </c>
      <c r="C299" s="40" t="s">
        <v>46</v>
      </c>
      <c r="D299" s="40">
        <v>168</v>
      </c>
      <c r="E299" s="40" t="s">
        <v>40</v>
      </c>
      <c r="F299" s="40" t="str">
        <f>IF(OR(Donnees[[#This Row],[Jour]]="samedi",Donnees[[#This Row],[Jour]]="dimanche"),"Oui","Non")</f>
        <v>Non</v>
      </c>
      <c r="G299" s="40">
        <v>23</v>
      </c>
      <c r="H299" s="40" t="str">
        <f>IF(Donnees[[#This Row],[Heure UTC]]&lt;6,"0-5 h",IF(Donnees[[#This Row],[Heure UTC]]&lt;12,"6-11 h",IF(Donnees[[#This Row],[Heure UTC]]&lt;18,"12-17 h","18-23 h")))</f>
        <v>18-23 h</v>
      </c>
      <c r="I299" s="40">
        <v>43</v>
      </c>
      <c r="J299" s="40" t="str">
        <f>IF(Donnees[[#This Row],[Durée (s)]]&lt;=10,"1. ≤ 10 s",IF(Donnees[[#This Row],[Durée (s)]]&lt;=15,"2. 11-15 s",IF(Donnees[[#This Row],[Durée (s)]]&lt;=30,"3. 16-30 s",IF(Donnees[[#This Row],[Durée (s)]]&lt;=60,"4. 31-60 s","5. &gt; 60 s"))))</f>
        <v>4. 31-60 s</v>
      </c>
      <c r="K299" s="40" t="str">
        <f>IF(Donnees[[#This Row],[Durée (s)]]&gt;15,"Oui","Non")</f>
        <v>Oui</v>
      </c>
      <c r="L299" s="40">
        <v>2</v>
      </c>
      <c r="M299" s="40" t="s">
        <v>41</v>
      </c>
      <c r="N299" s="40">
        <v>51</v>
      </c>
      <c r="O299" s="40" t="s">
        <v>41</v>
      </c>
      <c r="P299" s="40" t="s">
        <v>44</v>
      </c>
      <c r="Q299" s="40" t="s">
        <v>41</v>
      </c>
      <c r="R299" s="40" t="s">
        <v>44</v>
      </c>
      <c r="S299" s="40" t="s">
        <v>44</v>
      </c>
      <c r="T299" s="41">
        <v>10500000</v>
      </c>
      <c r="U299" s="40" t="str">
        <f>IF(Donnees[[#This Row],[Abonnés]]="","",IF(Donnees[[#This Row],[Abonnés]]&lt;1000000,"1. &lt; 1 M",IF(Donnees[[#This Row],[Abonnés]]&lt;3000000,"2. 1-3 M",IF(Donnees[[#This Row],[Abonnés]]&lt;8000000,"3. 3-8 M","4. ≥ 8 M"))))</f>
        <v>4. ≥ 8 M</v>
      </c>
      <c r="V299" s="41">
        <v>2613</v>
      </c>
      <c r="W299" s="41">
        <v>30500000</v>
      </c>
      <c r="X299" s="41">
        <v>7700000</v>
      </c>
      <c r="Y299" s="41">
        <v>56200</v>
      </c>
      <c r="Z299" s="41">
        <v>202800</v>
      </c>
      <c r="AA299" s="42">
        <f>(Donnees[[#This Row],[Likes]]+Donnees[[#This Row],[Commentaires]]+Donnees[[#This Row],[Partages]])/Donnees[[#This Row],[Vues]]</f>
        <v>0.26095081967213113</v>
      </c>
      <c r="AB299" s="40">
        <f>IF(Donnees[[#This Row],[Engagement]]&gt;=VLOOKUP(Donnees[[#This Row],[Échantillon]],'Méthode &amp; limites'!$B$9:$D$11,2,FALSE),1,0)</f>
        <v>1</v>
      </c>
      <c r="AC299" s="43">
        <f>IF(Donnees[[#This Row],[Abonnés]]="","",Donnees[[#This Row],[Vues]]/Donnees[[#This Row],[Abonnés]])</f>
        <v>2.9047619047619047</v>
      </c>
      <c r="AD299" s="40" t="s">
        <v>44</v>
      </c>
      <c r="AE299" s="43">
        <f>SUMPRODUCT((Donnees[Échantillon]=Donnees[[#This Row],[Échantillon]])*(Donnees[Engagement]&lt;Donnees[[#This Row],[Engagement]]))+(SUMPRODUCT((Donnees[Échantillon]=Donnees[[#This Row],[Échantillon]])*(Donnees[Engagement]=Donnees[[#This Row],[Engagement]]))+1)/2</f>
        <v>99</v>
      </c>
      <c r="AF299" s="43">
        <f>SUMPRODUCT((Donnees[Échantillon]=Donnees[[#This Row],[Échantillon]])*(Donnees[Vues]&lt;Donnees[[#This Row],[Vues]]))+(SUMPRODUCT((Donnees[Échantillon]=Donnees[[#This Row],[Échantillon]])*(Donnees[Vues]=Donnees[[#This Row],[Vues]]))+1)/2</f>
        <v>3</v>
      </c>
      <c r="AG299" s="43">
        <f>SUMPRODUCT((Donnees[Échantillon]=Donnees[[#This Row],[Échantillon]])*(Donnees[Durée (s)]&lt;Donnees[[#This Row],[Durée (s)]]))+(SUMPRODUCT((Donnees[Échantillon]=Donnees[[#This Row],[Échantillon]])*(Donnees[Durée (s)]=Donnees[[#This Row],[Durée (s)]]))+1)/2</f>
        <v>83</v>
      </c>
      <c r="AH299" s="43">
        <f>SUMPRODUCT((Donnees[Échantillon]=Donnees[[#This Row],[Échantillon]])*(Donnees[Nb hashtags]&lt;Donnees[[#This Row],[Nb hashtags]]))+(SUMPRODUCT((Donnees[Échantillon]=Donnees[[#This Row],[Échantillon]])*(Donnees[Nb hashtags]=Donnees[[#This Row],[Nb hashtags]]))+1)/2</f>
        <v>4.5</v>
      </c>
      <c r="AI299" s="43">
        <f>SUMPRODUCT((Donnees[Échantillon]=Donnees[[#This Row],[Échantillon]])*(Donnees[Longueur du texte]&lt;Donnees[[#This Row],[Longueur du texte]]))+(SUMPRODUCT((Donnees[Échantillon]=Donnees[[#This Row],[Échantillon]])*(Donnees[Longueur du texte]=Donnees[[#This Row],[Longueur du texte]]))+1)/2</f>
        <v>85.5</v>
      </c>
      <c r="AJ299" s="43">
        <f>IF(Donnees[[#This Row],[Abonnés]]="","",SUMPRODUCT((Donnees[Échantillon]=Donnees[[#This Row],[Échantillon]])*(Donnees[Abonnés]&lt;Donnees[[#This Row],[Abonnés]]))+(SUMPRODUCT((Donnees[Échantillon]=Donnees[[#This Row],[Échantillon]])*(Donnees[Abonnés]=Donnees[[#This Row],[Abonnés]]))+1)/2)</f>
        <v>88</v>
      </c>
      <c r="AK299" s="43">
        <f>IF(Donnees[[#This Row],[Vidéos publiées]]="","",SUMPRODUCT((Donnees[Échantillon]=Donnees[[#This Row],[Échantillon]])*(Donnees[Vidéos publiées]&lt;Donnees[[#This Row],[Vidéos publiées]]))+(SUMPRODUCT((Donnees[Échantillon]=Donnees[[#This Row],[Échantillon]])*(Donnees[Vidéos publiées]=Donnees[[#This Row],[Vidéos publiées]]))+1)/2)</f>
        <v>100</v>
      </c>
    </row>
    <row r="300" spans="1:37" x14ac:dyDescent="0.2">
      <c r="A300" s="40" t="s">
        <v>237</v>
      </c>
      <c r="B300" s="40" t="s">
        <v>314</v>
      </c>
      <c r="C300" s="40" t="s">
        <v>67</v>
      </c>
      <c r="D300" s="40">
        <v>37</v>
      </c>
      <c r="E300" s="40" t="s">
        <v>56</v>
      </c>
      <c r="F300" s="40" t="str">
        <f>IF(OR(Donnees[[#This Row],[Jour]]="samedi",Donnees[[#This Row],[Jour]]="dimanche"),"Oui","Non")</f>
        <v>Oui</v>
      </c>
      <c r="G300" s="40">
        <v>7</v>
      </c>
      <c r="H300" s="40" t="str">
        <f>IF(Donnees[[#This Row],[Heure UTC]]&lt;6,"0-5 h",IF(Donnees[[#This Row],[Heure UTC]]&lt;12,"6-11 h",IF(Donnees[[#This Row],[Heure UTC]]&lt;18,"12-17 h","18-23 h")))</f>
        <v>6-11 h</v>
      </c>
      <c r="I300" s="40">
        <v>170</v>
      </c>
      <c r="J300" s="40" t="str">
        <f>IF(Donnees[[#This Row],[Durée (s)]]&lt;=10,"1. ≤ 10 s",IF(Donnees[[#This Row],[Durée (s)]]&lt;=15,"2. 11-15 s",IF(Donnees[[#This Row],[Durée (s)]]&lt;=30,"3. 16-30 s",IF(Donnees[[#This Row],[Durée (s)]]&lt;=60,"4. 31-60 s","5. &gt; 60 s"))))</f>
        <v>5. &gt; 60 s</v>
      </c>
      <c r="K300" s="40" t="str">
        <f>IF(Donnees[[#This Row],[Durée (s)]]&gt;15,"Oui","Non")</f>
        <v>Oui</v>
      </c>
      <c r="L300" s="40">
        <v>9</v>
      </c>
      <c r="M300" s="40" t="s">
        <v>44</v>
      </c>
      <c r="N300" s="40">
        <v>0</v>
      </c>
      <c r="O300" s="40" t="s">
        <v>41</v>
      </c>
      <c r="P300" s="40" t="s">
        <v>41</v>
      </c>
      <c r="Q300" s="40" t="s">
        <v>41</v>
      </c>
      <c r="R300" s="40" t="s">
        <v>44</v>
      </c>
      <c r="S300" s="40" t="s">
        <v>41</v>
      </c>
      <c r="T300" s="41">
        <v>499800</v>
      </c>
      <c r="U300" s="40" t="str">
        <f>IF(Donnees[[#This Row],[Abonnés]]="","",IF(Donnees[[#This Row],[Abonnés]]&lt;1000000,"1. &lt; 1 M",IF(Donnees[[#This Row],[Abonnés]]&lt;3000000,"2. 1-3 M",IF(Donnees[[#This Row],[Abonnés]]&lt;8000000,"3. 3-8 M","4. ≥ 8 M"))))</f>
        <v>1. &lt; 1 M</v>
      </c>
      <c r="V300" s="41">
        <v>37</v>
      </c>
      <c r="W300" s="41">
        <v>28800000</v>
      </c>
      <c r="X300" s="41">
        <v>8200000</v>
      </c>
      <c r="Y300" s="41">
        <v>74600</v>
      </c>
      <c r="Z300" s="41">
        <v>227600</v>
      </c>
      <c r="AA300" s="42">
        <f>(Donnees[[#This Row],[Likes]]+Donnees[[#This Row],[Commentaires]]+Donnees[[#This Row],[Partages]])/Donnees[[#This Row],[Vues]]</f>
        <v>0.29521527777777778</v>
      </c>
      <c r="AB300" s="40">
        <f>IF(Donnees[[#This Row],[Engagement]]&gt;=VLOOKUP(Donnees[[#This Row],[Échantillon]],'Méthode &amp; limites'!$B$9:$D$11,2,FALSE),1,0)</f>
        <v>1</v>
      </c>
      <c r="AC300" s="43">
        <f>IF(Donnees[[#This Row],[Abonnés]]="","",Donnees[[#This Row],[Vues]]/Donnees[[#This Row],[Abonnés]])</f>
        <v>57.623049219687879</v>
      </c>
      <c r="AD300" s="40" t="s">
        <v>44</v>
      </c>
      <c r="AE300" s="43">
        <f>SUMPRODUCT((Donnees[Échantillon]=Donnees[[#This Row],[Échantillon]])*(Donnees[Engagement]&lt;Donnees[[#This Row],[Engagement]]))+(SUMPRODUCT((Donnees[Échantillon]=Donnees[[#This Row],[Échantillon]])*(Donnees[Engagement]=Donnees[[#This Row],[Engagement]]))+1)/2</f>
        <v>100</v>
      </c>
      <c r="AF300" s="43">
        <f>SUMPRODUCT((Donnees[Échantillon]=Donnees[[#This Row],[Échantillon]])*(Donnees[Vues]&lt;Donnees[[#This Row],[Vues]]))+(SUMPRODUCT((Donnees[Échantillon]=Donnees[[#This Row],[Échantillon]])*(Donnees[Vues]=Donnees[[#This Row],[Vues]]))+1)/2</f>
        <v>2</v>
      </c>
      <c r="AG300" s="43">
        <f>SUMPRODUCT((Donnees[Échantillon]=Donnees[[#This Row],[Échantillon]])*(Donnees[Durée (s)]&lt;Donnees[[#This Row],[Durée (s)]]))+(SUMPRODUCT((Donnees[Échantillon]=Donnees[[#This Row],[Échantillon]])*(Donnees[Durée (s)]=Donnees[[#This Row],[Durée (s)]]))+1)/2</f>
        <v>100</v>
      </c>
      <c r="AH300" s="43">
        <f>SUMPRODUCT((Donnees[Échantillon]=Donnees[[#This Row],[Échantillon]])*(Donnees[Nb hashtags]&lt;Donnees[[#This Row],[Nb hashtags]]))+(SUMPRODUCT((Donnees[Échantillon]=Donnees[[#This Row],[Échantillon]])*(Donnees[Nb hashtags]=Donnees[[#This Row],[Nb hashtags]]))+1)/2</f>
        <v>60</v>
      </c>
      <c r="AI300" s="43">
        <f>SUMPRODUCT((Donnees[Échantillon]=Donnees[[#This Row],[Échantillon]])*(Donnees[Longueur du texte]&lt;Donnees[[#This Row],[Longueur du texte]]))+(SUMPRODUCT((Donnees[Échantillon]=Donnees[[#This Row],[Échantillon]])*(Donnees[Longueur du texte]=Donnees[[#This Row],[Longueur du texte]]))+1)/2</f>
        <v>6.5</v>
      </c>
      <c r="AJ300" s="43">
        <f>IF(Donnees[[#This Row],[Abonnés]]="","",SUMPRODUCT((Donnees[Échantillon]=Donnees[[#This Row],[Échantillon]])*(Donnees[Abonnés]&lt;Donnees[[#This Row],[Abonnés]]))+(SUMPRODUCT((Donnees[Échantillon]=Donnees[[#This Row],[Échantillon]])*(Donnees[Abonnés]=Donnees[[#This Row],[Abonnés]]))+1)/2)</f>
        <v>17</v>
      </c>
      <c r="AK300" s="43">
        <f>IF(Donnees[[#This Row],[Vidéos publiées]]="","",SUMPRODUCT((Donnees[Échantillon]=Donnees[[#This Row],[Échantillon]])*(Donnees[Vidéos publiées]&lt;Donnees[[#This Row],[Vidéos publiées]]))+(SUMPRODUCT((Donnees[Échantillon]=Donnees[[#This Row],[Échantillon]])*(Donnees[Vidéos publiées]=Donnees[[#This Row],[Vidéos publiées]]))+1)/2)</f>
        <v>13</v>
      </c>
    </row>
    <row r="301" spans="1:37" x14ac:dyDescent="0.2">
      <c r="A301" s="40" t="s">
        <v>237</v>
      </c>
      <c r="B301" s="40" t="s">
        <v>315</v>
      </c>
      <c r="C301" s="40" t="s">
        <v>50</v>
      </c>
      <c r="D301" s="40">
        <v>76</v>
      </c>
      <c r="E301" s="40" t="s">
        <v>59</v>
      </c>
      <c r="F301" s="40" t="str">
        <f>IF(OR(Donnees[[#This Row],[Jour]]="samedi",Donnees[[#This Row],[Jour]]="dimanche"),"Oui","Non")</f>
        <v>Non</v>
      </c>
      <c r="G301" s="40">
        <v>17</v>
      </c>
      <c r="H301" s="40" t="str">
        <f>IF(Donnees[[#This Row],[Heure UTC]]&lt;6,"0-5 h",IF(Donnees[[#This Row],[Heure UTC]]&lt;12,"6-11 h",IF(Donnees[[#This Row],[Heure UTC]]&lt;18,"12-17 h","18-23 h")))</f>
        <v>12-17 h</v>
      </c>
      <c r="I301" s="40">
        <v>15</v>
      </c>
      <c r="J301" s="40" t="str">
        <f>IF(Donnees[[#This Row],[Durée (s)]]&lt;=10,"1. ≤ 10 s",IF(Donnees[[#This Row],[Durée (s)]]&lt;=15,"2. 11-15 s",IF(Donnees[[#This Row],[Durée (s)]]&lt;=30,"3. 16-30 s",IF(Donnees[[#This Row],[Durée (s)]]&lt;=60,"4. 31-60 s","5. &gt; 60 s"))))</f>
        <v>2. 11-15 s</v>
      </c>
      <c r="K301" s="40" t="str">
        <f>IF(Donnees[[#This Row],[Durée (s)]]&gt;15,"Oui","Non")</f>
        <v>Non</v>
      </c>
      <c r="L301" s="40">
        <v>11</v>
      </c>
      <c r="M301" s="40" t="s">
        <v>44</v>
      </c>
      <c r="N301" s="40">
        <v>4</v>
      </c>
      <c r="O301" s="40" t="s">
        <v>41</v>
      </c>
      <c r="P301" s="40" t="s">
        <v>44</v>
      </c>
      <c r="Q301" s="40" t="s">
        <v>41</v>
      </c>
      <c r="R301" s="40" t="s">
        <v>44</v>
      </c>
      <c r="S301" s="40" t="s">
        <v>44</v>
      </c>
      <c r="T301" s="41">
        <v>958100</v>
      </c>
      <c r="U301" s="40" t="str">
        <f>IF(Donnees[[#This Row],[Abonnés]]="","",IF(Donnees[[#This Row],[Abonnés]]&lt;1000000,"1. &lt; 1 M",IF(Donnees[[#This Row],[Abonnés]]&lt;3000000,"2. 1-3 M",IF(Donnees[[#This Row],[Abonnés]]&lt;8000000,"3. 3-8 M","4. ≥ 8 M"))))</f>
        <v>1. &lt; 1 M</v>
      </c>
      <c r="V301" s="41">
        <v>287</v>
      </c>
      <c r="W301" s="41">
        <v>27700000</v>
      </c>
      <c r="X301" s="41">
        <v>6900000</v>
      </c>
      <c r="Y301" s="41">
        <v>34800</v>
      </c>
      <c r="Z301" s="41">
        <v>224600</v>
      </c>
      <c r="AA301" s="42">
        <f>(Donnees[[#This Row],[Likes]]+Donnees[[#This Row],[Commentaires]]+Donnees[[#This Row],[Partages]])/Donnees[[#This Row],[Vues]]</f>
        <v>0.25846209386281588</v>
      </c>
      <c r="AB301" s="40">
        <f>IF(Donnees[[#This Row],[Engagement]]&gt;=VLOOKUP(Donnees[[#This Row],[Échantillon]],'Méthode &amp; limites'!$B$9:$D$11,2,FALSE),1,0)</f>
        <v>1</v>
      </c>
      <c r="AC301" s="43">
        <f>IF(Donnees[[#This Row],[Abonnés]]="","",Donnees[[#This Row],[Vues]]/Donnees[[#This Row],[Abonnés]])</f>
        <v>28.911387120342344</v>
      </c>
      <c r="AD301" s="40" t="s">
        <v>44</v>
      </c>
      <c r="AE301" s="43">
        <f>SUMPRODUCT((Donnees[Échantillon]=Donnees[[#This Row],[Échantillon]])*(Donnees[Engagement]&lt;Donnees[[#This Row],[Engagement]]))+(SUMPRODUCT((Donnees[Échantillon]=Donnees[[#This Row],[Échantillon]])*(Donnees[Engagement]=Donnees[[#This Row],[Engagement]]))+1)/2</f>
        <v>98</v>
      </c>
      <c r="AF301" s="43">
        <f>SUMPRODUCT((Donnees[Échantillon]=Donnees[[#This Row],[Échantillon]])*(Donnees[Vues]&lt;Donnees[[#This Row],[Vues]]))+(SUMPRODUCT((Donnees[Échantillon]=Donnees[[#This Row],[Échantillon]])*(Donnees[Vues]=Donnees[[#This Row],[Vues]]))+1)/2</f>
        <v>1</v>
      </c>
      <c r="AG301" s="43">
        <f>SUMPRODUCT((Donnees[Échantillon]=Donnees[[#This Row],[Échantillon]])*(Donnees[Durée (s)]&lt;Donnees[[#This Row],[Durée (s)]]))+(SUMPRODUCT((Donnees[Échantillon]=Donnees[[#This Row],[Échantillon]])*(Donnees[Durée (s)]=Donnees[[#This Row],[Durée (s)]]))+1)/2</f>
        <v>43</v>
      </c>
      <c r="AH301" s="43">
        <f>SUMPRODUCT((Donnees[Échantillon]=Donnees[[#This Row],[Échantillon]])*(Donnees[Nb hashtags]&lt;Donnees[[#This Row],[Nb hashtags]]))+(SUMPRODUCT((Donnees[Échantillon]=Donnees[[#This Row],[Échantillon]])*(Donnees[Nb hashtags]=Donnees[[#This Row],[Nb hashtags]]))+1)/2</f>
        <v>79</v>
      </c>
      <c r="AI301" s="43">
        <f>SUMPRODUCT((Donnees[Échantillon]=Donnees[[#This Row],[Échantillon]])*(Donnees[Longueur du texte]&lt;Donnees[[#This Row],[Longueur du texte]]))+(SUMPRODUCT((Donnees[Échantillon]=Donnees[[#This Row],[Échantillon]])*(Donnees[Longueur du texte]=Donnees[[#This Row],[Longueur du texte]]))+1)/2</f>
        <v>19.5</v>
      </c>
      <c r="AJ301" s="43">
        <f>IF(Donnees[[#This Row],[Abonnés]]="","",SUMPRODUCT((Donnees[Échantillon]=Donnees[[#This Row],[Échantillon]])*(Donnees[Abonnés]&lt;Donnees[[#This Row],[Abonnés]]))+(SUMPRODUCT((Donnees[Échantillon]=Donnees[[#This Row],[Échantillon]])*(Donnees[Abonnés]=Donnees[[#This Row],[Abonnés]]))+1)/2)</f>
        <v>27</v>
      </c>
      <c r="AK301" s="43">
        <f>IF(Donnees[[#This Row],[Vidéos publiées]]="","",SUMPRODUCT((Donnees[Échantillon]=Donnees[[#This Row],[Échantillon]])*(Donnees[Vidéos publiées]&lt;Donnees[[#This Row],[Vidéos publiées]]))+(SUMPRODUCT((Donnees[Échantillon]=Donnees[[#This Row],[Échantillon]])*(Donnees[Vidéos publiées]=Donnees[[#This Row],[Vidéos publiées]]))+1)/2)</f>
        <v>52</v>
      </c>
    </row>
  </sheetData>
  <sheetProtection algorithmName="SHA-512" hashValue="z3q4mOKqvQILAmzpBwvvPhE3MNdebKCFyA0hEfZqOodcXvg6fv8whc+qPO8ay5P5rMieqBhgit0thNyUpAdgBw==" saltValue="8N4eJrfp4M1PYmBJMC7btw==" spinCount="100000" sheet="1" objects="1" scenarios="1"/>
  <pageMargins left="0.7" right="0.7" top="0.75" bottom="0.75" header="0.3" footer="0.3"/>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6</vt:i4>
      </vt:variant>
      <vt:variant>
        <vt:lpstr>Plages nommées</vt:lpstr>
      </vt:variant>
      <vt:variant>
        <vt:i4>3</vt:i4>
      </vt:variant>
    </vt:vector>
  </HeadingPairs>
  <TitlesOfParts>
    <vt:vector size="9" baseType="lpstr">
      <vt:lpstr>Synthèse</vt:lpstr>
      <vt:lpstr>Facteurs</vt:lpstr>
      <vt:lpstr>Gros comptes</vt:lpstr>
      <vt:lpstr>Catégories &amp; TreeMap</vt:lpstr>
      <vt:lpstr>Méthode &amp; limites</vt:lpstr>
      <vt:lpstr>Données</vt:lpstr>
      <vt:lpstr>Données!Impression_des_titres</vt:lpstr>
      <vt:lpstr>'Méthode &amp; limites'!Zone_d_impression</vt:lpstr>
      <vt:lpstr>Synthèse!Zone_d_impression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Dataviz Studio — ce qui fait performer un contenu TikTok</dc:title>
  <dc:subject>Étude des facteurs de performance TikTok (données publiques 2021)</dc:subject>
  <dc:creator/>
  <cp:keywords>TikTok, influence, engagement</cp:keywords>
  <dc:description/>
  <dcterms:created xsi:type="dcterms:W3CDTF">2026-10-06T15:12:28Z</dcterms:created>
  <dcterms:modified xsi:type="dcterms:W3CDTF">2026-10-06T19:34:40Z</dcterms:modified>
  <cp:category>Version client</cp:category>
</cp:coreProperties>
</file>